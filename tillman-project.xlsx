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36" documentId="8_{E14B221E-02E2-46A3-8CEC-C736815F2DD5}" xr6:coauthVersionLast="47" xr6:coauthVersionMax="47" xr10:uidLastSave="{400BA5DB-6B5A-49F3-87B8-20E46E6A592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<sst xmlns="http://schemas.openxmlformats.org/spreadsheetml/2006/main" count="16686" uniqueCount="2154">
  <si>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</si>
  <si>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</si>
  <si>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</si>
  <si>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</si>
  <si>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</si>
  <si>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</si>
  <si>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</si>
  <si>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</si>
  <si>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</si>
  <si>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</si>
  <si>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</si>
  <si>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</si>
  <si>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</si>
  <si>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</si>
  <si>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</si>
  <si>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</si>
  <si>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</si>
  <si>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</si>
  <si>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</si>
  <si>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</si>
  <si>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</si>
  <si>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</si>
  <si>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</si>
  <si>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</si>
  <si>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</si>
  <si>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</si>
  <si>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</si>
  <si>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</si>
  <si>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</si>
  <si>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</si>
  <si>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</si>
  <si>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</si>
  <si>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</si>
  <si>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</si>
  <si>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</si>
  <si>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</si>
  <si>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</si>
  <si>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</si>
  <si>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</si>
  <si>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</si>
  <si>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</si>
  <si>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</si>
  <si>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</si>
  <si>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</si>
  <si>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</si>
  <si>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</si>
  <si>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</si>
  <si>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</si>
  <si>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</si>
  <si>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</si>
  <si>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</si>
  <si>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</si>
  <si>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</si>
  <si>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</si>
  <si>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</si>
  <si>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</si>
  <si>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</si>
  <si>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</si>
  <si>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</si>
  <si>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</si>
  <si>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</si>
  <si>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</si>
  <si>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</si>
  <si>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</si>
  <si>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</si>
  <si>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</si>
  <si>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</si>
  <si>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</si>
  <si>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</si>
  <si>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</si>
  <si>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</si>
  <si>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</si>
  <si>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</si>
  <si>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</si>
  <si>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</si>
  <si>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</si>
  <si>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</si>
  <si>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</si>
  <si>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</si>
  <si>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</si>
  <si>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</si>
  <si>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</si>
  <si>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</si>
  <si>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</si>
  <si>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</si>
  <si>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</si>
  <si>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</si>
  <si>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</si>
  <si>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</si>
  <si>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</si>
  <si>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</si>
  <si>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</si>
  <si>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</si>
  <si>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</si>
  <si>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</si>
  <si>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</si>
  <si>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</si>
  <si>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</si>
  <si>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</si>
  <si>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</si>
  <si>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</si>
  <si>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</si>
  <si>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</si>
  <si>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</si>
  <si>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</si>
  <si>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</si>
  <si>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</si>
  <si>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</si>
  <si>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</si>
  <si>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</si>
  <si>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</si>
  <si>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</si>
  <si>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</si>
  <si>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</si>
  <si>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</si>
  <si>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</si>
  <si>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</si>
  <si>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</si>
  <si>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</si>
  <si>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</si>
  <si>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</si>
  <si>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</si>
  <si>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</si>
  <si>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</si>
  <si>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</si>
  <si>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</si>
  <si>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</si>
  <si>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</si>
  <si>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</si>
  <si>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</si>
  <si>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</si>
  <si>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</si>
  <si>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</si>
  <si>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</si>
  <si>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</si>
  <si>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</si>
  <si>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</si>
  <si>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</si>
  <si>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</si>
  <si>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</si>
  <si>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</si>
  <si>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</si>
  <si>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</si>
  <si>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</si>
  <si>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</si>
  <si>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</si>
  <si>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</si>
  <si>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</si>
  <si>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</si>
  <si>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</si>
  <si>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</si>
  <si>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</si>
  <si>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</si>
  <si>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</si>
  <si>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</si>
  <si>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</si>
  <si>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</si>
  <si>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</si>
  <si>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</si>
  <si>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</si>
  <si>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</si>
  <si>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</si>
  <si>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</si>
  <si>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</si>
  <si>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</si>
  <si>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</si>
  <si>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</si>
  <si>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</si>
  <si>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</si>
  <si>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</si>
  <si>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</si>
  <si>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</si>
  <si>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</si>
  <si>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</si>
  <si>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</si>
  <si>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</si>
  <si>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</si>
  <si>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</si>
  <si>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</si>
  <si>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</si>
  <si>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</si>
  <si>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</si>
  <si>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</si>
  <si>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</si>
  <si>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</si>
  <si>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</si>
  <si>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</si>
  <si>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</si>
  <si>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</si>
  <si>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</si>
  <si>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</si>
  <si>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</si>
  <si>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</si>
  <si>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</si>
  <si>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</si>
  <si>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</si>
  <si>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</si>
  <si>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</si>
  <si>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</si>
  <si>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</si>
  <si>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</si>
  <si>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</si>
  <si>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</si>
  <si>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</si>
  <si>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</si>
  <si>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</si>
  <si>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</si>
  <si>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</si>
  <si>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</si>
  <si>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</si>
  <si>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</si>
  <si>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</si>
  <si>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</si>
  <si>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</si>
  <si>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</si>
  <si>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</si>
  <si>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</si>
  <si>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</si>
  <si>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</si>
  <si>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</si>
  <si>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</si>
  <si>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</si>
  <si>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</si>
  <si>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</si>
  <si>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</si>
  <si>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</si>
  <si>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</si>
  <si>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</si>
  <si>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</si>
  <si>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</si>
  <si>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</si>
  <si>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</si>
  <si>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</si>
  <si>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</si>
  <si>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</si>
  <si>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</si>
  <si>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</si>
  <si>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</si>
  <si>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</si>
  <si>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</si>
  <si>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</si>
  <si>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</si>
  <si>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</si>
  <si>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</si>
  <si>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</si>
  <si>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</si>
  <si>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</si>
  <si>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</si>
  <si>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</si>
  <si>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</si>
  <si>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</si>
  <si>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</si>
  <si>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</si>
  <si>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</si>
  <si>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</si>
  <si>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</si>
  <si>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</si>
  <si>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</si>
  <si>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</si>
  <si>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</si>
  <si>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</si>
  <si>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</si>
  <si>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</si>
  <si>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</si>
  <si>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</si>
  <si>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</si>
  <si>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</si>
  <si>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</si>
  <si>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</si>
  <si>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</si>
  <si>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</si>
  <si>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</si>
  <si>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</si>
  <si>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</si>
  <si>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</si>
  <si>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</si>
  <si>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</si>
  <si>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</si>
  <si>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</si>
  <si>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</si>
  <si>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</si>
  <si>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</si>
  <si>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</si>
  <si>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</si>
  <si>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</si>
  <si>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</si>
  <si>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</si>
  <si>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</si>
  <si>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</si>
  <si>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</si>
  <si>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</si>
  <si>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</si>
  <si>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</si>
  <si>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</si>
  <si>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</si>
  <si>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</si>
  <si>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</si>
  <si>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</si>
  <si>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</si>
  <si>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</si>
  <si>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</si>
  <si>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</si>
  <si>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</si>
  <si>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</si>
  <si>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</si>
  <si>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</si>
  <si>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</si>
  <si>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</si>
  <si>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</si>
  <si>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</si>
  <si>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</si>
  <si>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</si>
  <si>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</si>
  <si>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</si>
  <si>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</si>
  <si>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</si>
  <si>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</si>
  <si>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</si>
  <si>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</si>
  <si>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</si>
  <si>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</si>
  <si>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</si>
  <si>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</si>
  <si>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</si>
  <si>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</si>
  <si>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</si>
  <si>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</si>
  <si>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</si>
  <si>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</si>
  <si>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</si>
  <si>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</si>
  <si>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</si>
  <si>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</si>
  <si>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</si>
  <si>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</si>
  <si>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</si>
  <si>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</si>
  <si>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</si>
  <si>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</si>
  <si>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</si>
  <si>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</si>
  <si>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</si>
  <si>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</si>
  <si>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</si>
  <si>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</si>
  <si>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</si>
  <si>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</si>
  <si>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</si>
  <si>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</si>
  <si>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</si>
  <si>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</si>
  <si>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</si>
  <si>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</si>
  <si>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</si>
  <si>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</si>
  <si>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</si>
  <si>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</si>
  <si>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</si>
  <si>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</si>
  <si>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</si>
  <si>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</si>
  <si>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</si>
  <si>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</si>
  <si>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</si>
  <si>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</si>
  <si>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</si>
  <si>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</si>
  <si>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</si>
  <si>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</si>
  <si>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</si>
  <si>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</si>
  <si>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</si>
  <si>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</si>
  <si>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</si>
  <si>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</si>
  <si>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</si>
  <si>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</si>
  <si>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</si>
  <si>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</si>
  <si>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</si>
  <si>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</si>
  <si>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</si>
  <si>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</si>
  <si>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</si>
  <si>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</si>
  <si>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</si>
  <si>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</si>
  <si>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</si>
  <si>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</si>
  <si>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</si>
  <si>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</si>
  <si>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</si>
  <si>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</si>
  <si>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</si>
  <si>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</si>
  <si>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</si>
  <si>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</si>
  <si>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</si>
  <si>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</si>
  <si>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</si>
  <si>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</si>
  <si>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</si>
  <si>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</si>
  <si>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</si>
  <si>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</si>
  <si>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</si>
  <si>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</si>
  <si>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</si>
  <si>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</si>
  <si>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</si>
  <si>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</si>
  <si>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</si>
  <si>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</si>
  <si>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</si>
  <si>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</si>
  <si>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</si>
  <si>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</si>
  <si>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</si>
  <si>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</si>
  <si>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</si>
  <si>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</si>
  <si>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</si>
  <si>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</si>
  <si>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</si>
  <si>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</si>
  <si>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</si>
  <si>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</si>
  <si>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</si>
  <si>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</si>
  <si>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</si>
  <si>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</si>
  <si>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</si>
  <si>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</si>
  <si>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</si>
  <si>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</si>
  <si>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</si>
  <si>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</si>
  <si>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</si>
  <si>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</si>
  <si>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</si>
  <si>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</si>
  <si>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</si>
  <si>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</si>
  <si>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</si>
  <si>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</si>
  <si>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</si>
  <si>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</si>
  <si>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</si>
  <si>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</si>
  <si>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</si>
  <si>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</si>
  <si>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</si>
  <si>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</si>
  <si>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</si>
  <si>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</si>
  <si>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</si>
  <si>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</si>
  <si>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</si>
  <si>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</si>
  <si>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</si>
  <si>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</si>
  <si>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</si>
  <si>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</si>
  <si>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</si>
  <si>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</si>
  <si>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</si>
  <si>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</si>
  <si>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</si>
  <si>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</si>
  <si>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</si>
  <si>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</si>
  <si>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</si>
  <si>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</si>
  <si>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</si>
  <si>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</si>
  <si>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</si>
  <si>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</si>
  <si>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</si>
  <si>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</si>
  <si>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</si>
  <si>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</si>
  <si>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</si>
  <si>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</si>
  <si>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</si>
  <si>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</si>
  <si>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</si>
  <si>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</si>
  <si>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</si>
  <si>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</si>
  <si>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</si>
  <si>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</si>
  <si>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</si>
  <si>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</si>
  <si>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</si>
  <si>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</si>
  <si>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</si>
  <si>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</si>
  <si>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</si>
  <si>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</si>
  <si>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</si>
  <si>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</si>
  <si>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</si>
  <si>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</si>
  <si>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</si>
  <si>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</si>
  <si>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</si>
  <si>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</si>
  <si>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</si>
  <si>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</si>
  <si>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</si>
  <si>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</si>
  <si>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</si>
  <si>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</si>
  <si>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</si>
  <si>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</si>
  <si>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</si>
  <si>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</si>
  <si>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</si>
  <si>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</si>
  <si>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</si>
  <si>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</si>
  <si>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</si>
  <si>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</si>
  <si>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</si>
  <si>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</si>
  <si>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</si>
  <si>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</si>
  <si>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</si>
  <si>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</si>
  <si>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</si>
  <si>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</si>
  <si>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</si>
  <si>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</si>
  <si>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</si>
  <si>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</si>
  <si>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</si>
  <si>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</si>
  <si>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</si>
  <si>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</si>
  <si>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</si>
  <si>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</si>
  <si>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</si>
  <si>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</si>
  <si>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</si>
  <si>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</si>
  <si>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</si>
  <si>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</si>
  <si>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</si>
  <si>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</si>
  <si>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</si>
  <si>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</si>
  <si>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</si>
  <si>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</si>
  <si>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</si>
  <si>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</si>
  <si>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</si>
  <si>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</si>
  <si>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</si>
  <si>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</si>
  <si>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</si>
  <si>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</si>
  <si>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</si>
  <si>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</si>
  <si>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</si>
  <si>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</si>
  <si>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</si>
  <si>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</si>
  <si>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</si>
  <si>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</si>
  <si>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</si>
  <si>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</si>
  <si>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</si>
  <si>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</si>
  <si>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</si>
  <si>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</si>
  <si>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</si>
  <si>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</si>
  <si>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</si>
  <si>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</si>
  <si>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</si>
  <si>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</si>
  <si>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</si>
  <si>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</si>
  <si>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</si>
  <si>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</si>
  <si>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</si>
  <si>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</si>
  <si>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</si>
  <si>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</si>
  <si>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</si>
  <si>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</si>
  <si>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</si>
  <si>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</si>
  <si>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</si>
  <si>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</si>
  <si>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</si>
  <si>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</si>
  <si>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</si>
  <si>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</si>
  <si>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</si>
  <si>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</si>
  <si>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</si>
  <si>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</si>
  <si>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</si>
  <si>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</si>
  <si>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</si>
  <si>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</si>
  <si>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</si>
  <si>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</si>
  <si>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</si>
  <si>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</si>
  <si>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</si>
  <si>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</si>
  <si>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</si>
  <si>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</si>
  <si>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</si>
  <si>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</si>
  <si>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</si>
  <si>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</si>
  <si>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</si>
  <si>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</si>
  <si>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</si>
  <si>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</si>
  <si>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</si>
  <si>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</si>
  <si>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</si>
  <si>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</si>
  <si>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</si>
  <si>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</si>
  <si>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</si>
  <si>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</si>
  <si>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</si>
  <si>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</si>
  <si>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</si>
  <si>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</si>
  <si>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</si>
  <si>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</si>
  <si>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</si>
  <si>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</si>
  <si>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</si>
  <si>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</si>
  <si>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</si>
  <si>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</si>
  <si>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</si>
  <si>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</si>
  <si>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</si>
  <si>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</si>
  <si>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</si>
  <si>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</si>
  <si>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</si>
  <si>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</si>
  <si>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</si>
  <si>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</si>
  <si>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</si>
  <si>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</si>
  <si>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</si>
  <si>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</si>
  <si>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</si>
  <si>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</si>
  <si>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</si>
  <si>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</si>
  <si>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</si>
  <si>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</si>
  <si>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</si>
  <si>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</si>
  <si>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</si>
  <si>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</si>
  <si>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</si>
  <si>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</si>
  <si>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</si>
  <si>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</si>
  <si>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</si>
  <si>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</si>
  <si>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</si>
  <si>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</si>
  <si>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</si>
  <si>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</si>
  <si>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</si>
  <si>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</si>
  <si>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</si>
  <si>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</si>
  <si>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</si>
  <si>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</si>
  <si>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</si>
  <si>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</si>
  <si>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</si>
  <si>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</si>
  <si>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</si>
  <si>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</si>
  <si>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</si>
  <si>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</si>
  <si>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</si>
  <si>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</si>
  <si>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</si>
  <si>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</si>
  <si>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</si>
  <si>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</si>
  <si>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</si>
  <si>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</si>
  <si>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</si>
  <si>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</si>
  <si>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</si>
  <si>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</si>
  <si>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</si>
  <si>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</si>
  <si>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</si>
  <si>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</si>
  <si>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</si>
  <si>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</si>
  <si>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</si>
  <si>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</si>
  <si>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</si>
  <si>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</si>
  <si>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</si>
  <si>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</si>
  <si>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</si>
  <si>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</si>
  <si>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</si>
  <si>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</si>
  <si>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</si>
  <si>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</si>
  <si>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</si>
  <si>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</si>
  <si>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</si>
  <si>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</si>
  <si>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</si>
  <si>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</si>
  <si>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</si>
  <si>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</si>
  <si>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</si>
  <si>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</si>
  <si>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</si>
  <si>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</si>
  <si>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</si>
  <si>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</si>
  <si>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</si>
  <si>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</si>
  <si>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</si>
  <si>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</si>
  <si>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</si>
  <si>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</si>
  <si>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</si>
  <si>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</si>
  <si>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</si>
  <si>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</si>
  <si>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</si>
  <si>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</si>
  <si>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</si>
  <si>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</si>
  <si>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</si>
  <si>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</si>
  <si>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</si>
  <si>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</si>
  <si>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</si>
  <si>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</si>
  <si>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</si>
  <si>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</si>
  <si>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</si>
  <si>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</si>
  <si>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</si>
  <si>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</si>
  <si>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</si>
  <si>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</si>
  <si>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</si>
  <si>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</si>
  <si>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</si>
  <si>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</si>
  <si>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</si>
  <si>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</si>
  <si>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</si>
  <si>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</si>
  <si>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</si>
  <si>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</si>
  <si>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</si>
  <si>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</si>
  <si>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</si>
  <si>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</si>
  <si>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</si>
  <si>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</si>
  <si>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</si>
  <si>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</si>
  <si>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</si>
  <si>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</si>
  <si>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</si>
  <si>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</si>
  <si>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</si>
  <si>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</si>
  <si>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</si>
  <si>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</si>
  <si>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</si>
  <si>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</si>
  <si>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</si>
  <si>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</si>
  <si>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</si>
  <si>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</si>
  <si>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</si>
  <si>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</si>
  <si>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</si>
  <si>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</si>
  <si>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</si>
  <si>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</si>
  <si>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</si>
  <si>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</si>
  <si>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</si>
  <si>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</si>
  <si>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</si>
  <si>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</si>
  <si>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</si>
  <si>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</si>
  <si>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</si>
  <si>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</si>
  <si>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</si>
  <si>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</si>
  <si>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</si>
  <si>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</si>
  <si>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</si>
  <si>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</si>
  <si>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</si>
  <si>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</si>
  <si>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</si>
  <si>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</si>
  <si>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</si>
  <si>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</si>
  <si>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</si>
  <si>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</si>
  <si>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</si>
  <si>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</si>
  <si>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</si>
  <si>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</si>
  <si>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</si>
  <si>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</si>
  <si>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</si>
  <si>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</si>
  <si>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</si>
  <si>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</si>
  <si>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</si>
  <si>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</si>
  <si>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</si>
  <si>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</si>
  <si>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</si>
  <si>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</si>
  <si>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</si>
  <si>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</si>
  <si>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</si>
  <si>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</si>
  <si>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</si>
  <si>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</si>
  <si>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</si>
  <si>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</si>
  <si>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</si>
  <si>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</si>
  <si>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</si>
  <si>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</si>
  <si>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</si>
  <si>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</si>
  <si>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</si>
  <si>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</si>
  <si>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</si>
  <si>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</si>
  <si>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</si>
  <si>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</si>
  <si>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</si>
  <si>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</si>
  <si>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</si>
  <si>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</si>
  <si>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</si>
  <si>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</si>
  <si>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</si>
  <si>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</si>
  <si>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</si>
  <si>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</si>
  <si>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</si>
  <si>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</si>
  <si>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</si>
  <si>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</si>
  <si>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</si>
  <si>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</si>
  <si>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</si>
  <si>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</si>
  <si>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</si>
  <si>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</si>
  <si>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</si>
  <si>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</si>
  <si>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</si>
  <si>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</si>
  <si>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</si>
  <si>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</si>
  <si>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</si>
  <si>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</si>
  <si>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</si>
  <si>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</si>
  <si>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</si>
  <si>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</si>
  <si>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</si>
  <si>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</si>
  <si>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</si>
  <si>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</si>
  <si>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</si>
  <si>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</si>
  <si>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</si>
  <si>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</si>
  <si>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</si>
  <si>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</si>
  <si>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</si>
  <si>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</si>
  <si>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</si>
  <si>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</si>
  <si>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</si>
  <si>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</si>
  <si>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</si>
  <si>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</si>
  <si>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</si>
  <si>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</si>
  <si>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</si>
  <si>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</si>
  <si>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</si>
  <si>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</si>
  <si>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</si>
  <si>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</si>
  <si>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</si>
  <si>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</si>
  <si>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</si>
  <si>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</si>
  <si>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</si>
  <si>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</si>
  <si>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</si>
  <si>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</si>
  <si>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</si>
  <si>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</si>
  <si>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</si>
  <si>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</si>
  <si>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</si>
  <si>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</si>
  <si>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</si>
  <si>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</si>
  <si>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</si>
  <si>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</si>
  <si>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</si>
  <si>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</si>
  <si>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</si>
  <si>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</si>
  <si>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</si>
  <si>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</si>
  <si>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</si>
  <si>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</si>
  <si>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</si>
  <si>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</si>
  <si>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</si>
  <si>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</si>
  <si>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</si>
  <si>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</si>
  <si>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</si>
  <si>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</si>
  <si>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</si>
  <si>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</si>
  <si>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</si>
  <si>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</si>
  <si>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</si>
  <si>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</si>
  <si>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</si>
  <si>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</si>
  <si>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</si>
  <si>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</si>
  <si>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</si>
  <si>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</si>
  <si>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</si>
  <si>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</si>
  <si>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</si>
  <si>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</si>
  <si>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</si>
  <si>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</si>
  <si>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</si>
  <si>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</si>
  <si>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</si>
  <si>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</si>
  <si>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</si>
  <si>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</si>
  <si>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</si>
  <si>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</si>
  <si>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</si>
  <si>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</si>
  <si>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</si>
  <si>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</si>
  <si>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</si>
  <si>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</si>
  <si>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</si>
  <si>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</si>
  <si>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</si>
  <si>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</si>
  <si>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</si>
  <si>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</si>
  <si>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</si>
  <si>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</si>
  <si>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</si>
  <si>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</si>
  <si>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</si>
  <si>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</si>
  <si>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</si>
  <si>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</si>
  <si>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</si>
  <si>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</si>
  <si>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</si>
  <si>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</si>
  <si>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</si>
  <si>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</si>
  <si>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</si>
  <si>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</si>
  <si>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</si>
  <si>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</si>
  <si>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</si>
  <si>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</si>
  <si>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</si>
  <si>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</si>
  <si>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</si>
  <si>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</si>
  <si>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</si>
  <si>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</si>
  <si>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</si>
  <si>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</si>
  <si>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</si>
  <si>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</si>
  <si>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</si>
  <si>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</si>
  <si>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</si>
  <si>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</si>
  <si>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</si>
  <si>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</si>
  <si>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</si>
  <si>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</si>
  <si>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</si>
  <si>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</si>
  <si>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</si>
  <si>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</si>
  <si>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</si>
  <si>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</si>
  <si>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</si>
  <si>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</si>
  <si>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</si>
  <si>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</si>
  <si>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</si>
  <si>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</si>
  <si>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</si>
  <si>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</si>
  <si>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</si>
  <si>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</si>
  <si>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</si>
  <si>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</si>
  <si>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</si>
  <si>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</si>
  <si>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</si>
  <si>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</si>
  <si>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</si>
  <si>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</si>
  <si>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</si>
  <si>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</si>
  <si>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</si>
  <si>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</si>
  <si>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</si>
  <si>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</si>
  <si>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</si>
  <si>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</si>
  <si>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</si>
  <si>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</si>
  <si>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</si>
  <si>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</si>
  <si>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</si>
  <si>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</si>
  <si>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</si>
  <si>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</si>
  <si>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</si>
  <si>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</si>
  <si>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</si>
  <si>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</si>
  <si>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</si>
  <si>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</si>
  <si>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</si>
  <si>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</si>
  <si>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</si>
  <si>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</si>
  <si>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</si>
  <si>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</si>
  <si>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</si>
  <si>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</si>
  <si>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</si>
  <si>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</si>
  <si>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</si>
  <si>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</si>
  <si>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</si>
  <si>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</si>
  <si>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</si>
  <si>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</si>
  <si>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</si>
  <si>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</si>
  <si>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</si>
  <si>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</si>
  <si>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</si>
  <si>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</si>
  <si>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</si>
  <si>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</si>
  <si>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</si>
  <si>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</si>
  <si>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</si>
  <si>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</si>
  <si>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</si>
  <si>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</si>
  <si>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</si>
  <si>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</si>
  <si>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</si>
  <si>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</si>
  <si>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</si>
  <si>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</si>
  <si>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</si>
  <si>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</si>
  <si>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</si>
  <si>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</si>
  <si>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</si>
  <si>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</si>
  <si>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</si>
  <si>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</si>
  <si>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</si>
  <si>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</si>
  <si>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</si>
  <si>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</si>
  <si>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</si>
  <si>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</si>
  <si>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</si>
  <si>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</si>
  <si>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</si>
  <si>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</si>
  <si>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</si>
  <si>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</si>
  <si>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</si>
  <si>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</si>
  <si>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</si>
  <si>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</si>
  <si>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</si>
  <si>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</si>
  <si>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</si>
  <si>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</si>
  <si>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</si>
  <si>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</si>
  <si>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</si>
  <si>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</si>
  <si>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</si>
  <si>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</si>
  <si>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</si>
  <si>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</si>
  <si>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</si>
  <si>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</si>
  <si>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</si>
  <si>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</si>
  <si>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</si>
  <si>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</si>
  <si>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</si>
  <si>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</si>
  <si>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</si>
  <si>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</si>
  <si>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</si>
  <si>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</si>
  <si>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</si>
  <si>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</si>
  <si>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</si>
  <si>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</si>
  <si>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</si>
  <si>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</si>
  <si>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</si>
  <si>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</si>
  <si>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</si>
  <si>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</si>
  <si>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</si>
  <si>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</si>
  <si>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</si>
  <si>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</si>
  <si>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</si>
  <si>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</si>
  <si>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</si>
  <si>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</si>
  <si>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</si>
  <si>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</si>
  <si>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</si>
  <si>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</si>
  <si>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</si>
  <si>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</si>
  <si>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</si>
  <si>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</si>
  <si>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</si>
  <si>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</si>
  <si>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</si>
  <si>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</si>
  <si>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</si>
  <si>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</si>
  <si>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</si>
  <si>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</si>
  <si>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</si>
  <si>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</si>
  <si>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</si>
  <si>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</si>
  <si>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</si>
  <si>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</si>
  <si>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</si>
  <si>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</si>
  <si>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</si>
  <si>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</si>
  <si>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</si>
  <si>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</si>
  <si>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</si>
  <si>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</si>
  <si>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</si>
  <si>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</si>
  <si>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</si>
  <si>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</si>
  <si>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</si>
  <si>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</si>
  <si>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</si>
  <si>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</si>
  <si>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</si>
  <si>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</si>
  <si>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</si>
  <si>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</si>
  <si>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</si>
  <si>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</si>
  <si>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</si>
  <si>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</si>
  <si>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</si>
  <si>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</si>
  <si>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</si>
  <si>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</si>
  <si>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</si>
  <si>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</si>
  <si>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</si>
  <si>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</si>
  <si>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</si>
  <si>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</si>
  <si>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</si>
  <si>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</si>
  <si>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</si>
  <si>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</si>
  <si>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</si>
  <si>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</si>
  <si>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</si>
  <si>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</si>
  <si>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</si>
  <si>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</si>
  <si>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</si>
  <si>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</si>
  <si>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</si>
  <si>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</si>
  <si>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</si>
  <si>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</si>
  <si>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</si>
  <si>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</si>
  <si>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</si>
  <si>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</si>
  <si>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</si>
  <si>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</si>
  <si>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</si>
  <si>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</si>
  <si>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</si>
  <si>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</si>
  <si>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</si>
  <si>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</si>
  <si>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</si>
  <si>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</si>
  <si>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</si>
  <si>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</si>
  <si>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</si>
  <si>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</si>
  <si>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</si>
  <si>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</si>
  <si>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</si>
  <si>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</si>
  <si>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</si>
  <si>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</si>
  <si>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</si>
  <si>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</si>
  <si>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</si>
  <si>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</si>
  <si>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</si>
  <si>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</si>
  <si>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</si>
  <si>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</si>
  <si>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</si>
  <si>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</si>
  <si>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</si>
  <si>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</si>
  <si>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</si>
  <si>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</si>
  <si>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</si>
  <si>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</si>
  <si>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</si>
  <si>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</si>
  <si>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</si>
  <si>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</si>
  <si>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</si>
  <si>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</si>
  <si>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</si>
  <si>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</si>
  <si>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</si>
  <si>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</si>
  <si>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</si>
  <si>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</si>
  <si>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</si>
  <si>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</si>
  <si>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</si>
  <si>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</si>
  <si>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</si>
  <si>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</si>
  <si>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</si>
  <si>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</si>
  <si>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</si>
  <si>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</si>
  <si>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</si>
  <si>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</si>
  <si>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</si>
  <si>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</si>
  <si>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</si>
  <si>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</si>
  <si>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</si>
  <si>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</si>
  <si>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</si>
  <si>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</si>
  <si>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</si>
  <si>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</si>
  <si>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</si>
  <si>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</si>
  <si>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</si>
  <si>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</si>
  <si>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</si>
  <si>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</si>
  <si>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</si>
  <si>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</si>
  <si>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</si>
  <si>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</si>
  <si>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</si>
  <si>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</si>
  <si>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</si>
  <si>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</si>
  <si>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</si>
  <si>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</si>
  <si>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</si>
  <si>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</si>
  <si>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</si>
  <si>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</si>
  <si>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</si>
  <si>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</si>
  <si>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</si>
  <si>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</si>
  <si>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</si>
  <si>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</si>
  <si>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</si>
  <si>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</si>
  <si>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</si>
  <si>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</si>
  <si>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</si>
  <si>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</si>
  <si>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</si>
  <si>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</si>
  <si>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</si>
  <si>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</si>
  <si>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</si>
  <si>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</si>
  <si>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</si>
  <si>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</si>
  <si>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</si>
  <si>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</si>
  <si>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</si>
  <si>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</si>
  <si>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</si>
  <si>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</si>
  <si>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</si>
  <si>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</si>
  <si>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</si>
  <si>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</si>
  <si>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</si>
  <si>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</si>
  <si>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</si>
  <si>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</si>
  <si>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</si>
  <si>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</si>
  <si>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</si>
  <si>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</si>
  <si>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</si>
  <si>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</si>
  <si>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</si>
  <si>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</si>
  <si>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</si>
  <si>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</si>
  <si>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</si>
  <si>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</si>
  <si>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</si>
  <si>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</si>
  <si>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</si>
  <si>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</si>
  <si>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</si>
  <si>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</si>
  <si>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</si>
  <si>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</si>
  <si>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</si>
  <si>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</si>
  <si>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</si>
  <si>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</si>
  <si>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</si>
  <si>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</si>
  <si>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</si>
  <si>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</si>
  <si>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</si>
  <si>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</si>
  <si>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</si>
  <si>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</si>
  <si>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</si>
  <si>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</si>
  <si>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</si>
  <si>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</si>
  <si>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</si>
  <si>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</si>
  <si>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</si>
  <si>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</si>
  <si>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</si>
  <si>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</si>
  <si>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</si>
  <si>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</si>
  <si>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</si>
  <si>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</si>
  <si>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</si>
  <si>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</si>
  <si>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</si>
  <si>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</si>
  <si>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</si>
  <si>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</si>
  <si>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</si>
  <si>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</si>
  <si>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</si>
  <si>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</si>
  <si>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</si>
  <si>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</si>
  <si>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</si>
  <si>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</si>
  <si>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</si>
  <si>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</si>
  <si>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</si>
  <si>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</si>
  <si>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</si>
  <si>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</si>
  <si>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</si>
  <si>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</si>
  <si>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</si>
  <si>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</si>
  <si>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</si>
  <si>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</si>
  <si>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</si>
  <si>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</si>
  <si>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</si>
  <si>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</si>
  <si>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</si>
  <si>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</si>
  <si>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</si>
  <si>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</si>
  <si>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</si>
  <si>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</si>
  <si>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</si>
  <si>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</si>
  <si>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</si>
  <si>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</si>
  <si>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</si>
  <si>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</si>
  <si>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</si>
  <si>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</si>
  <si>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</si>
  <si>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</si>
  <si>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</si>
  <si>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</si>
  <si>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</si>
  <si>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</si>
  <si>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</si>
  <si>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</si>
  <si>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</si>
  <si>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</si>
  <si>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</si>
  <si>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</si>
  <si>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</si>
  <si>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</si>
  <si>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</si>
  <si>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</si>
  <si>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</si>
  <si>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</si>
  <si>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</si>
  <si>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</si>
  <si>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</si>
  <si>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</si>
  <si>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</si>
  <si>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</si>
  <si>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</si>
  <si>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</si>
  <si>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</si>
  <si>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</si>
  <si>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</si>
  <si>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</si>
  <si>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</si>
  <si>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</si>
  <si>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</si>
  <si>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</si>
  <si>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</si>
  <si>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</si>
  <si>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</si>
  <si>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</si>
  <si>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</si>
  <si>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</si>
  <si>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</si>
  <si>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</si>
  <si>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</si>
  <si>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</si>
  <si>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</si>
  <si>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</si>
  <si>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</si>
  <si>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</si>
  <si>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</si>
  <si>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</si>
  <si>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</si>
  <si>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</si>
  <si>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</si>
  <si>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</si>
  <si>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</si>
  <si>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</si>
  <si>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</si>
  <si>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</si>
  <si>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</si>
  <si>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</si>
  <si>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</si>
  <si>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</si>
  <si>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</si>
  <si>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</si>
  <si>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</si>
  <si>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</si>
  <si>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</si>
  <si>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</si>
  <si>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</si>
  <si>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</si>
  <si>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</si>
  <si>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</si>
  <si>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</si>
  <si>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</si>
  <si>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</si>
  <si>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</si>
  <si>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</si>
  <si>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</si>
  <si>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</si>
  <si>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</si>
  <si>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</si>
  <si>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</si>
  <si>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</si>
  <si>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</si>
  <si>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</si>
  <si>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</si>
  <si>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</si>
  <si>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</si>
  <si>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</si>
  <si>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</si>
  <si>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</si>
  <si>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</si>
  <si>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</si>
  <si>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</si>
  <si>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</si>
  <si>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</si>
  <si>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</si>
  <si>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</si>
  <si>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</si>
  <si>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</si>
  <si>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</si>
  <si>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</si>
  <si>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</si>
  <si>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</si>
  <si>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</si>
  <si>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</si>
  <si>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</si>
  <si>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</si>
  <si>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</si>
  <si>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</si>
  <si>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</si>
  <si>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</si>
  <si>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</si>
  <si>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</si>
  <si>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</si>
  <si>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</si>
  <si>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</si>
  <si>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</si>
  <si>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</si>
  <si>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</si>
  <si>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</si>
  <si>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</si>
  <si>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</si>
  <si>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</si>
  <si>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</si>
  <si>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</si>
  <si>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</si>
  <si>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</si>
  <si>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</si>
  <si>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</si>
  <si>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</si>
  <si>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</si>
  <si>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</si>
  <si>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</si>
  <si>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</si>
  <si>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</si>
  <si>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</si>
  <si>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</si>
  <si>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</si>
  <si>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</si>
  <si>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</si>
  <si>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</si>
  <si>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</si>
  <si>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</si>
  <si>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</si>
  <si>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</si>
  <si>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</si>
  <si>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</si>
  <si>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</si>
  <si>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</si>
  <si>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</si>
  <si>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</si>
  <si>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</si>
  <si>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</si>
  <si>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</si>
  <si>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</si>
  <si>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</si>
  <si>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</si>
  <si>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</si>
  <si>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</si>
  <si>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</si>
  <si>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</si>
  <si>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</si>
  <si>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</si>
  <si>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</si>
  <si>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</si>
  <si>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</si>
  <si>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</si>
  <si>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</si>
  <si>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</si>
  <si>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</si>
  <si>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</si>
  <si>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</si>
  <si>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</si>
  <si>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</si>
  <si>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</si>
  <si>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</si>
  <si>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</si>
  <si>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</si>
  <si>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</si>
  <si>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</si>
  <si>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</si>
  <si>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</si>
  <si>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</si>
  <si>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</si>
  <si>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</si>
  <si>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</si>
  <si>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</si>
  <si>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</si>
  <si>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</si>
  <si>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</si>
  <si>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</si>
  <si>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</si>
  <si>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</si>
  <si>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</si>
  <si>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</si>
  <si>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</si>
  <si>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</si>
  <si>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</si>
  <si>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</si>
  <si>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</si>
  <si>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</si>
  <si>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</si>
  <si>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</si>
  <si>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</si>
  <si>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</si>
  <si>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</si>
  <si>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</si>
  <si>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</si>
  <si>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</si>
  <si>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</si>
  <si>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</si>
  <si>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</si>
  <si>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</si>
  <si>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</si>
  <si>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</si>
  <si>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</si>
  <si>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</si>
  <si>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</si>
  <si>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</si>
  <si>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</si>
  <si>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</si>
  <si>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</si>
  <si>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</si>
  <si>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</si>
  <si>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</si>
  <si>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</si>
  <si>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</si>
  <si>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</si>
  <si>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</si>
  <si>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</si>
  <si>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</si>
  <si>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</si>
  <si>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</si>
  <si>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</si>
  <si>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</si>
  <si>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</si>
  <si>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</si>
  <si>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</si>
  <si>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</si>
  <si>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</si>
  <si>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</si>
  <si>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</si>
  <si>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</si>
  <si>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</si>
  <si>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</si>
  <si>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</si>
  <si>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</si>
  <si>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</si>
  <si>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</si>
  <si>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</si>
  <si>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</si>
  <si>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</si>
  <si>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</si>
  <si>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</si>
  <si>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</si>
  <si>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</si>
  <si>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</si>
  <si>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</si>
  <si>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</si>
  <si>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</si>
  <si>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</si>
  <si>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</si>
  <si>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</si>
  <si>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</si>
  <si>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</si>
  <si>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</si>
  <si>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</si>
  <si>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</si>
  <si>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</si>
  <si>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</si>
  <si>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</si>
  <si>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</si>
  <si>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</si>
  <si>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</si>
  <si>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</si>
  <si>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</si>
  <si>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</si>
  <si>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</si>
  <si>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</si>
  <si>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</si>
  <si>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</si>
  <si>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</si>
  <si>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</si>
  <si>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</si>
  <si>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</si>
  <si>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</si>
  <si>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</si>
  <si>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</si>
  <si>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</si>
  <si>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</si>
  <si>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</si>
  <si>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</si>
  <si>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</si>
  <si>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</si>
  <si>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</si>
  <si>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</si>
  <si>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</si>
  <si>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</si>
  <si>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</si>
  <si>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</si>
  <si>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</si>
  <si>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</si>
  <si>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</si>
  <si>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</si>
  <si>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</si>
  <si>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</si>
  <si>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</si>
  <si>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</si>
  <si>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</si>
  <si>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</si>
  <si>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</si>
  <si>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</si>
  <si>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</si>
  <si>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</si>
  <si>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</si>
  <si>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</si>
  <si>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</si>
  <si>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</si>
  <si>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</si>
  <si>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</si>
  <si>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</si>
  <si>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</si>
  <si>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</si>
  <si>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</si>
  <si>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</si>
  <si>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</si>
  <si>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</si>
  <si>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</si>
  <si>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</si>
  <si>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</si>
  <si>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</si>
  <si>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</si>
  <si>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</si>
  <si>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</si>
  <si>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</si>
  <si>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</si>
  <si>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</si>
  <si>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</si>
  <si>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</si>
  <si>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</si>
  <si>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</si>
  <si>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</si>
  <si>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</si>
  <si>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</si>
  <si>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</si>
  <si>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</si>
  <si>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</si>
  <si>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</si>
  <si>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</si>
  <si>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</si>
  <si>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</si>
  <si>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</si>
  <si>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</si>
  <si>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</si>
  <si>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</si>
  <si>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</si>
  <si>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</si>
  <si>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</si>
  <si>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</si>
  <si>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</si>
  <si>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</si>
  <si>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</si>
  <si>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</si>
  <si>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</si>
  <si>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</si>
  <si>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</si>
  <si>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</si>
  <si>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</si>
  <si>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</si>
  <si>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</si>
  <si>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</si>
  <si>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</si>
  <si>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</si>
  <si>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</si>
  <si>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</si>
  <si>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</si>
  <si>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</si>
  <si>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</si>
  <si>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</si>
  <si>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</si>
  <si>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</si>
  <si>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</si>
  <si>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</si>
  <si>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</si>
  <si>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</si>
  <si>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</si>
  <si>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</si>
  <si>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</si>
  <si>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</si>
  <si>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</si>
  <si>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</si>
  <si>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</si>
  <si>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</si>
  <si>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</si>
  <si>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</si>
  <si>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</si>
  <si>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</si>
  <si>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</si>
  <si>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</si>
  <si>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</si>
  <si>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</si>
  <si>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</si>
  <si>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</si>
  <si>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</si>
  <si>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</si>
  <si>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</si>
  <si>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</si>
  <si>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</si>
  <si>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</si>
  <si>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</si>
  <si>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</si>
  <si>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</si>
  <si>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</si>
  <si>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</si>
  <si>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</si>
  <si>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</si>
  <si>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</si>
  <si>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</si>
  <si>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</si>
  <si>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</si>
  <si>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</si>
  <si>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</si>
  <si>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</si>
  <si>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</si>
  <si>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</si>
  <si>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</si>
  <si>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</si>
  <si>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</si>
  <si>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</si>
  <si>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</si>
  <si>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</si>
  <si>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</si>
  <si>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</si>
  <si>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</si>
  <si>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</si>
  <si>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</si>
  <si>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</si>
  <si>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</si>
  <si>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</si>
  <si>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</si>
  <si>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</si>
  <si>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</si>
  <si>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</si>
  <si>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</si>
  <si>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</si>
  <si>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</si>
  <si>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</si>
  <si>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</si>
  <si>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</si>
  <si>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</si>
  <si>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</si>
  <si>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</si>
  <si>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</si>
  <si>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</si>
  <si>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</si>
  <si>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</si>
  <si>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</si>
  <si>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</si>
  <si>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</si>
  <si>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</si>
  <si>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</si>
  <si>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</si>
  <si>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</si>
  <si>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</si>
  <si>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</si>
  <si>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</si>
  <si>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</si>
  <si>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</si>
  <si>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</si>
  <si>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</si>
  <si>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</si>
  <si>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</si>
  <si>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</si>
  <si>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</si>
  <si>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</si>
  <si>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</si>
  <si>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</si>
  <si>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</si>
  <si>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</si>
  <si>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</si>
  <si>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</si>
  <si>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</si>
  <si>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</si>
  <si>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</si>
  <si>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</si>
  <si>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</si>
  <si>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</si>
  <si>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</si>
  <si>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</si>
  <si>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</si>
  <si>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</si>
  <si>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</si>
  <si>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</si>
  <si>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</si>
  <si>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</si>
  <si>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</si>
  <si>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</si>
  <si>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</si>
  <si>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</si>
  <si>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</si>
  <si>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</si>
  <si>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</si>
  <si>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</si>
  <si>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</si>
  <si>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</si>
  <si>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</si>
  <si>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</si>
  <si>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</si>
  <si>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</si>
  <si>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</si>
  <si>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</si>
  <si>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</si>
  <si>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</si>
  <si>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</si>
  <si>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</si>
  <si>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</si>
  <si>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</si>
  <si>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</si>
  <si>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</si>
  <si>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</si>
  <si>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</si>
  <si>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</si>
  <si>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</si>
  <si>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</si>
  <si>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</si>
  <si>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</si>
  <si>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</si>
  <si>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</si>
  <si>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</si>
  <si>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</si>
  <si>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</si>
  <si>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</si>
  <si>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</si>
  <si>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</si>
  <si>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</si>
  <si>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</si>
  <si>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</si>
  <si>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</si>
  <si>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FBHWP484</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</si>
  <si>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</si>
  <si>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</si>
  <si>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</si>
  <si>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</si>
  <si>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</si>
  <si>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</si>
  <si>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</si>
  <si>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</si>
  <si>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</si>
  <si>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</si>
  <si>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</si>
  <si>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</si>
  <si>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</si>
  <si>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</si>
  <si>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</si>
  <si>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</si>
  <si>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</si>
  <si>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</si>
  <si>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</si>
  <si>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</si>
  <si>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</si>
  <si>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</si>
  <si>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</si>
  <si>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</si>
  <si>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</si>
  <si>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</si>
  <si>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</si>
  <si>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</si>
  <si>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</si>
  <si>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</si>
  <si>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</si>
  <si>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</si>
  <si>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</si>
  <si>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</si>
  <si>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</si>
  <si>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</si>
  <si>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</si>
  <si>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</si>
  <si>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</si>
  <si>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</si>
  <si>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</si>
  <si>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</si>
  <si>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</si>
  <si>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</si>
  <si>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</si>
  <si>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</si>
  <si>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</si>
  <si>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</si>
  <si>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</si>
  <si>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</si>
  <si>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</si>
  <si>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</si>
  <si>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</si>
  <si>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</si>
  <si>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</si>
  <si>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</si>
  <si>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</si>
  <si>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</si>
  <si>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</si>
  <si>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</si>
  <si>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</si>
  <si>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</si>
  <si>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</si>
  <si>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</si>
  <si>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</si>
  <si>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</si>
  <si>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</si>
  <si>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</si>
  <si>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</si>
  <si>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</si>
  <si>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</si>
  <si>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</si>
  <si>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</si>
  <si>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</si>
  <si>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</si>
  <si>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</si>
  <si>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</si>
  <si>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</si>
  <si>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</si>
  <si>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</si>
  <si>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</si>
  <si>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</si>
  <si>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</si>
  <si>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</si>
  <si>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</si>
  <si>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</si>
  <si>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</si>
  <si>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</si>
  <si>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</si>
  <si>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</si>
  <si>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</si>
  <si>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</si>
  <si>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</si>
  <si>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</si>
  <si>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</si>
  <si>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</si>
  <si>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</si>
  <si>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</si>
  <si>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</si>
  <si>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</si>
  <si>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</si>
  <si>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</si>
  <si>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</si>
  <si>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</si>
  <si>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</si>
  <si>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</si>
  <si>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</si>
  <si>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</si>
  <si>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</si>
  <si>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/Kattleone</t>
  </si>
  <si>
    <t>Lightspeed In-House/Kattleone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</si>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</sst>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R31" activePane="topRight" state="frozen"/>
      <selection pane="topRight" activeCell="R40" sqref="R4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209">
        <v>3207</v>
      </c>
      <c r="X4" s="1209">
        <f t="shared" si="0"/>
        <v>589</v>
      </c>
      <c r="Y4" s="662">
        <f t="shared" si="1"/>
        <v>0.84483667017913588</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1">
        <v>109</v>
      </c>
      <c r="I87" s="828" t="s">
        <v>55</v>
      </c>
      <c r="J87" s="831" t="s">
        <v>63</v>
      </c>
      <c r="K87" s="1455"/>
      <c r="L87" s="1347"/>
      <c r="M87" s="1461" t="s">
        <v>90</v>
      </c>
      <c r="N87" s="1456"/>
      <c r="O87" s="1461" t="s">
        <v>90</v>
      </c>
      <c r="P87" s="1462" t="s">
        <v>58</v>
      </c>
      <c r="Q87" s="1457"/>
      <c r="R87" s="1457"/>
      <c r="S87" s="1457"/>
      <c r="T87" s="1457"/>
      <c r="U87" s="1457"/>
      <c r="V87" s="1458">
        <v>6825</v>
      </c>
      <c r="W87" s="1459"/>
      <c r="X87" s="1459">
        <f>SUM(V87-W87)</f>
        <v>6825</v>
      </c>
      <c r="Y87" s="662">
        <f>IFERROR($W87/$V87, 0)</f>
        <v>0</v>
      </c>
      <c r="Z87" s="1460"/>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1">
        <v>0</v>
      </c>
      <c r="I94" s="828" t="s">
        <v>55</v>
      </c>
      <c r="J94" s="1205" t="s">
        <v>89</v>
      </c>
      <c r="K94" s="1205" t="s">
        <v>77</v>
      </c>
      <c r="L94" s="1347"/>
      <c r="M94" s="1225" t="s">
        <v>90</v>
      </c>
      <c r="N94" s="1236"/>
      <c r="O94" s="1225" t="s">
        <v>90</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303</v>
      </c>
      <c r="AE94" s="1273"/>
    </row>
    <row r="95" spans="1:31" ht="24.75" customHeight="1">
      <c r="A95" s="1436" t="s">
        <v>304</v>
      </c>
      <c r="B95" s="1016" t="s">
        <v>287</v>
      </c>
      <c r="C95" s="1421">
        <v>46051</v>
      </c>
      <c r="D95" s="1346"/>
      <c r="E95" s="1347"/>
      <c r="F95" s="1346"/>
      <c r="G95" s="1224"/>
      <c r="H95" s="1461">
        <v>0</v>
      </c>
      <c r="I95" s="828" t="s">
        <v>55</v>
      </c>
      <c r="J95" s="1205" t="s">
        <v>89</v>
      </c>
      <c r="K95" s="1205" t="s">
        <v>77</v>
      </c>
      <c r="L95" s="1347"/>
      <c r="M95" s="1225" t="s">
        <v>90</v>
      </c>
      <c r="N95" s="1236"/>
      <c r="O95" s="1225" t="s">
        <v>90</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303</v>
      </c>
      <c r="AE95" s="1273"/>
    </row>
    <row r="96" spans="1:31" ht="24.75" customHeight="1">
      <c r="A96" s="1436" t="s">
        <v>305</v>
      </c>
      <c r="B96" s="1016" t="s">
        <v>287</v>
      </c>
      <c r="C96" s="1421">
        <v>46051</v>
      </c>
      <c r="D96" s="1346"/>
      <c r="E96" s="1347"/>
      <c r="F96" s="1346"/>
      <c r="G96" s="1224"/>
      <c r="H96" s="1461">
        <v>0</v>
      </c>
      <c r="I96" s="828" t="s">
        <v>55</v>
      </c>
      <c r="J96" s="1205" t="s">
        <v>89</v>
      </c>
      <c r="K96" s="1205" t="s">
        <v>77</v>
      </c>
      <c r="L96" s="1347"/>
      <c r="M96" s="1225" t="s">
        <v>90</v>
      </c>
      <c r="N96" s="1236"/>
      <c r="O96" s="1225" t="s">
        <v>90</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303</v>
      </c>
      <c r="AE96" s="1273"/>
    </row>
    <row r="97" spans="1:31" ht="24.75" customHeight="1">
      <c r="A97" s="1436" t="s">
        <v>306</v>
      </c>
      <c r="B97" s="1016" t="s">
        <v>287</v>
      </c>
      <c r="C97" s="1421">
        <v>46051</v>
      </c>
      <c r="D97" s="1346"/>
      <c r="E97" s="1347"/>
      <c r="F97" s="1346"/>
      <c r="G97" s="1224"/>
      <c r="H97" s="1461">
        <v>0</v>
      </c>
      <c r="I97" s="828" t="s">
        <v>55</v>
      </c>
      <c r="J97" s="1205" t="s">
        <v>89</v>
      </c>
      <c r="K97" s="1205" t="s">
        <v>77</v>
      </c>
      <c r="L97" s="1347"/>
      <c r="M97" s="1225" t="s">
        <v>90</v>
      </c>
      <c r="N97" s="1236"/>
      <c r="O97" s="1225" t="s">
        <v>90</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4"/>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4"/>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4"/>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4"/>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4"/>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4"/>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4"/>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4"/>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4"/>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7"/>
      <c r="R132" s="1369"/>
      <c r="S132" s="1369"/>
      <c r="T132" s="1369"/>
      <c r="U132" s="1369"/>
      <c r="V132" s="1371">
        <v>3682</v>
      </c>
      <c r="W132" s="1468"/>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635</v>
      </c>
      <c r="K5">
        <v>6147</v>
      </c>
      <c r="N5" t="s">
        <v>635</v>
      </c>
      <c r="O5">
        <v>7120</v>
      </c>
      <c r="P5">
        <v>22896</v>
      </c>
      <c r="Q5">
        <v>7447</v>
      </c>
      <c r="R5">
        <v>37463</v>
      </c>
    </row>
    <row r="6" spans="1:18">
      <c r="A6" t="s">
        <v>824</v>
      </c>
      <c r="C6">
        <v>202</v>
      </c>
      <c r="G6">
        <v>202</v>
      </c>
      <c r="J6" t="s">
        <v>126</v>
      </c>
      <c r="K6">
        <v>22274</v>
      </c>
      <c r="N6" t="s">
        <v>126</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138</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138</v>
      </c>
      <c r="K13">
        <v>7128</v>
      </c>
      <c r="N13" t="s">
        <v>649</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639</v>
      </c>
      <c r="K16">
        <v>4828</v>
      </c>
    </row>
    <row r="17" spans="1:11">
      <c r="A17" t="s">
        <v>815</v>
      </c>
      <c r="E17">
        <v>547</v>
      </c>
      <c r="F17">
        <v>792</v>
      </c>
      <c r="G17">
        <v>1339</v>
      </c>
      <c r="J17" t="s">
        <v>649</v>
      </c>
      <c r="K17">
        <v>6718</v>
      </c>
    </row>
    <row r="18" spans="1:11">
      <c r="A18" t="s">
        <v>818</v>
      </c>
      <c r="F18">
        <v>823</v>
      </c>
      <c r="G18">
        <v>823</v>
      </c>
      <c r="J18" t="s">
        <v>531</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645</v>
      </c>
      <c r="E30">
        <v>1806</v>
      </c>
      <c r="F30">
        <v>345</v>
      </c>
      <c r="G30">
        <v>2151</v>
      </c>
    </row>
    <row r="31" spans="1:11">
      <c r="A31" t="s">
        <v>694</v>
      </c>
      <c r="E31">
        <v>47</v>
      </c>
      <c r="F31">
        <v>1494</v>
      </c>
      <c r="G31">
        <v>1541</v>
      </c>
    </row>
    <row r="32" spans="1:11" hidden="1">
      <c r="A32" t="s">
        <v>652</v>
      </c>
    </row>
    <row r="33" spans="1:7">
      <c r="A33" t="s">
        <v>811</v>
      </c>
      <c r="F33">
        <v>1095</v>
      </c>
      <c r="G33">
        <v>1095</v>
      </c>
    </row>
    <row r="34" spans="1:7">
      <c r="A34" t="s">
        <v>642</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645</v>
      </c>
      <c r="D54">
        <v>400</v>
      </c>
      <c r="F54">
        <v>384</v>
      </c>
      <c r="G54">
        <v>784</v>
      </c>
    </row>
    <row r="55" spans="1:7">
      <c r="A55" t="s">
        <v>694</v>
      </c>
      <c r="B55">
        <v>2087</v>
      </c>
      <c r="F55">
        <v>0</v>
      </c>
      <c r="G55">
        <v>2087</v>
      </c>
    </row>
    <row r="56" spans="1:7" hidden="1">
      <c r="A56" t="s">
        <v>652</v>
      </c>
      <c r="F56">
        <v>0</v>
      </c>
      <c r="G56">
        <v>0</v>
      </c>
    </row>
    <row r="57" spans="1:7">
      <c r="A57" t="s">
        <v>811</v>
      </c>
      <c r="C57">
        <v>860</v>
      </c>
      <c r="D57">
        <v>1540</v>
      </c>
      <c r="E57">
        <v>1360</v>
      </c>
      <c r="F57">
        <v>0</v>
      </c>
      <c r="G57">
        <v>3760</v>
      </c>
    </row>
    <row r="58" spans="1:7">
      <c r="A58" t="s">
        <v>642</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638</v>
      </c>
      <c r="C65">
        <v>956</v>
      </c>
      <c r="E65">
        <v>1168</v>
      </c>
      <c r="F65">
        <v>0</v>
      </c>
      <c r="G65">
        <v>2124</v>
      </c>
    </row>
    <row r="66" spans="1:7" hidden="1">
      <c r="A66" t="s">
        <v>1075</v>
      </c>
      <c r="F66">
        <v>0</v>
      </c>
      <c r="G66">
        <v>0</v>
      </c>
    </row>
    <row r="67" spans="1:7">
      <c r="A67" t="s">
        <v>648</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645</v>
      </c>
      <c r="C90">
        <v>840</v>
      </c>
      <c r="D90">
        <v>0</v>
      </c>
      <c r="E90">
        <v>0</v>
      </c>
      <c r="F90">
        <v>0</v>
      </c>
      <c r="G90">
        <v>840</v>
      </c>
    </row>
    <row r="91" spans="1:7">
      <c r="A91" t="s">
        <v>694</v>
      </c>
      <c r="B91">
        <v>0</v>
      </c>
      <c r="D91">
        <v>0</v>
      </c>
      <c r="E91">
        <v>0</v>
      </c>
      <c r="F91">
        <v>0</v>
      </c>
      <c r="G91">
        <v>0</v>
      </c>
    </row>
    <row r="92" spans="1:7">
      <c r="A92" t="s">
        <v>652</v>
      </c>
      <c r="B92">
        <v>0</v>
      </c>
      <c r="D92">
        <v>0</v>
      </c>
      <c r="E92">
        <v>0</v>
      </c>
      <c r="F92">
        <v>0</v>
      </c>
      <c r="G92">
        <v>0</v>
      </c>
    </row>
    <row r="93" spans="1:7">
      <c r="A93" t="s">
        <v>811</v>
      </c>
      <c r="B93">
        <v>1460</v>
      </c>
      <c r="C93">
        <v>970</v>
      </c>
      <c r="D93">
        <v>430</v>
      </c>
      <c r="E93">
        <v>0</v>
      </c>
      <c r="F93">
        <v>0</v>
      </c>
      <c r="G93">
        <v>2860</v>
      </c>
    </row>
    <row r="94" spans="1:7">
      <c r="A94" t="s">
        <v>642</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638</v>
      </c>
      <c r="B101">
        <v>0</v>
      </c>
      <c r="D101">
        <v>0</v>
      </c>
      <c r="E101">
        <v>0</v>
      </c>
      <c r="F101">
        <v>0</v>
      </c>
      <c r="G101">
        <v>0</v>
      </c>
    </row>
    <row r="102" spans="1:7">
      <c r="A102" t="s">
        <v>1075</v>
      </c>
      <c r="B102">
        <v>0</v>
      </c>
      <c r="D102">
        <v>0</v>
      </c>
      <c r="E102">
        <v>0</v>
      </c>
      <c r="F102">
        <v>0</v>
      </c>
      <c r="G102">
        <v>0</v>
      </c>
    </row>
    <row r="103" spans="1:7">
      <c r="A103" t="s">
        <v>648</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645</v>
      </c>
      <c r="B137">
        <v>0</v>
      </c>
      <c r="C137">
        <v>0</v>
      </c>
      <c r="D137">
        <v>0</v>
      </c>
      <c r="E137">
        <v>0</v>
      </c>
      <c r="G137">
        <v>0</v>
      </c>
    </row>
    <row r="138" spans="1:7">
      <c r="A138" t="s">
        <v>694</v>
      </c>
      <c r="B138">
        <v>0</v>
      </c>
      <c r="C138">
        <v>0</v>
      </c>
      <c r="D138">
        <v>0</v>
      </c>
      <c r="E138">
        <v>0</v>
      </c>
      <c r="G138">
        <v>0</v>
      </c>
    </row>
    <row r="139" spans="1:7">
      <c r="A139" t="s">
        <v>652</v>
      </c>
      <c r="B139">
        <v>0</v>
      </c>
      <c r="C139">
        <v>0</v>
      </c>
      <c r="D139">
        <v>0</v>
      </c>
      <c r="G139">
        <v>0</v>
      </c>
    </row>
    <row r="140" spans="1:7">
      <c r="A140" t="s">
        <v>811</v>
      </c>
      <c r="B140">
        <v>0</v>
      </c>
      <c r="C140">
        <v>0</v>
      </c>
      <c r="D140">
        <v>0</v>
      </c>
      <c r="E140">
        <v>0</v>
      </c>
      <c r="F140">
        <v>0</v>
      </c>
      <c r="G140">
        <v>0</v>
      </c>
    </row>
    <row r="141" spans="1:7">
      <c r="A141" t="s">
        <v>642</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638</v>
      </c>
      <c r="B148">
        <v>0</v>
      </c>
      <c r="C148">
        <v>0</v>
      </c>
      <c r="D148">
        <v>201</v>
      </c>
      <c r="E148">
        <v>1207</v>
      </c>
      <c r="F148">
        <v>220</v>
      </c>
      <c r="G148">
        <v>1628</v>
      </c>
    </row>
    <row r="149" spans="1:7">
      <c r="A149" t="s">
        <v>1075</v>
      </c>
      <c r="B149">
        <v>0</v>
      </c>
      <c r="C149">
        <v>106</v>
      </c>
      <c r="D149">
        <v>0</v>
      </c>
      <c r="E149">
        <v>0</v>
      </c>
      <c r="F149">
        <v>0</v>
      </c>
      <c r="G149">
        <v>106</v>
      </c>
    </row>
    <row r="150" spans="1:7">
      <c r="A150" t="s">
        <v>648</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652</v>
      </c>
    </row>
    <row r="189" spans="1:7">
      <c r="A189" t="s">
        <v>756</v>
      </c>
    </row>
    <row r="190" spans="1:7">
      <c r="A190" t="s">
        <v>638</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84</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645</v>
      </c>
    </row>
    <row r="232" spans="1:7">
      <c r="A232" t="s">
        <v>638</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634</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384</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645</v>
      </c>
      <c r="B264">
        <v>0</v>
      </c>
      <c r="G264">
        <v>0</v>
      </c>
    </row>
    <row r="265" spans="1:7">
      <c r="A265" t="s">
        <v>811</v>
      </c>
      <c r="B265">
        <v>745</v>
      </c>
      <c r="G265">
        <v>745</v>
      </c>
    </row>
    <row r="266" spans="1:7">
      <c r="A266" t="s">
        <v>638</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384</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538</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530</v>
      </c>
    </row>
    <row r="311" spans="1:7">
      <c r="A311" t="s">
        <v>909</v>
      </c>
    </row>
    <row r="312" spans="1:7">
      <c r="A312" t="s">
        <v>728</v>
      </c>
      <c r="B312">
        <v>618</v>
      </c>
      <c r="C312">
        <v>700</v>
      </c>
      <c r="G312">
        <v>1318</v>
      </c>
    </row>
    <row r="313" spans="1:7">
      <c r="A313" t="s">
        <v>720</v>
      </c>
    </row>
    <row r="314" spans="1:7">
      <c r="A314" t="s">
        <v>538</v>
      </c>
    </row>
    <row r="315" spans="1:7">
      <c r="A315" t="s">
        <v>906</v>
      </c>
      <c r="B315">
        <v>990</v>
      </c>
      <c r="C315">
        <v>1871</v>
      </c>
      <c r="D315">
        <v>1307</v>
      </c>
      <c r="G315">
        <v>4168</v>
      </c>
    </row>
    <row r="316" spans="1:7">
      <c r="A316" t="s">
        <v>508</v>
      </c>
      <c r="B316">
        <v>590</v>
      </c>
      <c r="C316">
        <v>343</v>
      </c>
      <c r="G316">
        <v>933</v>
      </c>
    </row>
    <row r="317" spans="1:7">
      <c r="A317" t="s">
        <v>661</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638</v>
      </c>
      <c r="D408">
        <v>131</v>
      </c>
      <c r="G408">
        <v>131</v>
      </c>
    </row>
    <row r="409" spans="1:7">
      <c r="A409" t="s">
        <v>924</v>
      </c>
    </row>
    <row r="410" spans="1:7">
      <c r="A410" t="s">
        <v>922</v>
      </c>
      <c r="C410">
        <v>424</v>
      </c>
      <c r="G410">
        <v>424</v>
      </c>
    </row>
    <row r="411" spans="1:7">
      <c r="A411" t="s">
        <v>508</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512</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86</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638</v>
      </c>
      <c r="C435">
        <v>55</v>
      </c>
      <c r="G435">
        <v>55</v>
      </c>
    </row>
    <row r="436" spans="1:7">
      <c r="A436" t="s">
        <v>767</v>
      </c>
      <c r="D436">
        <v>1190</v>
      </c>
      <c r="G436">
        <v>1190</v>
      </c>
    </row>
    <row r="437" spans="1:7">
      <c r="A437" t="s">
        <v>1084</v>
      </c>
      <c r="C437">
        <v>30</v>
      </c>
      <c r="G437">
        <v>30</v>
      </c>
    </row>
    <row r="438" spans="1:7">
      <c r="A438" t="s">
        <v>634</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515</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638</v>
      </c>
      <c r="F458">
        <v>175</v>
      </c>
      <c r="G458">
        <v>175</v>
      </c>
    </row>
    <row r="459" spans="1:7">
      <c r="A459" t="s">
        <v>913</v>
      </c>
      <c r="B459">
        <v>54</v>
      </c>
      <c r="C459">
        <v>101</v>
      </c>
      <c r="G459">
        <v>155</v>
      </c>
    </row>
    <row r="460" spans="1:7">
      <c r="A460" t="s">
        <v>767</v>
      </c>
      <c r="D460">
        <v>678</v>
      </c>
      <c r="G460">
        <v>678</v>
      </c>
    </row>
    <row r="461" spans="1:7">
      <c r="A461" t="s">
        <v>634</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422</v>
      </c>
      <c r="B470">
        <v>644</v>
      </c>
      <c r="C470">
        <v>1430</v>
      </c>
      <c r="D470">
        <v>970</v>
      </c>
      <c r="G470">
        <v>3044</v>
      </c>
    </row>
    <row r="471" spans="1:7">
      <c r="A471" t="s">
        <v>536</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634</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422</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508</v>
      </c>
      <c r="E501">
        <v>341</v>
      </c>
      <c r="G501">
        <v>341</v>
      </c>
    </row>
    <row r="502" spans="1:7">
      <c r="A502" t="s">
        <v>1098</v>
      </c>
    </row>
    <row r="503" spans="1:7">
      <c r="A503" t="s">
        <v>422</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530</v>
      </c>
      <c r="E534">
        <v>977</v>
      </c>
      <c r="G534">
        <v>977</v>
      </c>
    </row>
    <row r="535" spans="1:7">
      <c r="A535" t="s">
        <v>1097</v>
      </c>
      <c r="D535">
        <v>81</v>
      </c>
      <c r="F535">
        <v>114</v>
      </c>
      <c r="G535">
        <v>195</v>
      </c>
    </row>
    <row r="536" spans="1:7">
      <c r="A536" t="s">
        <v>686</v>
      </c>
    </row>
    <row r="537" spans="1:7">
      <c r="A537" t="s">
        <v>422</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530</v>
      </c>
      <c r="E549">
        <v>676</v>
      </c>
      <c r="F549">
        <v>430</v>
      </c>
      <c r="G549">
        <v>1106</v>
      </c>
    </row>
    <row r="550" spans="1:7">
      <c r="A550" t="s">
        <v>508</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530</v>
      </c>
      <c r="B565">
        <v>885</v>
      </c>
      <c r="C565">
        <v>478</v>
      </c>
      <c r="D565">
        <v>490</v>
      </c>
      <c r="E565">
        <v>372</v>
      </c>
      <c r="G565">
        <v>2225</v>
      </c>
    </row>
    <row r="566" spans="1:7">
      <c r="A566" t="s">
        <v>1090</v>
      </c>
    </row>
    <row r="567" spans="1:7">
      <c r="A567" t="s">
        <v>1097</v>
      </c>
      <c r="B567">
        <v>360</v>
      </c>
      <c r="G567">
        <v>360</v>
      </c>
    </row>
    <row r="568" spans="1:7">
      <c r="A568" t="s">
        <v>422</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F578">
        <v>198</v>
      </c>
      <c r="G578">
        <v>198</v>
      </c>
    </row>
    <row r="579" spans="1:7">
      <c r="A579" t="s">
        <v>530</v>
      </c>
    </row>
    <row r="580" spans="1:7">
      <c r="A580" t="s">
        <v>538</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C590">
        <v>403</v>
      </c>
      <c r="D590">
        <v>39</v>
      </c>
      <c r="G590">
        <v>442</v>
      </c>
    </row>
    <row r="591" spans="1:7">
      <c r="A591" t="s">
        <v>533</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C604">
        <v>318</v>
      </c>
      <c r="G604">
        <v>318</v>
      </c>
    </row>
    <row r="605" spans="1:7">
      <c r="A605" t="s">
        <v>533</v>
      </c>
      <c r="D605">
        <v>461</v>
      </c>
      <c r="E605">
        <v>880</v>
      </c>
      <c r="F605">
        <v>585</v>
      </c>
      <c r="G605">
        <v>1926</v>
      </c>
    </row>
    <row r="606" spans="1:7">
      <c r="A606" t="s">
        <v>538</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645</v>
      </c>
      <c r="F624">
        <v>183</v>
      </c>
      <c r="G624">
        <v>183</v>
      </c>
    </row>
    <row r="625" spans="1:7">
      <c r="A625" t="s">
        <v>533</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527</v>
      </c>
      <c r="D632">
        <v>314</v>
      </c>
      <c r="G632">
        <v>314</v>
      </c>
    </row>
    <row r="633" spans="1:7">
      <c r="A633" t="s">
        <v>541</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527</v>
      </c>
    </row>
    <row r="642" spans="1:7">
      <c r="A642" t="s">
        <v>541</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C651">
        <v>319</v>
      </c>
      <c r="G651">
        <v>319</v>
      </c>
    </row>
    <row r="652" spans="1:7">
      <c r="A652" t="s">
        <v>1092</v>
      </c>
      <c r="B652">
        <v>376</v>
      </c>
      <c r="C652">
        <v>35</v>
      </c>
      <c r="D652">
        <v>48</v>
      </c>
      <c r="E652">
        <v>144</v>
      </c>
      <c r="F652">
        <v>64</v>
      </c>
      <c r="G652">
        <v>667</v>
      </c>
    </row>
    <row r="653" spans="1:7">
      <c r="A653" t="s">
        <v>541</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267</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D665">
        <v>499</v>
      </c>
      <c r="E665">
        <v>231</v>
      </c>
      <c r="F665">
        <v>316</v>
      </c>
      <c r="G665">
        <v>1046</v>
      </c>
    </row>
    <row r="666" spans="1:7">
      <c r="A666" t="s">
        <v>508</v>
      </c>
    </row>
    <row r="667" spans="1:7">
      <c r="A667" t="s">
        <v>1092</v>
      </c>
      <c r="B667">
        <v>141</v>
      </c>
      <c r="D667">
        <v>181</v>
      </c>
      <c r="E667">
        <v>82</v>
      </c>
      <c r="F667">
        <v>96</v>
      </c>
      <c r="G667">
        <v>500</v>
      </c>
    </row>
    <row r="668" spans="1:7">
      <c r="A668" t="s">
        <v>784</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764</v>
      </c>
    </row>
    <row r="672" spans="1:7">
      <c r="A672" t="s">
        <v>770</v>
      </c>
    </row>
    <row r="673" spans="1:7">
      <c r="A673" t="s">
        <v>267</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1092</v>
      </c>
      <c r="B688">
        <v>20</v>
      </c>
      <c r="E688">
        <v>250</v>
      </c>
      <c r="F688">
        <v>177</v>
      </c>
      <c r="G688">
        <v>447</v>
      </c>
    </row>
    <row r="689" spans="1:7">
      <c r="A689" t="s">
        <v>541</v>
      </c>
      <c r="B689">
        <v>639</v>
      </c>
      <c r="G689">
        <v>639</v>
      </c>
    </row>
    <row r="690" spans="1:7">
      <c r="A690" t="s">
        <v>267</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384</v>
      </c>
      <c r="E706">
        <v>99</v>
      </c>
      <c r="G706">
        <v>99</v>
      </c>
    </row>
    <row r="707" spans="1:7">
      <c r="A707" t="s">
        <v>533</v>
      </c>
    </row>
    <row r="708" spans="1:7">
      <c r="A708" t="s">
        <v>909</v>
      </c>
    </row>
    <row r="709" spans="1:7">
      <c r="A709" t="s">
        <v>538</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552</v>
      </c>
      <c r="E719">
        <v>903</v>
      </c>
      <c r="G719">
        <v>903</v>
      </c>
    </row>
    <row r="720" spans="1:7">
      <c r="A720" t="s">
        <v>543</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552</v>
      </c>
      <c r="B731">
        <v>254</v>
      </c>
      <c r="C731">
        <v>1686</v>
      </c>
      <c r="D731">
        <v>611</v>
      </c>
      <c r="G731">
        <v>2551</v>
      </c>
    </row>
    <row r="732" spans="1:7">
      <c r="A732" t="s">
        <v>543</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362</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row>
    <row r="743" spans="1:7">
      <c r="A743" t="s">
        <v>533</v>
      </c>
      <c r="D743">
        <v>139</v>
      </c>
      <c r="G743">
        <v>139</v>
      </c>
    </row>
    <row r="744" spans="1:7">
      <c r="A744" t="s">
        <v>538</v>
      </c>
    </row>
    <row r="745" spans="1:7">
      <c r="A745" t="s">
        <v>515</v>
      </c>
      <c r="E745">
        <v>97</v>
      </c>
      <c r="G745">
        <v>97</v>
      </c>
    </row>
    <row r="746" spans="1:7">
      <c r="A746" t="s">
        <v>1097</v>
      </c>
      <c r="B746">
        <v>42</v>
      </c>
      <c r="C746">
        <v>219</v>
      </c>
      <c r="F746">
        <v>70</v>
      </c>
      <c r="G746">
        <v>331</v>
      </c>
    </row>
    <row r="747" spans="1:7">
      <c r="A747" t="s">
        <v>1115</v>
      </c>
    </row>
    <row r="748" spans="1:7">
      <c r="A748" t="s">
        <v>552</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387</v>
      </c>
      <c r="C753">
        <v>251</v>
      </c>
      <c r="D753">
        <v>253</v>
      </c>
      <c r="E753">
        <v>1076</v>
      </c>
      <c r="G753">
        <v>1580</v>
      </c>
    </row>
    <row r="754" spans="1:7">
      <c r="A754" t="s">
        <v>362</v>
      </c>
      <c r="B754">
        <v>829</v>
      </c>
      <c r="D754">
        <v>863</v>
      </c>
      <c r="E754">
        <v>499</v>
      </c>
      <c r="F754">
        <v>475</v>
      </c>
      <c r="G754">
        <v>2666</v>
      </c>
    </row>
    <row r="755" spans="1:7">
      <c r="A755" t="s">
        <v>976</v>
      </c>
      <c r="E755">
        <v>754</v>
      </c>
      <c r="G755">
        <v>754</v>
      </c>
    </row>
    <row r="756" spans="1:7">
      <c r="A756" t="s">
        <v>554</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row>
    <row r="763" spans="1:7">
      <c r="A763" t="s">
        <v>533</v>
      </c>
      <c r="B763">
        <v>60</v>
      </c>
      <c r="G763">
        <v>60</v>
      </c>
    </row>
    <row r="764" spans="1:7">
      <c r="A764" t="s">
        <v>512</v>
      </c>
      <c r="E764">
        <v>175</v>
      </c>
      <c r="G764">
        <v>175</v>
      </c>
    </row>
    <row r="765" spans="1:7">
      <c r="A765" t="s">
        <v>1097</v>
      </c>
      <c r="C765">
        <v>224</v>
      </c>
      <c r="G765">
        <v>224</v>
      </c>
    </row>
    <row r="766" spans="1:7">
      <c r="A766" t="s">
        <v>527</v>
      </c>
      <c r="D766">
        <v>406</v>
      </c>
      <c r="G766">
        <v>406</v>
      </c>
    </row>
    <row r="767" spans="1:7">
      <c r="A767" t="s">
        <v>267</v>
      </c>
      <c r="D767">
        <v>362</v>
      </c>
      <c r="E767">
        <v>399</v>
      </c>
      <c r="G767">
        <v>761</v>
      </c>
    </row>
    <row r="768" spans="1:7">
      <c r="A768" t="s">
        <v>987</v>
      </c>
    </row>
    <row r="769" spans="1:7">
      <c r="A769" t="s">
        <v>971</v>
      </c>
    </row>
    <row r="770" spans="1:7">
      <c r="A770" t="s">
        <v>387</v>
      </c>
      <c r="C770">
        <v>120</v>
      </c>
      <c r="D770">
        <v>190</v>
      </c>
      <c r="G770">
        <v>310</v>
      </c>
    </row>
    <row r="771" spans="1:7">
      <c r="A771" t="s">
        <v>362</v>
      </c>
      <c r="B771">
        <v>839</v>
      </c>
      <c r="D771">
        <v>616</v>
      </c>
      <c r="E771">
        <v>969</v>
      </c>
      <c r="F771">
        <v>552</v>
      </c>
      <c r="G771">
        <v>2976</v>
      </c>
    </row>
    <row r="772" spans="1:7">
      <c r="A772" t="s">
        <v>976</v>
      </c>
      <c r="B772">
        <v>1285</v>
      </c>
      <c r="G772">
        <v>1285</v>
      </c>
    </row>
    <row r="773" spans="1:7">
      <c r="A773" t="s">
        <v>554</v>
      </c>
      <c r="B773">
        <v>978</v>
      </c>
      <c r="C773">
        <v>675</v>
      </c>
      <c r="D773">
        <v>170</v>
      </c>
      <c r="G773">
        <v>1823</v>
      </c>
    </row>
    <row r="774" spans="1:7">
      <c r="A774" t="s">
        <v>78</v>
      </c>
      <c r="B774">
        <v>153</v>
      </c>
      <c r="D774">
        <v>260</v>
      </c>
      <c r="G774">
        <v>413</v>
      </c>
    </row>
    <row r="775" spans="1:7">
      <c r="A775" t="s">
        <v>1120</v>
      </c>
      <c r="B775">
        <v>329</v>
      </c>
      <c r="C775">
        <v>427</v>
      </c>
      <c r="D775">
        <v>537</v>
      </c>
      <c r="E775">
        <v>646</v>
      </c>
      <c r="F775">
        <v>793</v>
      </c>
      <c r="G775">
        <v>2732</v>
      </c>
    </row>
    <row r="776" spans="1:7">
      <c r="A776" t="s">
        <v>609</v>
      </c>
      <c r="B776">
        <v>335</v>
      </c>
      <c r="G776">
        <v>335</v>
      </c>
    </row>
    <row r="777" spans="1:7">
      <c r="A777" t="s">
        <v>1121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952</v>
      </c>
      <c r="D780">
        <v>240</v>
      </c>
      <c r="E780">
        <v>504</v>
      </c>
      <c r="G780">
        <v>744</v>
      </c>
    </row>
    <row r="781" spans="1:7">
      <c r="A781" t="s">
        <v>1122</v>
      </c>
      <c r="F781">
        <v>4135</v>
      </c>
      <c r="G781">
        <v>4135</v>
      </c>
    </row>
    <row r="782" spans="1:7">
      <c r="A782" t="s">
        <v>390</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row>
    <row r="790" spans="1:7">
      <c r="A790" t="s">
        <v>512</v>
      </c>
      <c r="B790">
        <v>229</v>
      </c>
      <c r="G790">
        <v>229</v>
      </c>
    </row>
    <row r="791" spans="1:7">
      <c r="A791" t="s">
        <v>515</v>
      </c>
      <c r="C791">
        <v>134</v>
      </c>
      <c r="E791">
        <v>450</v>
      </c>
      <c r="F791">
        <v>352</v>
      </c>
      <c r="G791">
        <v>936</v>
      </c>
    </row>
    <row r="792" spans="1:7">
      <c r="A792" t="s">
        <v>1097</v>
      </c>
      <c r="D792">
        <v>201</v>
      </c>
      <c r="F792">
        <v>352</v>
      </c>
      <c r="G792">
        <v>553</v>
      </c>
    </row>
    <row r="793" spans="1:7">
      <c r="A793" t="s">
        <v>527</v>
      </c>
      <c r="C793">
        <v>665</v>
      </c>
      <c r="D793">
        <v>753</v>
      </c>
      <c r="E793">
        <v>305</v>
      </c>
      <c r="G793">
        <v>1723</v>
      </c>
    </row>
    <row r="794" spans="1:7">
      <c r="A794" t="s">
        <v>387</v>
      </c>
      <c r="B794">
        <v>479</v>
      </c>
      <c r="E794">
        <v>170</v>
      </c>
      <c r="G794">
        <v>649</v>
      </c>
    </row>
    <row r="795" spans="1:7">
      <c r="A795" t="s">
        <v>362</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390</v>
      </c>
      <c r="B802">
        <v>454</v>
      </c>
      <c r="C802">
        <v>251</v>
      </c>
      <c r="D802">
        <v>224</v>
      </c>
      <c r="E802">
        <v>789</v>
      </c>
      <c r="G802">
        <v>1718</v>
      </c>
    </row>
    <row r="803" spans="1:7">
      <c r="A803" t="s">
        <v>656</v>
      </c>
      <c r="C803">
        <v>1253</v>
      </c>
      <c r="D803">
        <v>1351</v>
      </c>
      <c r="E803">
        <v>443</v>
      </c>
      <c r="G803">
        <v>3047</v>
      </c>
    </row>
    <row r="804" spans="1:7">
      <c r="A804" t="s">
        <v>973</v>
      </c>
      <c r="C804">
        <v>1850</v>
      </c>
      <c r="D804">
        <v>1276</v>
      </c>
      <c r="E804">
        <v>1479</v>
      </c>
      <c r="G804">
        <v>4605</v>
      </c>
    </row>
    <row r="805" spans="1:7">
      <c r="A805" t="s">
        <v>580</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E813">
        <v>270</v>
      </c>
      <c r="F813">
        <v>268</v>
      </c>
      <c r="G813">
        <v>538</v>
      </c>
    </row>
    <row r="814" spans="1:7">
      <c r="A814" t="s">
        <v>1091</v>
      </c>
      <c r="D814">
        <v>126</v>
      </c>
      <c r="E814">
        <v>229</v>
      </c>
      <c r="G814">
        <v>355</v>
      </c>
    </row>
    <row r="815" spans="1:7">
      <c r="A815" t="s">
        <v>515</v>
      </c>
      <c r="B815">
        <v>175</v>
      </c>
      <c r="C815">
        <v>270</v>
      </c>
      <c r="G815">
        <v>445</v>
      </c>
    </row>
    <row r="816" spans="1:7">
      <c r="A816" t="s">
        <v>1097</v>
      </c>
      <c r="B816">
        <v>65</v>
      </c>
      <c r="C816">
        <v>55</v>
      </c>
      <c r="G816">
        <v>120</v>
      </c>
    </row>
    <row r="817" spans="1:7">
      <c r="A817" t="s">
        <v>527</v>
      </c>
    </row>
    <row r="818" spans="1:7">
      <c r="A818" t="s">
        <v>387</v>
      </c>
      <c r="E818">
        <v>725</v>
      </c>
      <c r="G818">
        <v>725</v>
      </c>
    </row>
    <row r="819" spans="1:7">
      <c r="A819" t="s">
        <v>362</v>
      </c>
      <c r="B819">
        <v>768</v>
      </c>
      <c r="C819">
        <v>1014</v>
      </c>
      <c r="G819">
        <v>1782</v>
      </c>
    </row>
    <row r="820" spans="1:7">
      <c r="A820" t="s">
        <v>1121</v>
      </c>
      <c r="B820">
        <v>225</v>
      </c>
      <c r="C820">
        <v>1287</v>
      </c>
      <c r="D820">
        <v>1185</v>
      </c>
      <c r="E820">
        <v>508</v>
      </c>
      <c r="G820">
        <v>3205</v>
      </c>
    </row>
    <row r="821" spans="1:7">
      <c r="A821" t="s">
        <v>563</v>
      </c>
      <c r="D821">
        <v>334</v>
      </c>
      <c r="G821">
        <v>334</v>
      </c>
    </row>
    <row r="822" spans="1:7">
      <c r="A822" t="s">
        <v>1122</v>
      </c>
      <c r="C822">
        <v>216</v>
      </c>
      <c r="G822">
        <v>216</v>
      </c>
    </row>
    <row r="823" spans="1:7">
      <c r="A823" t="s">
        <v>390</v>
      </c>
      <c r="B823">
        <v>1088</v>
      </c>
      <c r="C823">
        <v>557</v>
      </c>
      <c r="D823">
        <v>512</v>
      </c>
      <c r="E823">
        <v>369</v>
      </c>
      <c r="G823">
        <v>2526</v>
      </c>
    </row>
    <row r="824" spans="1:7">
      <c r="A824" t="s">
        <v>656</v>
      </c>
      <c r="B824">
        <v>192</v>
      </c>
      <c r="G824">
        <v>192</v>
      </c>
    </row>
    <row r="825" spans="1:7">
      <c r="A825" t="s">
        <v>580</v>
      </c>
      <c r="B825">
        <v>1174</v>
      </c>
      <c r="C825">
        <v>1597</v>
      </c>
      <c r="D825">
        <v>308</v>
      </c>
      <c r="G825">
        <v>3079</v>
      </c>
    </row>
    <row r="826" spans="1:7">
      <c r="A826" t="s">
        <v>989</v>
      </c>
      <c r="B826">
        <v>1545</v>
      </c>
      <c r="C826">
        <v>995</v>
      </c>
      <c r="G826">
        <v>2540</v>
      </c>
    </row>
    <row r="827" spans="1:7">
      <c r="A827" t="s">
        <v>547</v>
      </c>
      <c r="D827">
        <v>333</v>
      </c>
      <c r="G827">
        <v>333</v>
      </c>
    </row>
    <row r="828" spans="1:7">
      <c r="A828" t="s">
        <v>1124</v>
      </c>
      <c r="D828">
        <v>160</v>
      </c>
      <c r="G828">
        <v>160</v>
      </c>
    </row>
    <row r="829" spans="1:7">
      <c r="A829" t="s">
        <v>152</v>
      </c>
      <c r="D829">
        <v>1282</v>
      </c>
      <c r="E829">
        <v>980</v>
      </c>
      <c r="G829">
        <v>2262</v>
      </c>
    </row>
    <row r="830" spans="1:7">
      <c r="A830" t="s">
        <v>367</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267</v>
      </c>
      <c r="E838">
        <v>170</v>
      </c>
      <c r="G838">
        <v>170</v>
      </c>
    </row>
    <row r="839" spans="1:7">
      <c r="A839" t="s">
        <v>362</v>
      </c>
      <c r="D839">
        <v>986</v>
      </c>
      <c r="G839">
        <v>986</v>
      </c>
    </row>
    <row r="840" spans="1:7">
      <c r="A840" t="s">
        <v>1121</v>
      </c>
      <c r="B840">
        <v>916</v>
      </c>
      <c r="C840">
        <v>144</v>
      </c>
      <c r="G840">
        <v>1060</v>
      </c>
    </row>
    <row r="841" spans="1:7">
      <c r="A841" t="s">
        <v>580</v>
      </c>
    </row>
    <row r="842" spans="1:7">
      <c r="A842" t="s">
        <v>989</v>
      </c>
    </row>
    <row r="843" spans="1:7">
      <c r="A843" t="s">
        <v>152</v>
      </c>
      <c r="B843">
        <v>828</v>
      </c>
      <c r="C843">
        <v>150</v>
      </c>
      <c r="E843">
        <v>688</v>
      </c>
      <c r="G843">
        <v>1666</v>
      </c>
    </row>
    <row r="844" spans="1:7">
      <c r="A844" t="s">
        <v>1125</v>
      </c>
      <c r="B844">
        <v>233</v>
      </c>
      <c r="G844">
        <v>233</v>
      </c>
    </row>
    <row r="845" spans="1:7">
      <c r="A845" t="s">
        <v>582</v>
      </c>
      <c r="B845">
        <v>1768</v>
      </c>
      <c r="C845">
        <v>510</v>
      </c>
      <c r="G845">
        <v>2278</v>
      </c>
    </row>
    <row r="846" spans="1:7">
      <c r="A846" t="s">
        <v>663</v>
      </c>
      <c r="B846">
        <v>220</v>
      </c>
      <c r="C846">
        <v>435</v>
      </c>
      <c r="D846">
        <v>227</v>
      </c>
      <c r="E846">
        <v>487</v>
      </c>
      <c r="F846">
        <v>123</v>
      </c>
      <c r="G846">
        <v>1492</v>
      </c>
    </row>
    <row r="847" spans="1:7">
      <c r="A847" t="s">
        <v>370</v>
      </c>
      <c r="B847">
        <v>60</v>
      </c>
      <c r="C847">
        <v>219</v>
      </c>
      <c r="G847">
        <v>279</v>
      </c>
    </row>
    <row r="848" spans="1:7">
      <c r="A848" t="s">
        <v>1011</v>
      </c>
      <c r="D848">
        <v>240</v>
      </c>
      <c r="G848">
        <v>240</v>
      </c>
    </row>
    <row r="849" spans="1:7">
      <c r="A849" t="s">
        <v>1126</v>
      </c>
      <c r="C849">
        <v>1603</v>
      </c>
      <c r="D849">
        <v>791</v>
      </c>
      <c r="E849">
        <v>2803</v>
      </c>
      <c r="G849">
        <v>5197</v>
      </c>
    </row>
    <row r="850" spans="1:7">
      <c r="A850" t="s">
        <v>380</v>
      </c>
      <c r="C850">
        <v>927</v>
      </c>
      <c r="D850">
        <v>1221</v>
      </c>
      <c r="E850">
        <v>1023</v>
      </c>
      <c r="G850">
        <v>3171</v>
      </c>
    </row>
    <row r="851" spans="1:7">
      <c r="A851" t="s">
        <v>586</v>
      </c>
      <c r="C851">
        <v>974</v>
      </c>
      <c r="D851">
        <v>1312</v>
      </c>
      <c r="E851">
        <v>359</v>
      </c>
      <c r="G851">
        <v>2645</v>
      </c>
    </row>
    <row r="852" spans="1:7">
      <c r="A852" t="s">
        <v>991</v>
      </c>
      <c r="D852">
        <v>1239</v>
      </c>
      <c r="E852">
        <v>1220</v>
      </c>
      <c r="G852">
        <v>2459</v>
      </c>
    </row>
    <row r="853" spans="1:7">
      <c r="A853" t="s">
        <v>383</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515</v>
      </c>
      <c r="B860">
        <v>153</v>
      </c>
      <c r="C860">
        <v>244</v>
      </c>
      <c r="E860">
        <v>237</v>
      </c>
      <c r="G860">
        <v>634</v>
      </c>
    </row>
    <row r="861" spans="1:7">
      <c r="A861" t="s">
        <v>1097</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663</v>
      </c>
      <c r="C865">
        <v>413</v>
      </c>
      <c r="D865">
        <v>190</v>
      </c>
      <c r="E865">
        <v>1194</v>
      </c>
      <c r="F865">
        <v>306</v>
      </c>
      <c r="G865">
        <v>2103</v>
      </c>
    </row>
    <row r="866" spans="1:7">
      <c r="A866" t="s">
        <v>1126</v>
      </c>
      <c r="B866">
        <v>3343</v>
      </c>
      <c r="C866">
        <v>714</v>
      </c>
      <c r="D866">
        <v>2013</v>
      </c>
      <c r="E866">
        <v>1500</v>
      </c>
      <c r="F866">
        <v>1933</v>
      </c>
      <c r="G866">
        <v>9503</v>
      </c>
    </row>
    <row r="867" spans="1:7">
      <c r="A867" t="s">
        <v>380</v>
      </c>
      <c r="B867">
        <v>1100</v>
      </c>
      <c r="C867">
        <v>527</v>
      </c>
      <c r="D867">
        <v>553</v>
      </c>
      <c r="G867">
        <v>2180</v>
      </c>
    </row>
    <row r="868" spans="1:7">
      <c r="A868" t="s">
        <v>586</v>
      </c>
      <c r="C868">
        <v>230</v>
      </c>
      <c r="G868">
        <v>230</v>
      </c>
    </row>
    <row r="869" spans="1:7">
      <c r="A869" t="s">
        <v>991</v>
      </c>
      <c r="B869">
        <v>853</v>
      </c>
      <c r="G869">
        <v>853</v>
      </c>
    </row>
    <row r="870" spans="1:7">
      <c r="A870" t="s">
        <v>383</v>
      </c>
      <c r="B870">
        <v>1186</v>
      </c>
      <c r="C870">
        <v>1564</v>
      </c>
      <c r="D870">
        <v>1012</v>
      </c>
      <c r="E870">
        <v>588</v>
      </c>
      <c r="G870">
        <v>4350</v>
      </c>
    </row>
    <row r="871" spans="1:7">
      <c r="A871" t="s">
        <v>993</v>
      </c>
      <c r="C871">
        <v>1007</v>
      </c>
      <c r="D871">
        <v>1672</v>
      </c>
      <c r="E871">
        <v>1544</v>
      </c>
      <c r="G871">
        <v>4223</v>
      </c>
    </row>
    <row r="872" spans="1:7">
      <c r="A872" t="s">
        <v>592</v>
      </c>
      <c r="C872">
        <v>1182</v>
      </c>
      <c r="D872">
        <v>1604</v>
      </c>
      <c r="E872">
        <v>1268</v>
      </c>
      <c r="G872">
        <v>4054</v>
      </c>
    </row>
    <row r="873" spans="1:7">
      <c r="A873" t="s">
        <v>946</v>
      </c>
      <c r="D873">
        <v>1624</v>
      </c>
      <c r="E873">
        <v>551</v>
      </c>
      <c r="G873">
        <v>2175</v>
      </c>
    </row>
    <row r="874" spans="1:7">
      <c r="A874" t="s">
        <v>381</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D880">
        <v>171</v>
      </c>
      <c r="G880">
        <v>171</v>
      </c>
    </row>
    <row r="881" spans="1:7">
      <c r="A881" t="s">
        <v>1091</v>
      </c>
      <c r="B881">
        <v>567</v>
      </c>
      <c r="G881">
        <v>567</v>
      </c>
    </row>
    <row r="882" spans="1:7">
      <c r="A882" t="s">
        <v>527</v>
      </c>
    </row>
    <row r="883" spans="1:7">
      <c r="A883" t="s">
        <v>541</v>
      </c>
      <c r="F883">
        <v>60</v>
      </c>
      <c r="G883">
        <v>60</v>
      </c>
    </row>
    <row r="884" spans="1:7">
      <c r="A884" t="s">
        <v>267</v>
      </c>
    </row>
    <row r="885" spans="1:7">
      <c r="A885" t="s">
        <v>362</v>
      </c>
    </row>
    <row r="886" spans="1:7">
      <c r="A886" t="s">
        <v>78</v>
      </c>
      <c r="B886">
        <v>188</v>
      </c>
      <c r="C886">
        <v>140</v>
      </c>
      <c r="G886">
        <v>328</v>
      </c>
    </row>
    <row r="887" spans="1:7">
      <c r="A887" t="s">
        <v>547</v>
      </c>
      <c r="B887">
        <v>270</v>
      </c>
      <c r="C887">
        <v>60</v>
      </c>
      <c r="G887">
        <v>330</v>
      </c>
    </row>
    <row r="888" spans="1:7">
      <c r="A888" t="s">
        <v>582</v>
      </c>
    </row>
    <row r="889" spans="1:7">
      <c r="A889" t="s">
        <v>663</v>
      </c>
      <c r="B889">
        <v>203</v>
      </c>
      <c r="C889">
        <v>996</v>
      </c>
      <c r="D889">
        <v>1147</v>
      </c>
      <c r="E889">
        <v>1053</v>
      </c>
      <c r="F889">
        <v>955</v>
      </c>
      <c r="G889">
        <v>4354</v>
      </c>
    </row>
    <row r="890" spans="1:7">
      <c r="A890" t="s">
        <v>1126</v>
      </c>
      <c r="B890">
        <v>820</v>
      </c>
      <c r="C890">
        <v>2077</v>
      </c>
      <c r="D890">
        <v>1096</v>
      </c>
      <c r="G890">
        <v>3993</v>
      </c>
    </row>
    <row r="891" spans="1:7">
      <c r="A891" t="s">
        <v>380</v>
      </c>
      <c r="C891">
        <v>1647</v>
      </c>
      <c r="D891">
        <v>343</v>
      </c>
      <c r="G891">
        <v>1990</v>
      </c>
    </row>
    <row r="892" spans="1:7">
      <c r="A892" t="s">
        <v>993</v>
      </c>
      <c r="B892">
        <v>587</v>
      </c>
      <c r="C892">
        <v>115</v>
      </c>
      <c r="G892">
        <v>702</v>
      </c>
    </row>
    <row r="893" spans="1:7">
      <c r="A893" t="s">
        <v>584</v>
      </c>
      <c r="C893">
        <v>1509</v>
      </c>
      <c r="D893">
        <v>1087</v>
      </c>
      <c r="E893">
        <v>777</v>
      </c>
      <c r="G893">
        <v>3373</v>
      </c>
    </row>
    <row r="894" spans="1:7">
      <c r="A894" t="s">
        <v>592</v>
      </c>
      <c r="B894">
        <v>1310</v>
      </c>
      <c r="G894">
        <v>1310</v>
      </c>
    </row>
    <row r="895" spans="1:7">
      <c r="A895" t="s">
        <v>946</v>
      </c>
      <c r="F895">
        <v>168</v>
      </c>
      <c r="G895">
        <v>168</v>
      </c>
    </row>
    <row r="896" spans="1:7">
      <c r="A896" t="s">
        <v>381</v>
      </c>
      <c r="B896">
        <v>1323</v>
      </c>
      <c r="C896">
        <v>1516</v>
      </c>
      <c r="D896">
        <v>790</v>
      </c>
      <c r="E896">
        <v>930</v>
      </c>
      <c r="F896">
        <v>408</v>
      </c>
      <c r="G896">
        <v>4967</v>
      </c>
    </row>
    <row r="897" spans="1:7">
      <c r="A897" t="s">
        <v>1127</v>
      </c>
      <c r="B897">
        <v>1224</v>
      </c>
      <c r="C897">
        <v>988</v>
      </c>
      <c r="D897">
        <v>2316</v>
      </c>
      <c r="E897">
        <v>2066</v>
      </c>
      <c r="G897">
        <v>6594</v>
      </c>
    </row>
    <row r="898" spans="1:7">
      <c r="A898" t="s">
        <v>578</v>
      </c>
      <c r="C898">
        <v>1678</v>
      </c>
      <c r="E898">
        <v>394</v>
      </c>
      <c r="G898">
        <v>2072</v>
      </c>
    </row>
    <row r="899" spans="1:7">
      <c r="A899" t="s">
        <v>376</v>
      </c>
      <c r="D899">
        <v>3179</v>
      </c>
      <c r="G899">
        <v>3179</v>
      </c>
    </row>
    <row r="900" spans="1:7">
      <c r="A900" t="s">
        <v>619</v>
      </c>
      <c r="E900">
        <v>978</v>
      </c>
      <c r="G900">
        <v>978</v>
      </c>
    </row>
    <row r="901" spans="1:7">
      <c r="A901" t="s">
        <v>428</v>
      </c>
      <c r="E901">
        <v>502</v>
      </c>
      <c r="G901">
        <v>502</v>
      </c>
    </row>
    <row r="902" spans="1:7">
      <c r="A902" t="s">
        <v>222</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543</v>
      </c>
    </row>
    <row r="910" spans="1:7">
      <c r="A910" t="s">
        <v>362</v>
      </c>
    </row>
    <row r="911" spans="1:7">
      <c r="A911" t="s">
        <v>390</v>
      </c>
      <c r="F911">
        <v>569</v>
      </c>
      <c r="G911">
        <v>569</v>
      </c>
    </row>
    <row r="912" spans="1:7">
      <c r="A912" t="s">
        <v>663</v>
      </c>
    </row>
    <row r="913" spans="1:7">
      <c r="A913" t="s">
        <v>370</v>
      </c>
      <c r="D913">
        <v>150</v>
      </c>
      <c r="G913">
        <v>150</v>
      </c>
    </row>
    <row r="914" spans="1:7">
      <c r="A914" t="s">
        <v>383</v>
      </c>
    </row>
    <row r="915" spans="1:7">
      <c r="A915" t="s">
        <v>592</v>
      </c>
      <c r="B915">
        <v>701</v>
      </c>
      <c r="G915">
        <v>701</v>
      </c>
    </row>
    <row r="916" spans="1:7">
      <c r="A916" t="s">
        <v>946</v>
      </c>
      <c r="B916">
        <v>463</v>
      </c>
      <c r="C916">
        <v>633</v>
      </c>
      <c r="D916">
        <v>625</v>
      </c>
      <c r="G916">
        <v>1721</v>
      </c>
    </row>
    <row r="917" spans="1:7">
      <c r="A917" t="s">
        <v>381</v>
      </c>
    </row>
    <row r="918" spans="1:7">
      <c r="A918" t="s">
        <v>376</v>
      </c>
      <c r="B918">
        <v>882</v>
      </c>
      <c r="C918">
        <v>1072</v>
      </c>
      <c r="D918">
        <v>1034</v>
      </c>
      <c r="E918">
        <v>209</v>
      </c>
      <c r="G918">
        <v>3197</v>
      </c>
    </row>
    <row r="919" spans="1:7">
      <c r="A919" t="s">
        <v>619</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590</v>
      </c>
      <c r="B922">
        <v>579</v>
      </c>
      <c r="C922">
        <v>1120</v>
      </c>
      <c r="D922">
        <v>1488</v>
      </c>
      <c r="E922">
        <v>954</v>
      </c>
      <c r="G922">
        <v>4141</v>
      </c>
    </row>
    <row r="923" spans="1:7">
      <c r="A923" t="s">
        <v>1128</v>
      </c>
      <c r="B923">
        <v>365</v>
      </c>
      <c r="G923">
        <v>365</v>
      </c>
    </row>
    <row r="924" spans="1:7">
      <c r="A924" t="s">
        <v>394</v>
      </c>
      <c r="B924">
        <v>207</v>
      </c>
      <c r="G924">
        <v>207</v>
      </c>
    </row>
    <row r="925" spans="1:7">
      <c r="A925" t="s">
        <v>518</v>
      </c>
      <c r="C925">
        <v>1691</v>
      </c>
      <c r="D925">
        <v>1998</v>
      </c>
      <c r="E925">
        <v>760</v>
      </c>
      <c r="F925">
        <v>3975</v>
      </c>
      <c r="G925">
        <v>8424</v>
      </c>
    </row>
    <row r="926" spans="1:7">
      <c r="A926" t="s">
        <v>622</v>
      </c>
      <c r="D926">
        <v>1031</v>
      </c>
      <c r="G926">
        <v>1031</v>
      </c>
    </row>
    <row r="927" spans="1:7">
      <c r="A927" t="s">
        <v>392</v>
      </c>
      <c r="E927">
        <v>1063</v>
      </c>
      <c r="F927">
        <v>1263</v>
      </c>
      <c r="G927">
        <v>2326</v>
      </c>
    </row>
    <row r="928" spans="1:7">
      <c r="A928" t="s">
        <v>665</v>
      </c>
      <c r="F928">
        <v>451</v>
      </c>
      <c r="G928">
        <v>451</v>
      </c>
    </row>
    <row r="929" spans="1:7">
      <c r="A929" t="s">
        <v>449</v>
      </c>
      <c r="B929">
        <v>3266</v>
      </c>
      <c r="C929">
        <v>3910</v>
      </c>
      <c r="D929">
        <v>346</v>
      </c>
      <c r="G929">
        <v>7522</v>
      </c>
    </row>
    <row r="930" spans="1:7">
      <c r="A930" t="s">
        <v>308</v>
      </c>
      <c r="C930">
        <v>372</v>
      </c>
      <c r="D930">
        <v>656</v>
      </c>
      <c r="G930">
        <v>1028</v>
      </c>
    </row>
    <row r="931" spans="1:7">
      <c r="A931" t="s">
        <v>440</v>
      </c>
      <c r="D931">
        <v>2985</v>
      </c>
      <c r="E931">
        <v>2373</v>
      </c>
      <c r="G931">
        <v>5358</v>
      </c>
    </row>
    <row r="932" spans="1:7">
      <c r="A932" t="s">
        <v>467</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row>
    <row r="939" spans="1:7">
      <c r="A939" t="s">
        <v>367</v>
      </c>
    </row>
    <row r="940" spans="1:7">
      <c r="A940" t="s">
        <v>663</v>
      </c>
      <c r="B940">
        <v>560</v>
      </c>
      <c r="G940">
        <v>560</v>
      </c>
    </row>
    <row r="941" spans="1:7">
      <c r="A941" t="s">
        <v>383</v>
      </c>
    </row>
    <row r="942" spans="1:7">
      <c r="A942" t="s">
        <v>592</v>
      </c>
      <c r="B942">
        <v>138</v>
      </c>
      <c r="G942">
        <v>138</v>
      </c>
    </row>
    <row r="943" spans="1:7">
      <c r="A943" t="s">
        <v>381</v>
      </c>
    </row>
    <row r="944" spans="1:7">
      <c r="A944" t="s">
        <v>376</v>
      </c>
      <c r="B944">
        <v>96</v>
      </c>
      <c r="G944">
        <v>96</v>
      </c>
    </row>
    <row r="945" spans="1:7">
      <c r="A945" t="s">
        <v>619</v>
      </c>
      <c r="B945">
        <v>632</v>
      </c>
      <c r="G945">
        <v>632</v>
      </c>
    </row>
    <row r="946" spans="1:7">
      <c r="A946" t="s">
        <v>428</v>
      </c>
      <c r="B946">
        <v>558</v>
      </c>
      <c r="G946">
        <v>558</v>
      </c>
    </row>
    <row r="947" spans="1:7">
      <c r="A947" t="s">
        <v>222</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1129</v>
      </c>
      <c r="B950">
        <v>748</v>
      </c>
      <c r="C950">
        <v>1062</v>
      </c>
      <c r="G950">
        <v>1810</v>
      </c>
    </row>
    <row r="951" spans="1:7">
      <c r="A951" t="s">
        <v>378</v>
      </c>
      <c r="B951">
        <v>435</v>
      </c>
      <c r="E951">
        <v>1123</v>
      </c>
      <c r="G951">
        <v>1558</v>
      </c>
    </row>
    <row r="952" spans="1:7">
      <c r="A952" t="s">
        <v>413</v>
      </c>
      <c r="D952">
        <v>1580</v>
      </c>
      <c r="E952">
        <v>1258</v>
      </c>
      <c r="G952">
        <v>2838</v>
      </c>
    </row>
    <row r="953" spans="1:7">
      <c r="A953" t="s">
        <v>588</v>
      </c>
      <c r="D953">
        <v>877</v>
      </c>
      <c r="E953">
        <v>814</v>
      </c>
      <c r="G953">
        <v>1691</v>
      </c>
    </row>
    <row r="954" spans="1:7">
      <c r="A954" t="s">
        <v>205</v>
      </c>
      <c r="D954">
        <v>711</v>
      </c>
      <c r="E954">
        <v>325</v>
      </c>
      <c r="F954">
        <v>430</v>
      </c>
      <c r="G954">
        <v>1466</v>
      </c>
    </row>
    <row r="955" spans="1:7">
      <c r="A955" t="s">
        <v>406</v>
      </c>
      <c r="D955">
        <v>1486</v>
      </c>
      <c r="E955">
        <v>2912</v>
      </c>
      <c r="F955">
        <v>2125</v>
      </c>
      <c r="G955">
        <v>6523</v>
      </c>
    </row>
    <row r="956" spans="1:7">
      <c r="A956" t="s">
        <v>459</v>
      </c>
      <c r="D956">
        <v>1264</v>
      </c>
      <c r="E956">
        <v>1281</v>
      </c>
      <c r="G956">
        <v>2545</v>
      </c>
    </row>
    <row r="957" spans="1:7">
      <c r="A957" t="s">
        <v>1130</v>
      </c>
    </row>
    <row r="958" spans="1:7">
      <c r="A958" t="s">
        <v>472</v>
      </c>
      <c r="D958">
        <v>3678</v>
      </c>
      <c r="E958">
        <v>3382</v>
      </c>
      <c r="G958">
        <v>7060</v>
      </c>
    </row>
    <row r="959" spans="1:7">
      <c r="A959" t="s">
        <v>1131</v>
      </c>
      <c r="F959">
        <v>1505</v>
      </c>
      <c r="G959">
        <v>1505</v>
      </c>
    </row>
    <row r="960" spans="1:7">
      <c r="A960" t="s">
        <v>502</v>
      </c>
      <c r="E960">
        <v>424</v>
      </c>
      <c r="G960">
        <v>424</v>
      </c>
    </row>
    <row r="961" spans="1:7">
      <c r="A961" t="s">
        <v>474</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E968">
        <v>170</v>
      </c>
      <c r="F968">
        <v>271</v>
      </c>
      <c r="G968">
        <v>441</v>
      </c>
    </row>
    <row r="969" spans="1:7">
      <c r="A969" t="s">
        <v>267</v>
      </c>
      <c r="B969">
        <v>446</v>
      </c>
      <c r="C969">
        <v>120</v>
      </c>
      <c r="D969">
        <v>550</v>
      </c>
      <c r="G969">
        <v>1116</v>
      </c>
    </row>
    <row r="970" spans="1:7">
      <c r="A970" t="s">
        <v>663</v>
      </c>
      <c r="C970">
        <v>17</v>
      </c>
      <c r="G970">
        <v>17</v>
      </c>
    </row>
    <row r="971" spans="1:7">
      <c r="A971" t="s">
        <v>592</v>
      </c>
    </row>
    <row r="972" spans="1:7">
      <c r="A972" t="s">
        <v>428</v>
      </c>
      <c r="B972">
        <v>127</v>
      </c>
      <c r="G972">
        <v>127</v>
      </c>
    </row>
    <row r="973" spans="1:7">
      <c r="A973" t="s">
        <v>222</v>
      </c>
      <c r="B973">
        <v>420</v>
      </c>
      <c r="G973">
        <v>420</v>
      </c>
    </row>
    <row r="974" spans="1:7">
      <c r="A974" t="s">
        <v>622</v>
      </c>
    </row>
    <row r="975" spans="1:7">
      <c r="A975" t="s">
        <v>378</v>
      </c>
      <c r="C975">
        <v>1917</v>
      </c>
      <c r="E975">
        <v>272</v>
      </c>
      <c r="G975">
        <v>2189</v>
      </c>
    </row>
    <row r="976" spans="1:7">
      <c r="A976" t="s">
        <v>588</v>
      </c>
      <c r="B976">
        <v>956</v>
      </c>
      <c r="G976">
        <v>956</v>
      </c>
    </row>
    <row r="977" spans="1:7">
      <c r="A977" t="s">
        <v>205</v>
      </c>
      <c r="E977">
        <v>195</v>
      </c>
      <c r="G977">
        <v>195</v>
      </c>
    </row>
    <row r="978" spans="1:7">
      <c r="A978" t="s">
        <v>406</v>
      </c>
      <c r="B978">
        <v>1449</v>
      </c>
      <c r="G978">
        <v>1449</v>
      </c>
    </row>
    <row r="979" spans="1:7">
      <c r="A979" t="s">
        <v>459</v>
      </c>
      <c r="B979">
        <v>1662</v>
      </c>
      <c r="C979">
        <v>2684</v>
      </c>
      <c r="F979">
        <v>51</v>
      </c>
      <c r="G979">
        <v>4397</v>
      </c>
    </row>
    <row r="980" spans="1:7">
      <c r="A980" t="s">
        <v>469</v>
      </c>
      <c r="B980">
        <v>5466</v>
      </c>
      <c r="E980">
        <v>2252</v>
      </c>
      <c r="G980">
        <v>7718</v>
      </c>
    </row>
    <row r="981" spans="1:7">
      <c r="A981" t="s">
        <v>1131</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416</v>
      </c>
      <c r="C987">
        <v>1679</v>
      </c>
      <c r="D987">
        <v>1429</v>
      </c>
      <c r="E987">
        <v>1624</v>
      </c>
      <c r="G987">
        <v>4732</v>
      </c>
    </row>
    <row r="988" spans="1:7">
      <c r="A988" t="s">
        <v>407</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373</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409</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84</v>
      </c>
    </row>
    <row r="1005" spans="1:7">
      <c r="A1005" t="s">
        <v>512</v>
      </c>
      <c r="C1005">
        <v>68</v>
      </c>
      <c r="G1005">
        <v>68</v>
      </c>
    </row>
    <row r="1006" spans="1:7">
      <c r="A1006" t="s">
        <v>1116</v>
      </c>
    </row>
    <row r="1007" spans="1:7">
      <c r="A1007" t="s">
        <v>367</v>
      </c>
    </row>
    <row r="1008" spans="1:7">
      <c r="A1008" t="s">
        <v>946</v>
      </c>
    </row>
    <row r="1009" spans="1:7">
      <c r="A1009" t="s">
        <v>381</v>
      </c>
    </row>
    <row r="1010" spans="1:7">
      <c r="A1010" t="s">
        <v>376</v>
      </c>
    </row>
    <row r="1011" spans="1:7">
      <c r="A1011" t="s">
        <v>222</v>
      </c>
      <c r="D1011">
        <v>426</v>
      </c>
      <c r="G1011">
        <v>426</v>
      </c>
    </row>
    <row r="1012" spans="1:7">
      <c r="A1012" t="s">
        <v>392</v>
      </c>
    </row>
    <row r="1013" spans="1:7">
      <c r="A1013" t="s">
        <v>449</v>
      </c>
    </row>
    <row r="1014" spans="1:7">
      <c r="A1014" t="s">
        <v>308</v>
      </c>
      <c r="C1014">
        <v>1175</v>
      </c>
      <c r="G1014">
        <v>1175</v>
      </c>
    </row>
    <row r="1015" spans="1:7">
      <c r="A1015" t="s">
        <v>440</v>
      </c>
      <c r="C1015">
        <v>996</v>
      </c>
      <c r="G1015">
        <v>996</v>
      </c>
    </row>
    <row r="1016" spans="1:7">
      <c r="A1016" t="s">
        <v>378</v>
      </c>
      <c r="B1016">
        <v>900</v>
      </c>
      <c r="G1016">
        <v>900</v>
      </c>
    </row>
    <row r="1017" spans="1:7">
      <c r="A1017" t="s">
        <v>413</v>
      </c>
    </row>
    <row r="1018" spans="1:7">
      <c r="A1018" t="s">
        <v>588</v>
      </c>
    </row>
    <row r="1019" spans="1:7">
      <c r="A1019" t="s">
        <v>1132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416</v>
      </c>
      <c r="B1022">
        <v>572</v>
      </c>
      <c r="G1022">
        <v>572</v>
      </c>
    </row>
    <row r="1023" spans="1:7">
      <c r="A1023" t="s">
        <v>1134</v>
      </c>
      <c r="B1023">
        <v>1718</v>
      </c>
      <c r="C1023">
        <v>2478</v>
      </c>
      <c r="D1023">
        <v>1567</v>
      </c>
      <c r="G1023">
        <v>5763</v>
      </c>
    </row>
    <row r="1024" spans="1:7">
      <c r="A1024" t="s">
        <v>477</v>
      </c>
      <c r="C1024">
        <v>3411</v>
      </c>
      <c r="G1024">
        <v>3411</v>
      </c>
    </row>
    <row r="1025" spans="1:7">
      <c r="A1025" t="s">
        <v>195</v>
      </c>
      <c r="B1025">
        <v>82</v>
      </c>
      <c r="G1025">
        <v>82</v>
      </c>
    </row>
    <row r="1026" spans="1:7">
      <c r="A1026" t="s">
        <v>480</v>
      </c>
      <c r="C1026">
        <v>3311</v>
      </c>
      <c r="G1026">
        <v>3311</v>
      </c>
    </row>
    <row r="1027" spans="1:7">
      <c r="A1027" t="s">
        <v>443</v>
      </c>
    </row>
    <row r="1028" spans="1:7">
      <c r="A1028" t="s">
        <v>409</v>
      </c>
      <c r="C1028">
        <v>2568</v>
      </c>
      <c r="G1028">
        <v>2568</v>
      </c>
    </row>
    <row r="1029" spans="1:7">
      <c r="A1029" t="s">
        <v>611</v>
      </c>
      <c r="B1029">
        <v>286</v>
      </c>
      <c r="C1029">
        <v>357</v>
      </c>
      <c r="D1029">
        <v>331</v>
      </c>
      <c r="G1029">
        <v>974</v>
      </c>
    </row>
    <row r="1030" spans="1:7">
      <c r="A1030" t="s">
        <v>403</v>
      </c>
      <c r="B1030">
        <v>1655</v>
      </c>
      <c r="C1030">
        <v>2537</v>
      </c>
      <c r="G1030">
        <v>4192</v>
      </c>
    </row>
    <row r="1031" spans="1:7">
      <c r="A1031" t="s">
        <v>461</v>
      </c>
      <c r="C1031">
        <v>2382</v>
      </c>
      <c r="G1031">
        <v>2382</v>
      </c>
    </row>
    <row r="1032" spans="1:7">
      <c r="A1032" t="s">
        <v>600</v>
      </c>
      <c r="C1032">
        <v>1100</v>
      </c>
      <c r="D1032">
        <v>855</v>
      </c>
      <c r="G1032">
        <v>1955</v>
      </c>
    </row>
    <row r="1033" spans="1:7">
      <c r="A1033" t="s">
        <v>1135</v>
      </c>
      <c r="C1033">
        <v>486</v>
      </c>
      <c r="G1033">
        <v>486</v>
      </c>
    </row>
    <row r="1034" spans="1:7">
      <c r="A1034" t="s">
        <v>483</v>
      </c>
      <c r="C1034">
        <v>3634</v>
      </c>
      <c r="G1034">
        <v>3634</v>
      </c>
    </row>
    <row r="1035" spans="1:7">
      <c r="A1035" t="s">
        <v>1136</v>
      </c>
      <c r="D1035">
        <v>955</v>
      </c>
      <c r="G1035">
        <v>955</v>
      </c>
    </row>
    <row r="1036" spans="1:7">
      <c r="A1036" t="s">
        <v>1137</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308</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409</v>
      </c>
      <c r="E1059">
        <v>489</v>
      </c>
      <c r="F1059">
        <v>2020</v>
      </c>
      <c r="G1059">
        <v>2509</v>
      </c>
    </row>
    <row r="1060" spans="1:7">
      <c r="A1060" t="s">
        <v>403</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1135</v>
      </c>
      <c r="B1063">
        <v>600</v>
      </c>
      <c r="C1063">
        <v>610</v>
      </c>
      <c r="D1063">
        <v>974</v>
      </c>
      <c r="G1063">
        <v>2184</v>
      </c>
    </row>
    <row r="1064" spans="1:7">
      <c r="A1064" t="s">
        <v>483</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419</v>
      </c>
      <c r="E1070">
        <v>1431</v>
      </c>
      <c r="G1070">
        <v>1431</v>
      </c>
    </row>
    <row r="1071" spans="1:7">
      <c r="A1071" t="s">
        <v>575</v>
      </c>
      <c r="D1071">
        <v>1379</v>
      </c>
      <c r="E1071">
        <v>1154</v>
      </c>
      <c r="G1071">
        <v>2533</v>
      </c>
    </row>
    <row r="1072" spans="1:7">
      <c r="A1072" t="s">
        <v>313</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409</v>
      </c>
      <c r="B1085">
        <v>428</v>
      </c>
      <c r="G1085">
        <v>428</v>
      </c>
    </row>
    <row r="1086" spans="1:7">
      <c r="A1086" t="s">
        <v>1136</v>
      </c>
    </row>
    <row r="1087" spans="1:7">
      <c r="A1087" t="s">
        <v>1138</v>
      </c>
      <c r="C1087">
        <v>265</v>
      </c>
      <c r="D1087">
        <v>542</v>
      </c>
      <c r="E1087">
        <v>739</v>
      </c>
      <c r="G1087">
        <v>1546</v>
      </c>
    </row>
    <row r="1088" spans="1:7">
      <c r="A1088" t="s">
        <v>499</v>
      </c>
      <c r="D1088">
        <v>91</v>
      </c>
      <c r="G1088">
        <v>91</v>
      </c>
    </row>
    <row r="1089" spans="1:7">
      <c r="A1089" t="s">
        <v>569</v>
      </c>
      <c r="B1089">
        <v>1172</v>
      </c>
      <c r="G1089">
        <v>1172</v>
      </c>
    </row>
    <row r="1090" spans="1:7">
      <c r="A1090" t="s">
        <v>419</v>
      </c>
      <c r="B1090">
        <v>1583</v>
      </c>
      <c r="C1090">
        <v>1325</v>
      </c>
      <c r="D1090">
        <v>621</v>
      </c>
      <c r="G1090">
        <v>3529</v>
      </c>
    </row>
    <row r="1091" spans="1:7">
      <c r="A1091" t="s">
        <v>575</v>
      </c>
    </row>
    <row r="1092" spans="1:7">
      <c r="A1092" t="s">
        <v>1139</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1141</v>
      </c>
    </row>
    <row r="1096" spans="1:7">
      <c r="A1096" t="s">
        <v>397</v>
      </c>
      <c r="C1096">
        <v>1640</v>
      </c>
      <c r="D1096">
        <v>1177</v>
      </c>
      <c r="G1096">
        <v>2817</v>
      </c>
    </row>
    <row r="1097" spans="1:7">
      <c r="A1097" t="s">
        <v>486</v>
      </c>
      <c r="C1097">
        <v>1980</v>
      </c>
      <c r="D1097">
        <v>1251</v>
      </c>
      <c r="E1097">
        <v>3172</v>
      </c>
      <c r="G1097">
        <v>6403</v>
      </c>
    </row>
    <row r="1098" spans="1:7">
      <c r="A1098" t="s">
        <v>316</v>
      </c>
      <c r="C1098">
        <v>1111</v>
      </c>
      <c r="D1098">
        <v>1373</v>
      </c>
      <c r="E1098">
        <v>1090</v>
      </c>
      <c r="F1098">
        <v>1204</v>
      </c>
      <c r="G1098">
        <v>4778</v>
      </c>
    </row>
    <row r="1099" spans="1:7">
      <c r="A1099" t="s">
        <v>566</v>
      </c>
      <c r="C1099">
        <v>1500</v>
      </c>
      <c r="D1099">
        <v>1084</v>
      </c>
      <c r="G1099">
        <v>2584</v>
      </c>
    </row>
    <row r="1100" spans="1:7">
      <c r="A1100" t="s">
        <v>400</v>
      </c>
      <c r="D1100">
        <v>817</v>
      </c>
      <c r="E1100">
        <v>1820</v>
      </c>
      <c r="G1100">
        <v>2637</v>
      </c>
    </row>
    <row r="1101" spans="1:7">
      <c r="A1101" t="s">
        <v>560</v>
      </c>
      <c r="E1101">
        <v>1351</v>
      </c>
      <c r="G1101">
        <v>1351</v>
      </c>
    </row>
    <row r="1102" spans="1:7">
      <c r="A1102" t="s">
        <v>290</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1138</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313</v>
      </c>
      <c r="D1119">
        <v>372</v>
      </c>
      <c r="F1119">
        <v>582</v>
      </c>
      <c r="G1119">
        <v>954</v>
      </c>
    </row>
    <row r="1120" spans="1:7">
      <c r="A1120" t="s">
        <v>1139</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316</v>
      </c>
      <c r="F1123">
        <v>1235</v>
      </c>
      <c r="G1123">
        <v>1235</v>
      </c>
    </row>
    <row r="1124" spans="1:7">
      <c r="A1124" t="s">
        <v>566</v>
      </c>
    </row>
    <row r="1125" spans="1:7">
      <c r="A1125" t="s">
        <v>560</v>
      </c>
      <c r="B1125">
        <v>689</v>
      </c>
      <c r="C1125">
        <v>586</v>
      </c>
      <c r="D1125">
        <v>199</v>
      </c>
      <c r="G1125">
        <v>1474</v>
      </c>
    </row>
    <row r="1126" spans="1:7">
      <c r="A1126" t="s">
        <v>290</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214</v>
      </c>
      <c r="C1129">
        <v>890</v>
      </c>
      <c r="D1129">
        <v>1810</v>
      </c>
      <c r="E1129">
        <v>967</v>
      </c>
      <c r="G1129">
        <v>3667</v>
      </c>
    </row>
    <row r="1130" spans="1:7">
      <c r="A1130" t="s">
        <v>411</v>
      </c>
      <c r="B1130">
        <v>1511</v>
      </c>
      <c r="C1130">
        <v>1887</v>
      </c>
      <c r="D1130">
        <v>916</v>
      </c>
      <c r="E1130">
        <v>1704</v>
      </c>
      <c r="F1130">
        <v>974</v>
      </c>
      <c r="G1130">
        <v>6992</v>
      </c>
    </row>
    <row r="1131" spans="1:7">
      <c r="A1131" t="s">
        <v>489</v>
      </c>
      <c r="C1131">
        <v>1617</v>
      </c>
      <c r="D1131">
        <v>1083</v>
      </c>
      <c r="E1131">
        <v>1905</v>
      </c>
      <c r="F1131">
        <v>2064</v>
      </c>
      <c r="G1131">
        <v>6669</v>
      </c>
    </row>
    <row r="1132" spans="1:7">
      <c r="A1132" t="s">
        <v>325</v>
      </c>
      <c r="D1132">
        <v>95</v>
      </c>
      <c r="E1132">
        <v>881</v>
      </c>
      <c r="G1132">
        <v>976</v>
      </c>
    </row>
    <row r="1133" spans="1:7">
      <c r="A1133" t="s">
        <v>319</v>
      </c>
      <c r="E1133">
        <v>3028</v>
      </c>
      <c r="F1133">
        <v>1683</v>
      </c>
      <c r="G1133">
        <v>4711</v>
      </c>
    </row>
    <row r="1134" spans="1:7">
      <c r="A1134" t="s">
        <v>614</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499</v>
      </c>
      <c r="B1144">
        <v>870</v>
      </c>
      <c r="G1144">
        <v>870</v>
      </c>
    </row>
    <row r="1145" spans="1:7">
      <c r="A1145" t="s">
        <v>313</v>
      </c>
      <c r="B1145">
        <v>551</v>
      </c>
      <c r="G1145">
        <v>551</v>
      </c>
    </row>
    <row r="1146" spans="1:7">
      <c r="A1146" t="s">
        <v>1139</v>
      </c>
    </row>
    <row r="1147" spans="1:7">
      <c r="A1147" t="s">
        <v>290</v>
      </c>
      <c r="B1147">
        <v>154</v>
      </c>
      <c r="G1147">
        <v>154</v>
      </c>
    </row>
    <row r="1148" spans="1:7">
      <c r="A1148" t="s">
        <v>572</v>
      </c>
      <c r="B1148">
        <v>342</v>
      </c>
      <c r="G1148">
        <v>342</v>
      </c>
    </row>
    <row r="1149" spans="1:7">
      <c r="A1149" t="s">
        <v>489</v>
      </c>
    </row>
    <row r="1150" spans="1:7">
      <c r="A1150" t="s">
        <v>325</v>
      </c>
      <c r="B1150">
        <v>3523</v>
      </c>
      <c r="C1150">
        <v>2384</v>
      </c>
      <c r="G1150">
        <v>5907</v>
      </c>
    </row>
    <row r="1151" spans="1:7">
      <c r="A1151" t="s">
        <v>319</v>
      </c>
      <c r="B1151">
        <v>362</v>
      </c>
      <c r="G1151">
        <v>362</v>
      </c>
    </row>
    <row r="1152" spans="1:7">
      <c r="A1152" t="s">
        <v>614</v>
      </c>
      <c r="B1152">
        <v>380</v>
      </c>
      <c r="G1152">
        <v>380</v>
      </c>
    </row>
    <row r="1153" spans="1:7">
      <c r="A1153" t="s">
        <v>617</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459</v>
      </c>
    </row>
    <row r="1162" spans="1:7">
      <c r="A1162" t="s">
        <v>461</v>
      </c>
    </row>
    <row r="1163" spans="1:7">
      <c r="A1163" t="s">
        <v>464</v>
      </c>
    </row>
    <row r="1164" spans="1:7">
      <c r="A1164" t="s">
        <v>419</v>
      </c>
    </row>
    <row r="1165" spans="1:7">
      <c r="A1165" t="s">
        <v>313</v>
      </c>
      <c r="B1165">
        <v>738</v>
      </c>
      <c r="C1165">
        <v>466</v>
      </c>
      <c r="G1165">
        <v>1204</v>
      </c>
    </row>
    <row r="1166" spans="1:7">
      <c r="A1166" t="s">
        <v>495</v>
      </c>
    </row>
    <row r="1167" spans="1:7">
      <c r="A1167" t="s">
        <v>290</v>
      </c>
      <c r="D1167">
        <v>173</v>
      </c>
      <c r="G1167">
        <v>173</v>
      </c>
    </row>
    <row r="1168" spans="1:7">
      <c r="A1168" t="s">
        <v>319</v>
      </c>
      <c r="B1168">
        <v>1297</v>
      </c>
      <c r="G1168">
        <v>1297</v>
      </c>
    </row>
    <row r="1169" spans="1:7">
      <c r="A1169" t="s">
        <v>614</v>
      </c>
      <c r="B1169">
        <v>100</v>
      </c>
      <c r="G1169">
        <v>100</v>
      </c>
    </row>
    <row r="1170" spans="1:7">
      <c r="A1170" t="s">
        <v>322</v>
      </c>
      <c r="B1170">
        <v>2583</v>
      </c>
      <c r="C1170">
        <v>3099</v>
      </c>
      <c r="G1170">
        <v>5682</v>
      </c>
    </row>
    <row r="1171" spans="1:7">
      <c r="A1171" t="s">
        <v>603</v>
      </c>
      <c r="B1171">
        <v>1188</v>
      </c>
      <c r="G1171">
        <v>1188</v>
      </c>
    </row>
    <row r="1172" spans="1:7">
      <c r="A1172" t="s">
        <v>606</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3"/>
  <sheetViews>
    <sheetView tabSelected="1" workbookViewId="0">
      <pane ySplit="1" topLeftCell="A2531" activePane="bottomLeft" state="frozen"/>
      <selection pane="bottomLeft" activeCell="A2434" sqref="A2434:F256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653</v>
      </c>
      <c r="C32" s="153">
        <v>45707</v>
      </c>
      <c r="D32" s="117">
        <v>1978</v>
      </c>
      <c r="E32" s="117"/>
      <c r="F32" s="118" t="s">
        <v>1151</v>
      </c>
      <c r="G32" t="str">
        <f t="shared" si="0"/>
        <v>February</v>
      </c>
    </row>
    <row r="33" spans="1:7">
      <c r="A33" s="117" t="s">
        <v>893</v>
      </c>
      <c r="B33" s="243" t="s">
        <v>639</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653</v>
      </c>
      <c r="C39" s="153">
        <v>45708</v>
      </c>
      <c r="D39" s="117">
        <v>851</v>
      </c>
      <c r="E39" s="117"/>
      <c r="F39" s="118" t="s">
        <v>1155</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652</v>
      </c>
      <c r="B45" s="243" t="s">
        <v>653</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126</v>
      </c>
      <c r="C48" s="153">
        <v>45709</v>
      </c>
      <c r="D48" s="117">
        <v>823</v>
      </c>
      <c r="E48" s="117"/>
      <c r="F48" s="118" t="s">
        <v>1154</v>
      </c>
      <c r="G48" t="str">
        <f t="shared" si="0"/>
        <v>February</v>
      </c>
    </row>
    <row r="49" spans="1:7">
      <c r="A49" s="117" t="s">
        <v>815</v>
      </c>
      <c r="B49" s="243" t="s">
        <v>138</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1154</v>
      </c>
      <c r="G53" t="str">
        <f t="shared" si="0"/>
        <v>February</v>
      </c>
    </row>
    <row r="54" spans="1:7">
      <c r="A54" s="117" t="s">
        <v>814</v>
      </c>
      <c r="B54" s="154" t="s">
        <v>635</v>
      </c>
      <c r="C54" s="153">
        <v>45709</v>
      </c>
      <c r="D54" s="117">
        <v>1462</v>
      </c>
      <c r="E54" s="117"/>
      <c r="F54" s="118" t="s">
        <v>1146</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126</v>
      </c>
      <c r="C94" s="153">
        <v>45714</v>
      </c>
      <c r="D94" s="117"/>
      <c r="E94" s="117"/>
      <c r="F94" s="118" t="s">
        <v>1166</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1153</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1168</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648</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649</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635</v>
      </c>
      <c r="C117" s="122">
        <v>45715</v>
      </c>
      <c r="D117" s="118">
        <v>437</v>
      </c>
      <c r="E117" s="118"/>
      <c r="F117" s="118" t="s">
        <v>1171</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126</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126</v>
      </c>
      <c r="C125" s="122">
        <v>45715</v>
      </c>
      <c r="D125" s="118"/>
      <c r="E125" s="118"/>
      <c r="F125" s="134" t="s">
        <v>1172</v>
      </c>
      <c r="G125" t="str">
        <f t="shared" si="1"/>
        <v>February</v>
      </c>
    </row>
    <row r="126" spans="1:7">
      <c r="A126" s="117" t="s">
        <v>756</v>
      </c>
      <c r="B126" s="244" t="s">
        <v>639</v>
      </c>
      <c r="C126" s="122">
        <v>45715</v>
      </c>
      <c r="D126" s="118"/>
      <c r="E126" s="118"/>
      <c r="F126" s="134" t="s">
        <v>1173</v>
      </c>
      <c r="G126" t="str">
        <f t="shared" si="1"/>
        <v>February</v>
      </c>
    </row>
    <row r="127" spans="1:7" ht="15.75">
      <c r="A127" s="117" t="s">
        <v>818</v>
      </c>
      <c r="B127" s="242" t="s">
        <v>126</v>
      </c>
      <c r="C127" s="122">
        <v>45715</v>
      </c>
      <c r="D127" s="118">
        <v>1422</v>
      </c>
      <c r="E127" s="118"/>
      <c r="F127" s="134" t="s">
        <v>1162</v>
      </c>
      <c r="G127" t="str">
        <f t="shared" si="1"/>
        <v>February</v>
      </c>
    </row>
    <row r="128" spans="1:7">
      <c r="A128" s="117" t="s">
        <v>815</v>
      </c>
      <c r="B128" s="243" t="s">
        <v>138</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653</v>
      </c>
      <c r="C130" s="122">
        <v>45715</v>
      </c>
      <c r="D130" s="118"/>
      <c r="E130" s="118"/>
      <c r="F130" s="134" t="s">
        <v>1173</v>
      </c>
      <c r="G130" t="str">
        <f t="shared" si="1"/>
        <v>February</v>
      </c>
    </row>
    <row r="131" spans="1:7" ht="15.75">
      <c r="A131" s="117" t="s">
        <v>730</v>
      </c>
      <c r="B131" s="242" t="s">
        <v>126</v>
      </c>
      <c r="C131" s="122">
        <v>45715</v>
      </c>
      <c r="D131" s="118"/>
      <c r="E131" s="118"/>
      <c r="F131" s="134" t="s">
        <v>1173</v>
      </c>
      <c r="G131" t="str">
        <f t="shared" ref="G131:G194" si="2">TEXT(C131,"mmmm")</f>
        <v>February</v>
      </c>
    </row>
    <row r="132" spans="1:7">
      <c r="A132" s="117" t="s">
        <v>893</v>
      </c>
      <c r="B132" s="244" t="s">
        <v>639</v>
      </c>
      <c r="C132" s="122">
        <v>45715</v>
      </c>
      <c r="D132" s="118">
        <v>513</v>
      </c>
      <c r="E132" s="118"/>
      <c r="F132" s="134" t="s">
        <v>1146</v>
      </c>
      <c r="G132" t="str">
        <f t="shared" si="2"/>
        <v>February</v>
      </c>
    </row>
    <row r="133" spans="1:7">
      <c r="A133" s="117" t="s">
        <v>814</v>
      </c>
      <c r="B133" s="154" t="s">
        <v>635</v>
      </c>
      <c r="C133" s="122">
        <v>45715</v>
      </c>
      <c r="D133" s="118"/>
      <c r="E133" s="118"/>
      <c r="F133" s="134" t="s">
        <v>1173</v>
      </c>
      <c r="G133" t="str">
        <f t="shared" si="2"/>
        <v>February</v>
      </c>
    </row>
    <row r="134" spans="1:7">
      <c r="A134" s="117" t="s">
        <v>645</v>
      </c>
      <c r="B134" s="154" t="s">
        <v>635</v>
      </c>
      <c r="C134" s="122">
        <v>45715</v>
      </c>
      <c r="D134" s="118"/>
      <c r="E134" s="118"/>
      <c r="F134" s="134" t="s">
        <v>1173</v>
      </c>
      <c r="G134" t="str">
        <f t="shared" si="2"/>
        <v>February</v>
      </c>
    </row>
    <row r="135" spans="1:7">
      <c r="A135" s="117" t="s">
        <v>694</v>
      </c>
      <c r="B135" s="210" t="s">
        <v>639</v>
      </c>
      <c r="C135" s="122">
        <v>45715</v>
      </c>
      <c r="D135" s="118"/>
      <c r="E135" s="118"/>
      <c r="F135" s="134" t="s">
        <v>1173</v>
      </c>
      <c r="G135" t="str">
        <f t="shared" si="2"/>
        <v>February</v>
      </c>
    </row>
    <row r="136" spans="1:7" ht="15.75">
      <c r="A136" s="117" t="s">
        <v>811</v>
      </c>
      <c r="B136" s="242" t="s">
        <v>126</v>
      </c>
      <c r="C136" s="122">
        <v>45715</v>
      </c>
      <c r="D136" s="118">
        <v>1360</v>
      </c>
      <c r="E136" s="118"/>
      <c r="F136" s="134" t="s">
        <v>1154</v>
      </c>
      <c r="G136" t="str">
        <f t="shared" si="2"/>
        <v>February</v>
      </c>
    </row>
    <row r="137" spans="1:7">
      <c r="A137" s="117" t="s">
        <v>642</v>
      </c>
      <c r="B137" s="244" t="s">
        <v>639</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638</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648</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649</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653</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635</v>
      </c>
      <c r="C148" s="122">
        <v>45716</v>
      </c>
      <c r="D148" s="123" t="s">
        <v>1173</v>
      </c>
      <c r="E148" s="123"/>
      <c r="F148" s="118"/>
      <c r="G148" t="str">
        <f t="shared" si="2"/>
        <v>February</v>
      </c>
    </row>
    <row r="149" spans="1:7">
      <c r="A149" s="117" t="s">
        <v>652</v>
      </c>
      <c r="B149" s="244" t="s">
        <v>653</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126</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126</v>
      </c>
      <c r="C156" s="122">
        <v>45716</v>
      </c>
      <c r="D156" s="123" t="s">
        <v>1173</v>
      </c>
      <c r="E156" s="123"/>
      <c r="F156" s="118"/>
      <c r="G156" t="str">
        <f t="shared" si="2"/>
        <v>February</v>
      </c>
    </row>
    <row r="157" spans="1:7">
      <c r="A157" s="117" t="s">
        <v>756</v>
      </c>
      <c r="B157" s="244" t="s">
        <v>639</v>
      </c>
      <c r="C157" s="122">
        <v>45716</v>
      </c>
      <c r="D157" s="123" t="s">
        <v>1173</v>
      </c>
      <c r="E157" s="123"/>
      <c r="F157" s="118"/>
      <c r="G157" t="str">
        <f t="shared" si="2"/>
        <v>February</v>
      </c>
    </row>
    <row r="158" spans="1:7" ht="15.75">
      <c r="A158" s="117" t="s">
        <v>818</v>
      </c>
      <c r="B158" s="242" t="s">
        <v>126</v>
      </c>
      <c r="C158" s="122">
        <v>45716</v>
      </c>
      <c r="D158" s="123">
        <v>946</v>
      </c>
      <c r="E158" s="123"/>
      <c r="F158" s="109" t="s">
        <v>1154</v>
      </c>
      <c r="G158" t="str">
        <f t="shared" si="2"/>
        <v>February</v>
      </c>
    </row>
    <row r="159" spans="1:7">
      <c r="A159" s="117" t="s">
        <v>815</v>
      </c>
      <c r="B159" s="243" t="s">
        <v>138</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653</v>
      </c>
      <c r="C161" s="122">
        <v>45716</v>
      </c>
      <c r="D161" s="123">
        <v>54</v>
      </c>
      <c r="E161" s="123"/>
      <c r="F161" s="109" t="s">
        <v>1176</v>
      </c>
      <c r="G161" t="str">
        <f t="shared" si="2"/>
        <v>February</v>
      </c>
    </row>
    <row r="162" spans="1:7" ht="15.75">
      <c r="A162" s="117" t="s">
        <v>730</v>
      </c>
      <c r="B162" s="242" t="s">
        <v>126</v>
      </c>
      <c r="C162" s="122">
        <v>45716</v>
      </c>
      <c r="D162" s="123" t="s">
        <v>1173</v>
      </c>
      <c r="E162" s="123"/>
      <c r="F162" s="118"/>
      <c r="G162" t="str">
        <f t="shared" si="2"/>
        <v>February</v>
      </c>
    </row>
    <row r="163" spans="1:7">
      <c r="A163" s="117" t="s">
        <v>893</v>
      </c>
      <c r="B163" s="244" t="s">
        <v>639</v>
      </c>
      <c r="C163" s="122">
        <v>45716</v>
      </c>
      <c r="D163" s="123" t="s">
        <v>1173</v>
      </c>
      <c r="E163" s="123"/>
      <c r="F163" s="118"/>
      <c r="G163" t="str">
        <f t="shared" si="2"/>
        <v>February</v>
      </c>
    </row>
    <row r="164" spans="1:7">
      <c r="A164" s="117" t="s">
        <v>814</v>
      </c>
      <c r="B164" s="154" t="s">
        <v>635</v>
      </c>
      <c r="C164" s="122">
        <v>45716</v>
      </c>
      <c r="D164" s="123">
        <v>886</v>
      </c>
      <c r="E164" s="123"/>
      <c r="F164" s="118" t="s">
        <v>1158</v>
      </c>
      <c r="G164" t="str">
        <f t="shared" si="2"/>
        <v>February</v>
      </c>
    </row>
    <row r="165" spans="1:7">
      <c r="A165" s="117" t="s">
        <v>645</v>
      </c>
      <c r="B165" s="154" t="s">
        <v>635</v>
      </c>
      <c r="C165" s="122">
        <v>45716</v>
      </c>
      <c r="D165" s="123">
        <v>384</v>
      </c>
      <c r="E165" s="123"/>
      <c r="F165" s="118" t="s">
        <v>1156</v>
      </c>
      <c r="G165" t="str">
        <f t="shared" si="2"/>
        <v>February</v>
      </c>
    </row>
    <row r="166" spans="1:7">
      <c r="A166" s="117" t="s">
        <v>694</v>
      </c>
      <c r="B166" s="210" t="s">
        <v>639</v>
      </c>
      <c r="C166" s="122">
        <v>45716</v>
      </c>
      <c r="D166" s="123" t="s">
        <v>1173</v>
      </c>
      <c r="E166" s="123"/>
      <c r="F166" s="118"/>
      <c r="G166" t="str">
        <f t="shared" si="2"/>
        <v>February</v>
      </c>
    </row>
    <row r="167" spans="1:7" ht="15.75">
      <c r="A167" s="117" t="s">
        <v>811</v>
      </c>
      <c r="B167" s="242" t="s">
        <v>126</v>
      </c>
      <c r="C167" s="122">
        <v>45716</v>
      </c>
      <c r="D167" s="123" t="s">
        <v>1173</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638</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648</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649</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653</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635</v>
      </c>
      <c r="C179" s="122">
        <v>45719</v>
      </c>
      <c r="D179" s="123" t="s">
        <v>1173</v>
      </c>
      <c r="E179" s="123"/>
      <c r="F179" s="118"/>
      <c r="G179" t="str">
        <f t="shared" si="2"/>
        <v>March</v>
      </c>
    </row>
    <row r="180" spans="1:7">
      <c r="A180" s="117" t="s">
        <v>652</v>
      </c>
      <c r="B180" s="244" t="s">
        <v>653</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126</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126</v>
      </c>
      <c r="C187" s="122">
        <v>45719</v>
      </c>
      <c r="D187" s="123" t="s">
        <v>1173</v>
      </c>
      <c r="E187" s="123"/>
      <c r="F187" s="118"/>
      <c r="G187" t="str">
        <f t="shared" si="2"/>
        <v>March</v>
      </c>
    </row>
    <row r="188" spans="1:7">
      <c r="A188" s="117" t="s">
        <v>756</v>
      </c>
      <c r="B188" s="244" t="s">
        <v>639</v>
      </c>
      <c r="C188" s="122">
        <v>45719</v>
      </c>
      <c r="D188" s="123" t="s">
        <v>1173</v>
      </c>
      <c r="E188" s="123"/>
      <c r="F188" s="118"/>
      <c r="G188" t="str">
        <f t="shared" si="2"/>
        <v>March</v>
      </c>
    </row>
    <row r="189" spans="1:7" ht="15.75">
      <c r="A189" s="117" t="s">
        <v>818</v>
      </c>
      <c r="B189" s="242" t="s">
        <v>126</v>
      </c>
      <c r="C189" s="122">
        <v>45719</v>
      </c>
      <c r="D189" s="123" t="s">
        <v>1173</v>
      </c>
      <c r="E189" s="123"/>
      <c r="F189" s="118"/>
      <c r="G189" t="str">
        <f t="shared" si="2"/>
        <v>March</v>
      </c>
    </row>
    <row r="190" spans="1:7">
      <c r="A190" s="117" t="s">
        <v>815</v>
      </c>
      <c r="B190" s="243" t="s">
        <v>138</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653</v>
      </c>
      <c r="C192" s="122">
        <v>45719</v>
      </c>
      <c r="D192" s="123" t="s">
        <v>1173</v>
      </c>
      <c r="E192" s="123"/>
      <c r="F192" s="118"/>
      <c r="G192" t="str">
        <f t="shared" si="2"/>
        <v>March</v>
      </c>
    </row>
    <row r="193" spans="1:7" ht="15.75">
      <c r="A193" s="117" t="s">
        <v>730</v>
      </c>
      <c r="B193" s="242" t="s">
        <v>126</v>
      </c>
      <c r="C193" s="122">
        <v>45719</v>
      </c>
      <c r="D193" s="123" t="s">
        <v>1173</v>
      </c>
      <c r="E193" s="123"/>
      <c r="F193" s="118"/>
      <c r="G193" t="str">
        <f t="shared" si="2"/>
        <v>March</v>
      </c>
    </row>
    <row r="194" spans="1:7">
      <c r="A194" s="117" t="s">
        <v>893</v>
      </c>
      <c r="B194" s="244" t="s">
        <v>639</v>
      </c>
      <c r="C194" s="122">
        <v>45719</v>
      </c>
      <c r="D194" s="123" t="s">
        <v>1173</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1163</v>
      </c>
      <c r="G196" t="str">
        <f t="shared" si="3"/>
        <v>March</v>
      </c>
    </row>
    <row r="197" spans="1:7">
      <c r="A197" s="117" t="s">
        <v>694</v>
      </c>
      <c r="B197" s="210" t="s">
        <v>639</v>
      </c>
      <c r="C197" s="122">
        <v>45719</v>
      </c>
      <c r="D197" s="123" t="s">
        <v>1173</v>
      </c>
      <c r="E197" s="123"/>
      <c r="F197" s="118"/>
      <c r="G197" t="str">
        <f t="shared" si="3"/>
        <v>March</v>
      </c>
    </row>
    <row r="198" spans="1:7" ht="15.75">
      <c r="A198" s="117" t="s">
        <v>811</v>
      </c>
      <c r="B198" s="242" t="s">
        <v>126</v>
      </c>
      <c r="C198" s="122">
        <v>45719</v>
      </c>
      <c r="D198" s="150">
        <v>1460</v>
      </c>
      <c r="E198" s="150"/>
      <c r="F198" s="109" t="s">
        <v>1152</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638</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648</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649</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126</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138</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635</v>
      </c>
      <c r="C216" s="122">
        <v>45720</v>
      </c>
      <c r="D216" s="123">
        <v>408</v>
      </c>
      <c r="E216" s="123"/>
      <c r="F216" s="118" t="s">
        <v>1166</v>
      </c>
      <c r="G216" t="str">
        <f t="shared" si="3"/>
        <v>March</v>
      </c>
    </row>
    <row r="217" spans="1:8">
      <c r="A217" s="117" t="s">
        <v>645</v>
      </c>
      <c r="B217" s="154" t="s">
        <v>635</v>
      </c>
      <c r="C217" s="122">
        <v>45720</v>
      </c>
      <c r="D217" s="123">
        <v>840</v>
      </c>
      <c r="E217" s="123"/>
      <c r="F217" s="109" t="s">
        <v>1182</v>
      </c>
      <c r="G217" t="str">
        <f t="shared" si="3"/>
        <v>March</v>
      </c>
    </row>
    <row r="218" spans="1:8" ht="15.75">
      <c r="A218" s="117" t="s">
        <v>811</v>
      </c>
      <c r="B218" s="242" t="s">
        <v>126</v>
      </c>
      <c r="C218" s="122">
        <v>45720</v>
      </c>
      <c r="D218" s="123">
        <v>970</v>
      </c>
      <c r="E218" s="123"/>
      <c r="F218" s="109" t="s">
        <v>1154</v>
      </c>
      <c r="G218" t="str">
        <f t="shared" si="3"/>
        <v>March</v>
      </c>
    </row>
    <row r="219" spans="1:8">
      <c r="A219" s="117" t="s">
        <v>884</v>
      </c>
      <c r="B219" s="141" t="s">
        <v>649</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126</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1185</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1186</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648</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649</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126</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648</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635</v>
      </c>
      <c r="C299" s="122">
        <v>45722</v>
      </c>
      <c r="D299" s="134">
        <v>884</v>
      </c>
      <c r="E299" s="134"/>
      <c r="F299" s="134" t="s">
        <v>1194</v>
      </c>
      <c r="G299" t="str">
        <f t="shared" si="4"/>
        <v>March</v>
      </c>
    </row>
    <row r="300" spans="1:7" ht="15.75">
      <c r="A300" s="118" t="s">
        <v>696</v>
      </c>
      <c r="B300" s="242" t="s">
        <v>126</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1196</v>
      </c>
      <c r="G320" t="str">
        <f t="shared" si="4"/>
        <v>March</v>
      </c>
    </row>
    <row r="321" spans="1:7">
      <c r="A321" s="117" t="s">
        <v>814</v>
      </c>
      <c r="B321" s="154" t="s">
        <v>635</v>
      </c>
      <c r="C321" s="56">
        <v>45723</v>
      </c>
      <c r="D321" s="134">
        <v>875</v>
      </c>
      <c r="E321" s="134"/>
      <c r="F321" s="134" t="s">
        <v>1197</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1198</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648</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649</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126</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1201</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648</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1153</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648</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653</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635</v>
      </c>
      <c r="C433" s="56">
        <v>45728</v>
      </c>
      <c r="D433" s="123" t="s">
        <v>1173</v>
      </c>
      <c r="E433" s="123"/>
      <c r="G433" t="str">
        <f t="shared" si="6"/>
        <v>March</v>
      </c>
    </row>
    <row r="434" spans="1:7">
      <c r="A434" s="117" t="s">
        <v>652</v>
      </c>
      <c r="B434" s="244" t="s">
        <v>653</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126</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126</v>
      </c>
      <c r="C441" s="56">
        <v>45728</v>
      </c>
      <c r="D441" s="123" t="s">
        <v>1207</v>
      </c>
      <c r="E441" s="123"/>
      <c r="G441" t="str">
        <f t="shared" si="6"/>
        <v>March</v>
      </c>
    </row>
    <row r="442" spans="1:7">
      <c r="A442" s="117" t="s">
        <v>756</v>
      </c>
      <c r="B442" s="244" t="s">
        <v>639</v>
      </c>
      <c r="C442" s="56">
        <v>45728</v>
      </c>
      <c r="D442" s="123" t="s">
        <v>1173</v>
      </c>
      <c r="E442" s="123"/>
      <c r="G442" t="str">
        <f t="shared" si="6"/>
        <v>March</v>
      </c>
    </row>
    <row r="443" spans="1:7" ht="15.75">
      <c r="A443" s="117" t="s">
        <v>818</v>
      </c>
      <c r="B443" s="242" t="s">
        <v>126</v>
      </c>
      <c r="C443" s="56">
        <v>45728</v>
      </c>
      <c r="D443" s="123" t="s">
        <v>1173</v>
      </c>
      <c r="E443" s="123"/>
      <c r="G443" t="str">
        <f t="shared" si="6"/>
        <v>March</v>
      </c>
    </row>
    <row r="444" spans="1:7">
      <c r="A444" s="117" t="s">
        <v>815</v>
      </c>
      <c r="B444" s="243" t="s">
        <v>138</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653</v>
      </c>
      <c r="C446" s="56">
        <v>45728</v>
      </c>
      <c r="D446" s="123" t="s">
        <v>1173</v>
      </c>
      <c r="E446" s="123"/>
      <c r="G446" t="str">
        <f t="shared" si="6"/>
        <v>March</v>
      </c>
    </row>
    <row r="447" spans="1:7" ht="15.75">
      <c r="A447" s="117" t="s">
        <v>730</v>
      </c>
      <c r="B447" s="242" t="s">
        <v>126</v>
      </c>
      <c r="C447" s="56">
        <v>45728</v>
      </c>
      <c r="D447" s="123" t="s">
        <v>1173</v>
      </c>
      <c r="E447" s="123"/>
      <c r="G447" t="str">
        <f t="shared" si="6"/>
        <v>March</v>
      </c>
    </row>
    <row r="448" spans="1:7">
      <c r="A448" s="117" t="s">
        <v>893</v>
      </c>
      <c r="B448" s="244" t="s">
        <v>639</v>
      </c>
      <c r="C448" s="56">
        <v>45728</v>
      </c>
      <c r="D448" s="123" t="s">
        <v>1173</v>
      </c>
      <c r="E448" s="123"/>
      <c r="G448" t="str">
        <f t="shared" si="6"/>
        <v>March</v>
      </c>
    </row>
    <row r="449" spans="1:7">
      <c r="A449" s="117" t="s">
        <v>814</v>
      </c>
      <c r="B449" s="154" t="s">
        <v>635</v>
      </c>
      <c r="C449" s="56">
        <v>45728</v>
      </c>
      <c r="D449" s="123" t="s">
        <v>1173</v>
      </c>
      <c r="E449" s="123"/>
      <c r="G449" t="str">
        <f t="shared" si="6"/>
        <v>March</v>
      </c>
    </row>
    <row r="450" spans="1:7">
      <c r="A450" s="117" t="s">
        <v>645</v>
      </c>
      <c r="B450" s="154" t="s">
        <v>635</v>
      </c>
      <c r="C450" s="56">
        <v>45728</v>
      </c>
      <c r="D450" s="123" t="s">
        <v>1173</v>
      </c>
      <c r="E450" s="123"/>
      <c r="G450" t="str">
        <f t="shared" si="6"/>
        <v>March</v>
      </c>
    </row>
    <row r="451" spans="1:7">
      <c r="A451" s="117" t="s">
        <v>694</v>
      </c>
      <c r="B451" s="210" t="s">
        <v>639</v>
      </c>
      <c r="C451" s="56">
        <v>45728</v>
      </c>
      <c r="D451" s="123" t="s">
        <v>1173</v>
      </c>
      <c r="E451" s="123"/>
      <c r="G451" t="str">
        <f t="shared" ref="G451:G514" si="7">TEXT(C451,"mmmm")</f>
        <v>March</v>
      </c>
    </row>
    <row r="452" spans="1:7" ht="15.75">
      <c r="A452" s="117" t="s">
        <v>811</v>
      </c>
      <c r="B452" s="242" t="s">
        <v>126</v>
      </c>
      <c r="C452" s="56">
        <v>45728</v>
      </c>
      <c r="D452" s="123" t="s">
        <v>1173</v>
      </c>
      <c r="E452" s="123"/>
      <c r="G452" t="str">
        <f t="shared" si="7"/>
        <v>March</v>
      </c>
    </row>
    <row r="453" spans="1:7">
      <c r="A453" s="117" t="s">
        <v>642</v>
      </c>
      <c r="B453" s="244" t="s">
        <v>639</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638</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648</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649</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126</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1173</v>
      </c>
      <c r="E473" s="123"/>
      <c r="G473" t="str">
        <f t="shared" si="7"/>
        <v>March</v>
      </c>
    </row>
    <row r="474" spans="1:7">
      <c r="A474" s="118" t="s">
        <v>920</v>
      </c>
      <c r="B474" s="157" t="s">
        <v>639</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138</v>
      </c>
      <c r="C478" s="56">
        <v>45728</v>
      </c>
      <c r="D478" s="150">
        <v>1246</v>
      </c>
      <c r="E478" s="150"/>
      <c r="F478" s="109" t="s">
        <v>1209</v>
      </c>
      <c r="G478" t="str">
        <f t="shared" si="7"/>
        <v>March</v>
      </c>
    </row>
    <row r="479" spans="1:7" ht="15.75">
      <c r="A479" s="118" t="s">
        <v>718</v>
      </c>
      <c r="B479" s="242" t="s">
        <v>126</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653</v>
      </c>
      <c r="C496" s="56">
        <v>45729</v>
      </c>
      <c r="D496" s="123" t="s">
        <v>1173</v>
      </c>
      <c r="E496" s="123"/>
      <c r="G496" t="str">
        <f t="shared" si="7"/>
        <v>March</v>
      </c>
    </row>
    <row r="497" spans="1:7" ht="15.75">
      <c r="A497" s="117" t="s">
        <v>730</v>
      </c>
      <c r="B497" s="242" t="s">
        <v>126</v>
      </c>
      <c r="C497" s="56">
        <v>45729</v>
      </c>
      <c r="D497" s="123" t="s">
        <v>1173</v>
      </c>
      <c r="E497" s="123"/>
      <c r="G497" t="str">
        <f t="shared" si="7"/>
        <v>March</v>
      </c>
    </row>
    <row r="498" spans="1:7">
      <c r="A498" s="117" t="s">
        <v>893</v>
      </c>
      <c r="B498" s="244" t="s">
        <v>639</v>
      </c>
      <c r="C498" s="56">
        <v>45729</v>
      </c>
      <c r="D498" s="123" t="s">
        <v>1173</v>
      </c>
      <c r="E498" s="123"/>
      <c r="G498" t="str">
        <f t="shared" si="7"/>
        <v>March</v>
      </c>
    </row>
    <row r="499" spans="1:7">
      <c r="A499" s="117" t="s">
        <v>814</v>
      </c>
      <c r="B499" s="154" t="s">
        <v>635</v>
      </c>
      <c r="C499" s="56">
        <v>45729</v>
      </c>
      <c r="D499" s="123" t="s">
        <v>1173</v>
      </c>
      <c r="E499" s="123"/>
      <c r="G499" t="str">
        <f t="shared" si="7"/>
        <v>March</v>
      </c>
    </row>
    <row r="500" spans="1:7">
      <c r="A500" s="117" t="s">
        <v>645</v>
      </c>
      <c r="B500" s="154" t="s">
        <v>635</v>
      </c>
      <c r="C500" s="56">
        <v>45729</v>
      </c>
      <c r="D500" s="123" t="s">
        <v>1173</v>
      </c>
      <c r="E500" s="123"/>
      <c r="G500" t="str">
        <f t="shared" si="7"/>
        <v>March</v>
      </c>
    </row>
    <row r="501" spans="1:7">
      <c r="A501" s="117" t="s">
        <v>694</v>
      </c>
      <c r="B501" s="210" t="s">
        <v>639</v>
      </c>
      <c r="C501" s="56">
        <v>45729</v>
      </c>
      <c r="D501" s="123" t="s">
        <v>1173</v>
      </c>
      <c r="E501" s="123"/>
      <c r="G501" t="str">
        <f t="shared" si="7"/>
        <v>March</v>
      </c>
    </row>
    <row r="502" spans="1:7" ht="15.75">
      <c r="A502" s="117" t="s">
        <v>811</v>
      </c>
      <c r="B502" s="242" t="s">
        <v>126</v>
      </c>
      <c r="C502" s="56">
        <v>45729</v>
      </c>
      <c r="D502" s="123" t="s">
        <v>1173</v>
      </c>
      <c r="E502" s="123"/>
      <c r="G502" t="str">
        <f t="shared" si="7"/>
        <v>March</v>
      </c>
    </row>
    <row r="503" spans="1:7">
      <c r="A503" s="117" t="s">
        <v>642</v>
      </c>
      <c r="B503" s="244" t="s">
        <v>639</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638</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648</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649</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126</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126</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635</v>
      </c>
      <c r="C517" s="56">
        <v>45729</v>
      </c>
      <c r="D517" s="123">
        <v>914</v>
      </c>
      <c r="E517" s="123"/>
      <c r="F517" s="109" t="s">
        <v>1213</v>
      </c>
      <c r="G517" t="str">
        <f t="shared" si="8"/>
        <v>March</v>
      </c>
    </row>
    <row r="518" spans="1:7" ht="15.75">
      <c r="A518" s="118" t="s">
        <v>696</v>
      </c>
      <c r="B518" s="242" t="s">
        <v>126</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1171</v>
      </c>
      <c r="G528" t="str">
        <f t="shared" si="8"/>
        <v>March</v>
      </c>
    </row>
    <row r="529" spans="1:7" ht="15.75">
      <c r="A529" s="118" t="s">
        <v>718</v>
      </c>
      <c r="B529" s="242" t="s">
        <v>126</v>
      </c>
      <c r="C529" s="56">
        <v>45729</v>
      </c>
      <c r="D529" s="150">
        <v>1123</v>
      </c>
      <c r="E529" s="150"/>
      <c r="F529" s="109" t="s">
        <v>1215</v>
      </c>
      <c r="G529" t="str">
        <f t="shared" si="8"/>
        <v>March</v>
      </c>
    </row>
    <row r="530" spans="1:7">
      <c r="A530" s="208" t="s">
        <v>821</v>
      </c>
      <c r="B530" s="157" t="s">
        <v>639</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653</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635</v>
      </c>
      <c r="C534" s="56">
        <v>45730</v>
      </c>
      <c r="D534" s="123"/>
      <c r="E534" s="123"/>
      <c r="F534" s="123" t="s">
        <v>1173</v>
      </c>
      <c r="G534" t="str">
        <f t="shared" si="8"/>
        <v>March</v>
      </c>
    </row>
    <row r="535" spans="1:7">
      <c r="A535" s="117" t="s">
        <v>652</v>
      </c>
      <c r="B535" s="244" t="s">
        <v>653</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126</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126</v>
      </c>
      <c r="C542" s="56">
        <v>45730</v>
      </c>
      <c r="D542" s="123"/>
      <c r="E542" s="123"/>
      <c r="F542" s="123" t="s">
        <v>1173</v>
      </c>
      <c r="G542" t="str">
        <f t="shared" si="8"/>
        <v>March</v>
      </c>
    </row>
    <row r="543" spans="1:7">
      <c r="A543" s="117" t="s">
        <v>756</v>
      </c>
      <c r="B543" s="244" t="s">
        <v>639</v>
      </c>
      <c r="C543" s="56">
        <v>45730</v>
      </c>
      <c r="D543" s="123"/>
      <c r="E543" s="123"/>
      <c r="F543" s="123" t="s">
        <v>1217</v>
      </c>
      <c r="G543" t="str">
        <f t="shared" si="8"/>
        <v>March</v>
      </c>
    </row>
    <row r="544" spans="1:7" ht="15.75">
      <c r="A544" s="117" t="s">
        <v>818</v>
      </c>
      <c r="B544" s="242" t="s">
        <v>126</v>
      </c>
      <c r="C544" s="56">
        <v>45730</v>
      </c>
      <c r="D544" s="123"/>
      <c r="E544" s="123"/>
      <c r="F544" s="123" t="s">
        <v>1173</v>
      </c>
      <c r="G544" t="str">
        <f t="shared" si="8"/>
        <v>March</v>
      </c>
    </row>
    <row r="545" spans="1:7">
      <c r="A545" s="117" t="s">
        <v>815</v>
      </c>
      <c r="B545" s="243" t="s">
        <v>138</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653</v>
      </c>
      <c r="C547" s="56">
        <v>45730</v>
      </c>
      <c r="D547" s="123"/>
      <c r="E547" s="123"/>
      <c r="F547" s="123" t="s">
        <v>1173</v>
      </c>
      <c r="G547" t="str">
        <f t="shared" si="8"/>
        <v>March</v>
      </c>
    </row>
    <row r="548" spans="1:7" ht="15.75">
      <c r="A548" s="117" t="s">
        <v>730</v>
      </c>
      <c r="B548" s="242" t="s">
        <v>126</v>
      </c>
      <c r="C548" s="56">
        <v>45730</v>
      </c>
      <c r="D548" s="123"/>
      <c r="E548" s="123"/>
      <c r="F548" s="123" t="s">
        <v>1173</v>
      </c>
      <c r="G548" t="str">
        <f t="shared" si="8"/>
        <v>March</v>
      </c>
    </row>
    <row r="549" spans="1:7">
      <c r="A549" s="117" t="s">
        <v>893</v>
      </c>
      <c r="B549" s="244" t="s">
        <v>639</v>
      </c>
      <c r="C549" s="56">
        <v>45730</v>
      </c>
      <c r="D549" s="123"/>
      <c r="E549" s="123"/>
      <c r="F549" s="123" t="s">
        <v>1173</v>
      </c>
      <c r="G549" t="str">
        <f t="shared" si="8"/>
        <v>March</v>
      </c>
    </row>
    <row r="550" spans="1:7">
      <c r="A550" s="117" t="s">
        <v>814</v>
      </c>
      <c r="B550" s="154" t="s">
        <v>635</v>
      </c>
      <c r="C550" s="56">
        <v>45730</v>
      </c>
      <c r="D550" s="123"/>
      <c r="E550" s="123"/>
      <c r="F550" s="123" t="s">
        <v>1173</v>
      </c>
      <c r="G550" t="str">
        <f t="shared" si="8"/>
        <v>March</v>
      </c>
    </row>
    <row r="551" spans="1:7">
      <c r="A551" s="117" t="s">
        <v>645</v>
      </c>
      <c r="B551" s="154" t="s">
        <v>635</v>
      </c>
      <c r="C551" s="56">
        <v>45730</v>
      </c>
      <c r="D551" s="123"/>
      <c r="E551" s="123"/>
      <c r="F551" s="123" t="s">
        <v>1173</v>
      </c>
      <c r="G551" t="str">
        <f t="shared" si="8"/>
        <v>March</v>
      </c>
    </row>
    <row r="552" spans="1:7">
      <c r="A552" s="117" t="s">
        <v>694</v>
      </c>
      <c r="B552" s="210" t="s">
        <v>639</v>
      </c>
      <c r="C552" s="56">
        <v>45730</v>
      </c>
      <c r="D552" s="123"/>
      <c r="E552" s="123"/>
      <c r="F552" s="123" t="s">
        <v>1217</v>
      </c>
      <c r="G552" t="str">
        <f t="shared" si="8"/>
        <v>March</v>
      </c>
    </row>
    <row r="553" spans="1:7" ht="15.75">
      <c r="A553" s="117" t="s">
        <v>811</v>
      </c>
      <c r="B553" s="242" t="s">
        <v>126</v>
      </c>
      <c r="C553" s="56">
        <v>45730</v>
      </c>
      <c r="D553" s="123" t="s">
        <v>1173</v>
      </c>
      <c r="E553" s="123"/>
      <c r="F553" s="123" t="s">
        <v>1173</v>
      </c>
      <c r="G553" t="str">
        <f t="shared" si="8"/>
        <v>March</v>
      </c>
    </row>
    <row r="554" spans="1:7">
      <c r="A554" s="117" t="s">
        <v>642</v>
      </c>
      <c r="B554" s="244" t="s">
        <v>639</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638</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648</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649</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126</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126</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635</v>
      </c>
      <c r="C568" s="56">
        <v>45730</v>
      </c>
      <c r="D568" s="150">
        <v>1903</v>
      </c>
      <c r="E568" s="150"/>
      <c r="F568" s="109" t="s">
        <v>1221</v>
      </c>
      <c r="G568" t="str">
        <f t="shared" si="8"/>
        <v>March</v>
      </c>
    </row>
    <row r="569" spans="1:7" ht="15.75">
      <c r="A569" s="118" t="s">
        <v>696</v>
      </c>
      <c r="B569" s="242" t="s">
        <v>126</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927</v>
      </c>
      <c r="B573" s="154" t="s">
        <v>635</v>
      </c>
      <c r="C573" s="56">
        <v>45730</v>
      </c>
      <c r="D573" s="123" t="s">
        <v>1173</v>
      </c>
      <c r="E573" s="123"/>
      <c r="F573" s="123"/>
      <c r="G573" t="str">
        <f t="shared" si="8"/>
        <v>March</v>
      </c>
    </row>
    <row r="574" spans="1:7">
      <c r="A574" s="118" t="s">
        <v>1079</v>
      </c>
      <c r="B574" s="157" t="s">
        <v>639</v>
      </c>
      <c r="C574" s="56">
        <v>45730</v>
      </c>
      <c r="D574" s="123" t="s">
        <v>1173</v>
      </c>
      <c r="E574" s="123"/>
      <c r="F574" s="123"/>
      <c r="G574" t="str">
        <f t="shared" si="8"/>
        <v>March</v>
      </c>
    </row>
    <row r="575" spans="1:7">
      <c r="A575" s="118" t="s">
        <v>920</v>
      </c>
      <c r="B575" s="157" t="s">
        <v>639</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639</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1224</v>
      </c>
      <c r="G579" t="str">
        <f t="shared" ref="G579:G642" si="9">TEXT(C579,"mmmm")</f>
        <v>March</v>
      </c>
    </row>
    <row r="580" spans="1:7" ht="15.75">
      <c r="A580" s="118" t="s">
        <v>718</v>
      </c>
      <c r="B580" s="242" t="s">
        <v>126</v>
      </c>
      <c r="C580" s="56">
        <v>45730</v>
      </c>
      <c r="D580" s="123" t="s">
        <v>1173</v>
      </c>
      <c r="E580" s="123"/>
      <c r="F580" s="123"/>
      <c r="G580" t="str">
        <f t="shared" si="9"/>
        <v>March</v>
      </c>
    </row>
    <row r="581" spans="1:7">
      <c r="A581" s="208" t="s">
        <v>821</v>
      </c>
      <c r="B581" s="157" t="s">
        <v>639</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652</v>
      </c>
      <c r="B584" s="244" t="s">
        <v>653</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639</v>
      </c>
      <c r="C586" s="56">
        <v>45733</v>
      </c>
      <c r="E586" s="43"/>
      <c r="F586" s="123" t="s">
        <v>1173</v>
      </c>
      <c r="G586" t="str">
        <f t="shared" si="9"/>
        <v>March</v>
      </c>
    </row>
    <row r="587" spans="1:7" ht="15.75">
      <c r="A587" s="117" t="s">
        <v>818</v>
      </c>
      <c r="B587" s="242" t="s">
        <v>126</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653</v>
      </c>
      <c r="C589" s="56">
        <v>45733</v>
      </c>
      <c r="E589" s="43"/>
      <c r="F589" s="123" t="s">
        <v>1173</v>
      </c>
      <c r="G589" t="str">
        <f t="shared" si="9"/>
        <v>March</v>
      </c>
    </row>
    <row r="590" spans="1:7">
      <c r="A590" s="117" t="s">
        <v>893</v>
      </c>
      <c r="B590" s="244" t="s">
        <v>639</v>
      </c>
      <c r="C590" s="56">
        <v>45733</v>
      </c>
      <c r="E590" s="43"/>
      <c r="F590" s="123" t="s">
        <v>1173</v>
      </c>
      <c r="G590" t="str">
        <f t="shared" si="9"/>
        <v>March</v>
      </c>
    </row>
    <row r="591" spans="1:7">
      <c r="A591" s="117" t="s">
        <v>814</v>
      </c>
      <c r="B591" s="154" t="s">
        <v>635</v>
      </c>
      <c r="C591" s="56">
        <v>45733</v>
      </c>
      <c r="E591" s="43"/>
      <c r="F591" s="123" t="s">
        <v>1173</v>
      </c>
      <c r="G591" t="str">
        <f t="shared" si="9"/>
        <v>March</v>
      </c>
    </row>
    <row r="592" spans="1:7">
      <c r="A592" s="117" t="s">
        <v>694</v>
      </c>
      <c r="B592" s="210" t="s">
        <v>639</v>
      </c>
      <c r="C592" s="56">
        <v>45733</v>
      </c>
      <c r="E592" s="43"/>
      <c r="F592" s="123" t="s">
        <v>1173</v>
      </c>
      <c r="G592" t="str">
        <f t="shared" si="9"/>
        <v>March</v>
      </c>
    </row>
    <row r="593" spans="1:7">
      <c r="A593" s="117" t="s">
        <v>638</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126</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126</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927</v>
      </c>
      <c r="B607" s="154" t="s">
        <v>635</v>
      </c>
      <c r="C607" s="56">
        <v>45733</v>
      </c>
      <c r="E607" s="43"/>
      <c r="F607" s="123" t="s">
        <v>1173</v>
      </c>
      <c r="G607" t="str">
        <f t="shared" si="9"/>
        <v>March</v>
      </c>
    </row>
    <row r="608" spans="1:7">
      <c r="A608" s="118" t="s">
        <v>1079</v>
      </c>
      <c r="B608" s="157" t="s">
        <v>639</v>
      </c>
      <c r="C608" s="56">
        <v>45733</v>
      </c>
      <c r="E608" s="43"/>
      <c r="F608" s="123" t="s">
        <v>1173</v>
      </c>
      <c r="G608" t="str">
        <f t="shared" si="9"/>
        <v>March</v>
      </c>
    </row>
    <row r="609" spans="1:7">
      <c r="A609" s="118" t="s">
        <v>920</v>
      </c>
      <c r="B609" s="157" t="s">
        <v>639</v>
      </c>
      <c r="C609" s="56">
        <v>45733</v>
      </c>
      <c r="E609" s="43"/>
      <c r="F609" s="123" t="s">
        <v>1173</v>
      </c>
      <c r="G609" t="str">
        <f t="shared" si="9"/>
        <v>March</v>
      </c>
    </row>
    <row r="610" spans="1:7">
      <c r="A610" s="118" t="s">
        <v>882</v>
      </c>
      <c r="B610" s="157" t="s">
        <v>639</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1228</v>
      </c>
      <c r="G612" t="str">
        <f t="shared" si="9"/>
        <v>March</v>
      </c>
    </row>
    <row r="613" spans="1:7" ht="15.75">
      <c r="A613" s="118" t="s">
        <v>718</v>
      </c>
      <c r="B613" s="242" t="s">
        <v>126</v>
      </c>
      <c r="C613" s="56">
        <v>45733</v>
      </c>
      <c r="D613" s="43">
        <v>1105</v>
      </c>
      <c r="E613" s="43"/>
      <c r="F613" s="123" t="s">
        <v>1229</v>
      </c>
      <c r="G613" t="str">
        <f t="shared" si="9"/>
        <v>March</v>
      </c>
    </row>
    <row r="614" spans="1:7">
      <c r="A614" s="208" t="s">
        <v>821</v>
      </c>
      <c r="B614" s="157" t="s">
        <v>639</v>
      </c>
      <c r="C614" s="56">
        <v>45733</v>
      </c>
      <c r="E614" s="43"/>
      <c r="F614" s="123" t="s">
        <v>1173</v>
      </c>
      <c r="G614" t="str">
        <f t="shared" si="9"/>
        <v>March</v>
      </c>
    </row>
    <row r="615" spans="1:7" ht="15.75">
      <c r="A615" s="117" t="s">
        <v>689</v>
      </c>
      <c r="B615" s="242" t="s">
        <v>126</v>
      </c>
      <c r="C615" s="56">
        <v>45733</v>
      </c>
      <c r="D615" s="43">
        <v>920</v>
      </c>
      <c r="E615" s="43"/>
      <c r="F615" s="123" t="s">
        <v>1230</v>
      </c>
      <c r="G615" t="str">
        <f t="shared" si="9"/>
        <v>March</v>
      </c>
    </row>
    <row r="616" spans="1:7">
      <c r="A616" s="117" t="s">
        <v>806</v>
      </c>
      <c r="B616" s="154" t="s">
        <v>635</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653</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126</v>
      </c>
      <c r="C621" s="56">
        <v>45734</v>
      </c>
      <c r="E621" s="43"/>
      <c r="F621" s="134" t="s">
        <v>1231</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138</v>
      </c>
      <c r="C625" s="56">
        <v>45734</v>
      </c>
      <c r="D625" s="43">
        <v>65</v>
      </c>
      <c r="E625" s="43"/>
      <c r="F625" s="43" t="s">
        <v>1234</v>
      </c>
      <c r="G625" t="str">
        <f t="shared" si="9"/>
        <v>March</v>
      </c>
    </row>
    <row r="626" spans="1:7">
      <c r="A626" s="241" t="s">
        <v>1016</v>
      </c>
      <c r="B626" s="154" t="s">
        <v>635</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638</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639</v>
      </c>
      <c r="C633" s="56">
        <v>45735</v>
      </c>
      <c r="D633" s="123">
        <v>200</v>
      </c>
      <c r="E633" s="43"/>
      <c r="F633" s="109" t="s">
        <v>1238</v>
      </c>
      <c r="G633" t="str">
        <f t="shared" si="9"/>
        <v>March</v>
      </c>
    </row>
    <row r="634" spans="1:7">
      <c r="A634" s="210" t="s">
        <v>920</v>
      </c>
      <c r="B634" s="141" t="s">
        <v>639</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635</v>
      </c>
      <c r="C636" s="56">
        <v>45735</v>
      </c>
      <c r="D636" s="123">
        <v>728</v>
      </c>
      <c r="E636" s="43"/>
      <c r="F636" s="109" t="s">
        <v>1241</v>
      </c>
      <c r="G636" t="str">
        <f t="shared" si="9"/>
        <v>March</v>
      </c>
    </row>
    <row r="637" spans="1:7">
      <c r="A637" s="210" t="s">
        <v>1016</v>
      </c>
      <c r="B637" s="154" t="s">
        <v>635</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635</v>
      </c>
      <c r="C643" s="56">
        <v>45736</v>
      </c>
      <c r="D643" s="123">
        <v>700</v>
      </c>
      <c r="E643" s="43"/>
      <c r="F643" s="109" t="s">
        <v>1244</v>
      </c>
      <c r="G643" t="str">
        <f t="shared" ref="G643:G706" si="10">TEXT(C643,"mmmm")</f>
        <v>March</v>
      </c>
    </row>
    <row r="644" spans="1:7">
      <c r="A644" s="210" t="s">
        <v>1016</v>
      </c>
      <c r="B644" s="154" t="s">
        <v>635</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138</v>
      </c>
      <c r="C646" s="56">
        <v>45736</v>
      </c>
      <c r="D646" s="150">
        <v>1964</v>
      </c>
      <c r="E646" s="43"/>
      <c r="F646" s="109" t="s">
        <v>1246</v>
      </c>
      <c r="G646" t="str">
        <f t="shared" si="10"/>
        <v>March</v>
      </c>
    </row>
    <row r="647" spans="1:7">
      <c r="A647" s="210" t="s">
        <v>920</v>
      </c>
      <c r="B647" s="210" t="s">
        <v>639</v>
      </c>
      <c r="C647" s="56">
        <v>45736</v>
      </c>
      <c r="D647" s="123" t="s">
        <v>1247</v>
      </c>
      <c r="E647" s="43"/>
      <c r="G647" t="str">
        <f t="shared" si="10"/>
        <v>March</v>
      </c>
    </row>
    <row r="648" spans="1:7" ht="15.75">
      <c r="A648" s="210" t="s">
        <v>638</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635</v>
      </c>
      <c r="C654" s="56">
        <v>45736</v>
      </c>
      <c r="D654" s="123">
        <v>700</v>
      </c>
      <c r="E654" s="43"/>
      <c r="F654" s="109" t="s">
        <v>1244</v>
      </c>
      <c r="G654" t="str">
        <f t="shared" si="10"/>
        <v>March</v>
      </c>
    </row>
    <row r="655" spans="1:7">
      <c r="A655" s="210" t="s">
        <v>1016</v>
      </c>
      <c r="B655" s="154" t="s">
        <v>635</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138</v>
      </c>
      <c r="C657" s="56">
        <v>45736</v>
      </c>
      <c r="D657" s="150">
        <v>1964</v>
      </c>
      <c r="E657" s="43"/>
      <c r="F657" s="109" t="s">
        <v>1246</v>
      </c>
      <c r="G657" t="str">
        <f t="shared" si="10"/>
        <v>March</v>
      </c>
    </row>
    <row r="658" spans="1:7">
      <c r="A658" s="210" t="s">
        <v>920</v>
      </c>
      <c r="B658" s="157" t="s">
        <v>639</v>
      </c>
      <c r="C658" s="56">
        <v>45736</v>
      </c>
      <c r="D658" s="123"/>
      <c r="E658" s="43"/>
      <c r="F658" s="123" t="s">
        <v>1247</v>
      </c>
      <c r="G658" t="str">
        <f t="shared" si="10"/>
        <v>March</v>
      </c>
    </row>
    <row r="659" spans="1:7" ht="15.75">
      <c r="A659" s="210" t="s">
        <v>638</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635</v>
      </c>
      <c r="C664" s="56">
        <v>45737</v>
      </c>
      <c r="D664" s="123">
        <v>709</v>
      </c>
      <c r="E664" s="43"/>
      <c r="F664" s="109" t="s">
        <v>1251</v>
      </c>
      <c r="G664" t="str">
        <f t="shared" si="10"/>
        <v>March</v>
      </c>
    </row>
    <row r="665" spans="1:7">
      <c r="A665" s="210" t="s">
        <v>1016</v>
      </c>
      <c r="B665" s="154" t="s">
        <v>635</v>
      </c>
      <c r="C665" s="56">
        <v>45737</v>
      </c>
      <c r="D665" s="123">
        <v>399</v>
      </c>
      <c r="E665" s="43"/>
      <c r="F665" s="109" t="s">
        <v>1252</v>
      </c>
      <c r="G665" t="str">
        <f t="shared" si="10"/>
        <v>March</v>
      </c>
    </row>
    <row r="666" spans="1:7">
      <c r="A666" s="210" t="s">
        <v>898</v>
      </c>
      <c r="B666" s="243" t="s">
        <v>138</v>
      </c>
      <c r="C666" s="56">
        <v>45737</v>
      </c>
      <c r="D666" s="150">
        <v>1528</v>
      </c>
      <c r="E666" s="43"/>
      <c r="F666" s="133" t="s">
        <v>1253</v>
      </c>
      <c r="G666" t="str">
        <f t="shared" si="10"/>
        <v>March</v>
      </c>
    </row>
    <row r="667" spans="1:7">
      <c r="A667" s="210" t="s">
        <v>920</v>
      </c>
      <c r="B667" s="157" t="s">
        <v>639</v>
      </c>
      <c r="C667" s="56">
        <v>45737</v>
      </c>
      <c r="D667" s="123">
        <v>420</v>
      </c>
      <c r="E667" s="43"/>
      <c r="F667" s="109" t="s">
        <v>1254</v>
      </c>
      <c r="G667" t="str">
        <f t="shared" si="10"/>
        <v>March</v>
      </c>
    </row>
    <row r="668" spans="1:7" ht="15.75">
      <c r="A668" s="210" t="s">
        <v>638</v>
      </c>
      <c r="B668" s="242" t="s">
        <v>1073</v>
      </c>
      <c r="C668" s="56">
        <v>45737</v>
      </c>
      <c r="D668" s="123">
        <v>270</v>
      </c>
      <c r="E668" s="43"/>
      <c r="F668" s="109" t="s">
        <v>1218</v>
      </c>
      <c r="G668" t="str">
        <f t="shared" si="10"/>
        <v>March</v>
      </c>
    </row>
    <row r="669" spans="1:7">
      <c r="A669" s="210" t="s">
        <v>882</v>
      </c>
      <c r="B669" s="157" t="s">
        <v>639</v>
      </c>
      <c r="C669" s="56">
        <v>45737</v>
      </c>
      <c r="D669" s="123" t="s">
        <v>1173</v>
      </c>
      <c r="E669" s="43"/>
      <c r="G669" t="str">
        <f t="shared" si="10"/>
        <v>March</v>
      </c>
    </row>
    <row r="670" spans="1:7" ht="30">
      <c r="A670" s="210" t="s">
        <v>1082</v>
      </c>
      <c r="B670" s="243" t="s">
        <v>138</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639</v>
      </c>
      <c r="C672" s="56">
        <v>45737</v>
      </c>
      <c r="D672" s="123">
        <v>360</v>
      </c>
      <c r="E672" s="43"/>
      <c r="F672" s="109" t="s">
        <v>1256</v>
      </c>
      <c r="G672" t="str">
        <f t="shared" si="10"/>
        <v>March</v>
      </c>
    </row>
    <row r="673" spans="1:7">
      <c r="A673" s="141" t="s">
        <v>929</v>
      </c>
      <c r="B673" s="243" t="s">
        <v>138</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639</v>
      </c>
      <c r="C675" s="56">
        <v>45740</v>
      </c>
      <c r="D675" s="141">
        <v>982</v>
      </c>
      <c r="E675" s="43" t="s">
        <v>1259</v>
      </c>
      <c r="F675" s="109" t="s">
        <v>1151</v>
      </c>
      <c r="G675" t="str">
        <f t="shared" si="10"/>
        <v>March</v>
      </c>
    </row>
    <row r="676" spans="1:7">
      <c r="A676" s="141" t="s">
        <v>800</v>
      </c>
      <c r="B676" s="141" t="s">
        <v>639</v>
      </c>
      <c r="C676" s="56">
        <v>45740</v>
      </c>
      <c r="D676" s="141">
        <v>691</v>
      </c>
      <c r="E676" s="43"/>
      <c r="F676" s="109" t="s">
        <v>1260</v>
      </c>
      <c r="G676" t="str">
        <f t="shared" si="10"/>
        <v>March</v>
      </c>
    </row>
    <row r="677" spans="1:7" ht="15.75">
      <c r="A677" s="141" t="s">
        <v>803</v>
      </c>
      <c r="B677" s="242" t="s">
        <v>126</v>
      </c>
      <c r="C677" s="56">
        <v>45740</v>
      </c>
      <c r="D677" s="142">
        <v>1430</v>
      </c>
      <c r="E677" s="109" t="s">
        <v>1152</v>
      </c>
      <c r="F677" s="109" t="s">
        <v>1261</v>
      </c>
      <c r="G677" t="str">
        <f t="shared" si="10"/>
        <v>March</v>
      </c>
    </row>
    <row r="678" spans="1:7" ht="15.75">
      <c r="A678" s="141" t="s">
        <v>809</v>
      </c>
      <c r="B678" s="242" t="s">
        <v>126</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635</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635</v>
      </c>
      <c r="C682" s="56">
        <v>45740</v>
      </c>
      <c r="D682" s="141"/>
      <c r="E682" s="43"/>
      <c r="F682" s="141" t="s">
        <v>1195</v>
      </c>
      <c r="G682" t="str">
        <f t="shared" si="10"/>
        <v>March</v>
      </c>
    </row>
    <row r="683" spans="1:7">
      <c r="A683" s="154" t="s">
        <v>1083</v>
      </c>
      <c r="B683" s="154" t="s">
        <v>635</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638</v>
      </c>
      <c r="B685" s="242" t="s">
        <v>1073</v>
      </c>
      <c r="C685" s="56">
        <v>45740</v>
      </c>
      <c r="D685" s="141">
        <v>58</v>
      </c>
      <c r="E685" s="43" t="s">
        <v>1265</v>
      </c>
      <c r="F685" s="43" t="s">
        <v>1266</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1258</v>
      </c>
      <c r="G687" t="str">
        <f t="shared" si="10"/>
        <v>March</v>
      </c>
    </row>
    <row r="688" spans="1:7">
      <c r="A688" s="141" t="s">
        <v>920</v>
      </c>
      <c r="B688" s="141" t="s">
        <v>639</v>
      </c>
      <c r="C688" s="56">
        <v>45741</v>
      </c>
      <c r="D688" s="141">
        <v>749</v>
      </c>
      <c r="E688" s="43"/>
      <c r="F688" s="109" t="s">
        <v>1267</v>
      </c>
      <c r="G688" t="str">
        <f t="shared" si="10"/>
        <v>March</v>
      </c>
    </row>
    <row r="689" spans="1:7">
      <c r="A689" s="141" t="s">
        <v>638</v>
      </c>
      <c r="B689" s="141" t="s">
        <v>639</v>
      </c>
      <c r="C689" s="56">
        <v>45741</v>
      </c>
      <c r="D689" s="141">
        <v>574</v>
      </c>
      <c r="E689" s="43"/>
      <c r="F689" s="109" t="s">
        <v>1268</v>
      </c>
      <c r="G689" t="str">
        <f t="shared" si="10"/>
        <v>March</v>
      </c>
    </row>
    <row r="690" spans="1:7" ht="15.75">
      <c r="A690" s="141" t="s">
        <v>803</v>
      </c>
      <c r="B690" s="242" t="s">
        <v>126</v>
      </c>
      <c r="C690" s="56">
        <v>45741</v>
      </c>
      <c r="D690" s="142">
        <v>1383</v>
      </c>
      <c r="E690" s="109" t="s">
        <v>1269</v>
      </c>
      <c r="F690" s="109" t="s">
        <v>1270</v>
      </c>
      <c r="G690" t="str">
        <f t="shared" si="10"/>
        <v>March</v>
      </c>
    </row>
    <row r="691" spans="1:7" ht="15.75">
      <c r="A691" s="141" t="s">
        <v>809</v>
      </c>
      <c r="B691" s="242" t="s">
        <v>126</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635</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645</v>
      </c>
      <c r="B697" s="154" t="s">
        <v>635</v>
      </c>
      <c r="C697" s="56">
        <v>45741</v>
      </c>
      <c r="D697" s="141"/>
      <c r="E697" s="43"/>
      <c r="F697" s="141" t="s">
        <v>1195</v>
      </c>
      <c r="G697" t="str">
        <f t="shared" si="10"/>
        <v>March</v>
      </c>
    </row>
    <row r="698" spans="1:7">
      <c r="A698" s="141" t="s">
        <v>634</v>
      </c>
      <c r="B698" s="154" t="s">
        <v>635</v>
      </c>
      <c r="C698" s="56">
        <v>45741</v>
      </c>
      <c r="D698" s="142">
        <v>1065</v>
      </c>
      <c r="E698" s="141" t="s">
        <v>1263</v>
      </c>
      <c r="F698" s="109" t="s">
        <v>1275</v>
      </c>
      <c r="G698" t="str">
        <f t="shared" si="10"/>
        <v>March</v>
      </c>
    </row>
    <row r="699" spans="1:7">
      <c r="A699" s="141" t="s">
        <v>638</v>
      </c>
      <c r="B699" s="141" t="s">
        <v>649</v>
      </c>
      <c r="C699" s="56">
        <v>45741</v>
      </c>
      <c r="D699" s="141"/>
      <c r="E699" s="43"/>
      <c r="F699" s="141" t="s">
        <v>1276</v>
      </c>
      <c r="G699" t="str">
        <f t="shared" si="10"/>
        <v>March</v>
      </c>
    </row>
    <row r="700" spans="1:7">
      <c r="A700" s="141" t="s">
        <v>895</v>
      </c>
      <c r="B700" s="154" t="s">
        <v>635</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639</v>
      </c>
      <c r="C711" s="56">
        <v>45742</v>
      </c>
      <c r="D711" s="210">
        <v>713</v>
      </c>
      <c r="E711" s="109"/>
      <c r="F711" s="109" t="s">
        <v>1280</v>
      </c>
      <c r="G711" t="str">
        <f t="shared" si="11"/>
        <v>March</v>
      </c>
    </row>
    <row r="712" spans="1:7">
      <c r="A712" s="141" t="s">
        <v>638</v>
      </c>
      <c r="B712" s="210" t="s">
        <v>639</v>
      </c>
      <c r="C712" s="56">
        <v>45742</v>
      </c>
      <c r="D712" s="210">
        <v>545</v>
      </c>
      <c r="E712" s="43"/>
      <c r="F712" s="109" t="s">
        <v>1281</v>
      </c>
      <c r="G712" t="str">
        <f t="shared" si="11"/>
        <v>March</v>
      </c>
    </row>
    <row r="713" spans="1:7" ht="15.75">
      <c r="A713" s="141" t="s">
        <v>803</v>
      </c>
      <c r="B713" s="242" t="s">
        <v>126</v>
      </c>
      <c r="C713" s="56">
        <v>45742</v>
      </c>
      <c r="D713" s="209">
        <v>1334</v>
      </c>
      <c r="E713" s="109" t="s">
        <v>1191</v>
      </c>
      <c r="F713" s="109" t="s">
        <v>1152</v>
      </c>
      <c r="G713" t="str">
        <f t="shared" si="11"/>
        <v>March</v>
      </c>
    </row>
    <row r="714" spans="1:7" ht="15.75">
      <c r="A714" s="141" t="s">
        <v>809</v>
      </c>
      <c r="B714" s="242" t="s">
        <v>126</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635</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634</v>
      </c>
      <c r="B720" s="154" t="s">
        <v>635</v>
      </c>
      <c r="C720" s="56">
        <v>45742</v>
      </c>
      <c r="D720" s="210">
        <v>825</v>
      </c>
      <c r="E720" s="43" t="s">
        <v>1283</v>
      </c>
      <c r="F720" s="109" t="s">
        <v>1158</v>
      </c>
      <c r="G720" t="str">
        <f t="shared" si="11"/>
        <v>March</v>
      </c>
    </row>
    <row r="721" spans="1:7">
      <c r="A721" s="141" t="s">
        <v>638</v>
      </c>
      <c r="B721" s="141" t="s">
        <v>649</v>
      </c>
      <c r="C721" s="56">
        <v>45742</v>
      </c>
      <c r="D721" s="210">
        <v>159</v>
      </c>
      <c r="E721" s="43" t="s">
        <v>1274</v>
      </c>
      <c r="F721" s="109" t="s">
        <v>1189</v>
      </c>
      <c r="G721" t="str">
        <f t="shared" si="11"/>
        <v>March</v>
      </c>
    </row>
    <row r="722" spans="1:7">
      <c r="A722" s="141" t="s">
        <v>895</v>
      </c>
      <c r="B722" s="154" t="s">
        <v>635</v>
      </c>
      <c r="C722" s="56">
        <v>45742</v>
      </c>
      <c r="D722" s="210"/>
      <c r="E722" s="43"/>
      <c r="F722" s="210" t="s">
        <v>1195</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1284</v>
      </c>
      <c r="G725" t="str">
        <f t="shared" si="11"/>
        <v>March</v>
      </c>
    </row>
    <row r="726" spans="1:7">
      <c r="A726" s="134" t="s">
        <v>384</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1287</v>
      </c>
      <c r="G730" t="str">
        <f t="shared" si="11"/>
        <v>March</v>
      </c>
    </row>
    <row r="731" spans="1:7">
      <c r="A731" s="141" t="s">
        <v>638</v>
      </c>
      <c r="B731" s="141" t="s">
        <v>639</v>
      </c>
      <c r="C731" s="56">
        <v>45743</v>
      </c>
      <c r="D731" s="210">
        <v>593</v>
      </c>
      <c r="E731" s="43"/>
      <c r="F731" s="109" t="s">
        <v>1288</v>
      </c>
      <c r="G731" t="str">
        <f t="shared" si="11"/>
        <v>March</v>
      </c>
    </row>
    <row r="732" spans="1:7" ht="15.75">
      <c r="A732" s="141" t="s">
        <v>803</v>
      </c>
      <c r="B732" s="242" t="s">
        <v>126</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634</v>
      </c>
      <c r="B738" s="154" t="s">
        <v>635</v>
      </c>
      <c r="C738" s="56">
        <v>45743</v>
      </c>
      <c r="D738" s="210">
        <v>705</v>
      </c>
      <c r="E738" s="109" t="s">
        <v>1263</v>
      </c>
      <c r="G738" t="str">
        <f t="shared" si="11"/>
        <v>March</v>
      </c>
      <c r="H738" s="164"/>
      <c r="I738" s="164"/>
      <c r="J738" s="164"/>
      <c r="K738" s="164"/>
      <c r="L738" s="164"/>
      <c r="M738" s="164"/>
    </row>
    <row r="739" spans="1:13">
      <c r="A739" s="141" t="s">
        <v>638</v>
      </c>
      <c r="B739" s="141" t="s">
        <v>649</v>
      </c>
      <c r="C739" s="56">
        <v>45743</v>
      </c>
      <c r="D739" s="210">
        <v>416</v>
      </c>
      <c r="E739" s="109" t="s">
        <v>1292</v>
      </c>
      <c r="F739" s="109" t="s">
        <v>1288</v>
      </c>
      <c r="G739" t="str">
        <f t="shared" si="11"/>
        <v>March</v>
      </c>
      <c r="H739" s="164"/>
      <c r="I739" s="254"/>
      <c r="J739" s="254"/>
      <c r="K739" s="164"/>
      <c r="L739" s="164"/>
      <c r="M739" s="164"/>
    </row>
    <row r="740" spans="1:13">
      <c r="A740" s="141" t="s">
        <v>895</v>
      </c>
      <c r="B740" s="154" t="s">
        <v>635</v>
      </c>
      <c r="C740" s="56">
        <v>45743</v>
      </c>
      <c r="D740" s="158"/>
      <c r="E740" s="43"/>
      <c r="F740" s="158" t="s">
        <v>1293</v>
      </c>
      <c r="G740" t="str">
        <f t="shared" si="11"/>
        <v>March</v>
      </c>
      <c r="H740" s="164"/>
      <c r="I740" s="254"/>
      <c r="J740" s="254"/>
      <c r="K740" s="164"/>
      <c r="L740" s="164"/>
      <c r="M740" s="164"/>
    </row>
    <row r="741" spans="1:13" ht="15.75">
      <c r="A741" s="141" t="s">
        <v>809</v>
      </c>
      <c r="B741" s="242" t="s">
        <v>126</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1173</v>
      </c>
      <c r="E747" s="43"/>
      <c r="G747" t="str">
        <f t="shared" si="11"/>
        <v>March</v>
      </c>
      <c r="H747" s="164"/>
      <c r="I747" s="164"/>
      <c r="J747" s="164"/>
      <c r="K747" s="164"/>
      <c r="L747" s="164"/>
      <c r="M747" s="164"/>
    </row>
    <row r="748" spans="1:13">
      <c r="A748" s="141" t="s">
        <v>638</v>
      </c>
      <c r="B748" s="141" t="s">
        <v>639</v>
      </c>
      <c r="C748" s="56">
        <v>45744</v>
      </c>
      <c r="D748" s="210" t="s">
        <v>1173</v>
      </c>
      <c r="E748" s="43"/>
      <c r="G748" t="str">
        <f t="shared" si="11"/>
        <v>March</v>
      </c>
      <c r="H748" s="164"/>
      <c r="I748" s="164"/>
      <c r="J748" s="164"/>
      <c r="K748" s="164"/>
      <c r="L748" s="164"/>
      <c r="M748" s="164"/>
    </row>
    <row r="749" spans="1:13" ht="15.75">
      <c r="A749" s="141" t="s">
        <v>809</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126</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638</v>
      </c>
      <c r="B755" s="141" t="s">
        <v>649</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1294</v>
      </c>
      <c r="G758" t="str">
        <f t="shared" si="11"/>
        <v>March</v>
      </c>
    </row>
    <row r="759" spans="1:13">
      <c r="A759" s="134" t="s">
        <v>384</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645</v>
      </c>
      <c r="B763" s="154" t="s">
        <v>635</v>
      </c>
      <c r="C763" s="56">
        <v>45747</v>
      </c>
      <c r="D763" s="210">
        <v>0</v>
      </c>
      <c r="E763" s="43"/>
      <c r="F763" s="210" t="s">
        <v>1195</v>
      </c>
      <c r="G763" t="str">
        <f t="shared" si="11"/>
        <v>March</v>
      </c>
    </row>
    <row r="764" spans="1:13">
      <c r="A764" s="141" t="s">
        <v>794</v>
      </c>
      <c r="B764" s="141" t="s">
        <v>639</v>
      </c>
      <c r="C764" s="56">
        <v>45747</v>
      </c>
      <c r="D764" s="209">
        <v>1880</v>
      </c>
      <c r="E764" s="109" t="s">
        <v>1257</v>
      </c>
      <c r="F764" s="109" t="s">
        <v>1146</v>
      </c>
      <c r="G764" t="str">
        <f t="shared" si="11"/>
        <v>March</v>
      </c>
    </row>
    <row r="765" spans="1:13">
      <c r="A765" s="141" t="s">
        <v>638</v>
      </c>
      <c r="B765" s="141" t="s">
        <v>639</v>
      </c>
      <c r="C765" s="56">
        <v>45747</v>
      </c>
      <c r="D765" s="210">
        <v>265</v>
      </c>
      <c r="E765" s="43"/>
      <c r="F765" s="43" t="s">
        <v>1304</v>
      </c>
      <c r="G765" t="str">
        <f t="shared" si="11"/>
        <v>March</v>
      </c>
    </row>
    <row r="766" spans="1:13" ht="15.75">
      <c r="A766" s="141" t="s">
        <v>809</v>
      </c>
      <c r="B766" s="242" t="s">
        <v>126</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638</v>
      </c>
      <c r="B770" s="141" t="s">
        <v>649</v>
      </c>
      <c r="C770" s="56">
        <v>45747</v>
      </c>
      <c r="D770" s="210">
        <v>0</v>
      </c>
      <c r="E770" s="43"/>
      <c r="F770" s="210" t="s">
        <v>1307</v>
      </c>
      <c r="G770" t="str">
        <f t="shared" si="11"/>
        <v>March</v>
      </c>
      <c r="H770" s="254"/>
      <c r="I770" s="254"/>
      <c r="J770" s="254"/>
      <c r="K770" s="164"/>
    </row>
    <row r="771" spans="1:11">
      <c r="A771" s="141" t="s">
        <v>882</v>
      </c>
      <c r="B771" s="154" t="s">
        <v>635</v>
      </c>
      <c r="C771" s="56">
        <v>45747</v>
      </c>
      <c r="D771" s="210">
        <v>0</v>
      </c>
      <c r="E771" s="43"/>
      <c r="F771" s="210" t="s">
        <v>1308</v>
      </c>
      <c r="G771" t="str">
        <f t="shared" ref="G771:G834" si="12">TEXT(C771,"mmmm")</f>
        <v>March</v>
      </c>
      <c r="H771" s="254"/>
      <c r="I771" s="254"/>
      <c r="J771" s="254"/>
      <c r="K771" s="164"/>
    </row>
    <row r="772" spans="1:11">
      <c r="A772" s="141" t="s">
        <v>811</v>
      </c>
      <c r="B772" s="141" t="s">
        <v>639</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635</v>
      </c>
      <c r="C781" s="56">
        <v>45748</v>
      </c>
      <c r="D781" s="141"/>
      <c r="E781" s="43"/>
      <c r="F781" s="141" t="s">
        <v>1195</v>
      </c>
      <c r="G781" t="str">
        <f t="shared" si="12"/>
        <v>April</v>
      </c>
      <c r="H781" s="164"/>
      <c r="I781" s="164"/>
      <c r="J781" s="164"/>
      <c r="K781" s="164"/>
    </row>
    <row r="782" spans="1:11">
      <c r="A782" s="141" t="s">
        <v>794</v>
      </c>
      <c r="B782" s="141" t="s">
        <v>639</v>
      </c>
      <c r="C782" s="56">
        <v>45748</v>
      </c>
      <c r="D782" s="141" t="s">
        <v>1173</v>
      </c>
      <c r="E782" s="43"/>
      <c r="G782" t="str">
        <f t="shared" si="12"/>
        <v>April</v>
      </c>
      <c r="H782" s="164"/>
      <c r="I782" s="164"/>
      <c r="J782" s="164"/>
      <c r="K782" s="164"/>
    </row>
    <row r="783" spans="1:11">
      <c r="A783" s="141" t="s">
        <v>638</v>
      </c>
      <c r="B783" s="141" t="s">
        <v>639</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635</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1311</v>
      </c>
      <c r="E789" s="43"/>
      <c r="G789" t="str">
        <f t="shared" si="12"/>
        <v>April</v>
      </c>
      <c r="H789" s="164"/>
      <c r="I789" s="164"/>
      <c r="J789" s="164"/>
      <c r="K789" s="164"/>
    </row>
    <row r="790" spans="1:11" ht="15.75">
      <c r="A790" s="141" t="s">
        <v>674</v>
      </c>
      <c r="B790" s="242" t="s">
        <v>126</v>
      </c>
      <c r="C790" s="56">
        <v>45748</v>
      </c>
      <c r="D790" s="141"/>
      <c r="E790" s="43"/>
      <c r="F790" s="141" t="s">
        <v>1312</v>
      </c>
      <c r="G790" t="str">
        <f t="shared" si="12"/>
        <v>April</v>
      </c>
      <c r="H790" s="164"/>
      <c r="I790" s="164"/>
      <c r="J790" s="164"/>
      <c r="K790" s="164"/>
    </row>
    <row r="791" spans="1:11">
      <c r="A791" s="134" t="s">
        <v>384</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530</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635</v>
      </c>
      <c r="C795" s="56">
        <v>45749</v>
      </c>
      <c r="D795" s="141">
        <v>0</v>
      </c>
      <c r="E795" s="43"/>
      <c r="F795" s="141" t="s">
        <v>1195</v>
      </c>
      <c r="G795" t="str">
        <f t="shared" si="12"/>
        <v>April</v>
      </c>
      <c r="H795" s="164"/>
      <c r="I795" s="164"/>
      <c r="J795" s="164"/>
      <c r="K795" s="164"/>
    </row>
    <row r="796" spans="1:11">
      <c r="A796" s="141" t="s">
        <v>794</v>
      </c>
      <c r="B796" s="141" t="s">
        <v>639</v>
      </c>
      <c r="C796" s="56">
        <v>45749</v>
      </c>
      <c r="D796" s="141" t="s">
        <v>1173</v>
      </c>
      <c r="E796" s="43"/>
      <c r="G796" t="str">
        <f t="shared" si="12"/>
        <v>April</v>
      </c>
      <c r="H796" s="254"/>
      <c r="I796" s="254"/>
      <c r="J796" s="164"/>
      <c r="K796" s="164"/>
    </row>
    <row r="797" spans="1:11">
      <c r="A797" s="141" t="s">
        <v>638</v>
      </c>
      <c r="B797" s="141" t="s">
        <v>639</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635</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1151</v>
      </c>
      <c r="G803" t="str">
        <f t="shared" si="12"/>
        <v>April</v>
      </c>
    </row>
    <row r="804" spans="1:11" ht="15.75">
      <c r="A804" s="141" t="s">
        <v>674</v>
      </c>
      <c r="B804" s="242" t="s">
        <v>126</v>
      </c>
      <c r="C804" s="56">
        <v>45749</v>
      </c>
      <c r="D804" s="141">
        <v>0</v>
      </c>
      <c r="E804" s="43"/>
      <c r="F804" s="141" t="s">
        <v>1312</v>
      </c>
      <c r="G804" t="str">
        <f t="shared" si="12"/>
        <v>April</v>
      </c>
    </row>
    <row r="805" spans="1:11">
      <c r="A805" s="134" t="s">
        <v>384</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530</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138</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126</v>
      </c>
      <c r="C816" s="56">
        <v>45750</v>
      </c>
      <c r="D816" s="155">
        <v>1334</v>
      </c>
      <c r="E816" s="43"/>
      <c r="F816" s="43" t="s">
        <v>1320</v>
      </c>
      <c r="G816" t="str">
        <f t="shared" si="12"/>
        <v>April</v>
      </c>
    </row>
    <row r="817" spans="1:7" ht="15.75">
      <c r="A817" s="141" t="s">
        <v>720</v>
      </c>
      <c r="B817" s="242" t="s">
        <v>126</v>
      </c>
      <c r="C817" s="56">
        <v>45750</v>
      </c>
      <c r="D817" s="155">
        <v>1970</v>
      </c>
      <c r="E817" s="43"/>
      <c r="F817" s="43" t="s">
        <v>1321</v>
      </c>
      <c r="G817" t="str">
        <f t="shared" si="12"/>
        <v>April</v>
      </c>
    </row>
    <row r="818" spans="1:7" ht="15.75">
      <c r="A818" s="141" t="s">
        <v>674</v>
      </c>
      <c r="B818" s="242" t="s">
        <v>126</v>
      </c>
      <c r="C818" s="56">
        <v>45750</v>
      </c>
      <c r="E818" s="43"/>
      <c r="F818" s="141" t="s">
        <v>1322</v>
      </c>
      <c r="G818" t="str">
        <f t="shared" si="12"/>
        <v>April</v>
      </c>
    </row>
    <row r="819" spans="1:7">
      <c r="A819" s="134" t="s">
        <v>538</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530</v>
      </c>
      <c r="B821" s="141" t="s">
        <v>1074</v>
      </c>
      <c r="C821" s="56">
        <v>45750</v>
      </c>
      <c r="E821" s="43"/>
      <c r="F821" s="141" t="s">
        <v>1322</v>
      </c>
      <c r="G821" t="str">
        <f t="shared" si="12"/>
        <v>April</v>
      </c>
    </row>
    <row r="822" spans="1:7">
      <c r="A822" s="141" t="s">
        <v>638</v>
      </c>
      <c r="B822" s="243" t="s">
        <v>138</v>
      </c>
      <c r="C822" s="56">
        <v>45751</v>
      </c>
      <c r="D822" s="43">
        <v>635</v>
      </c>
      <c r="E822" s="43"/>
      <c r="F822" s="43" t="s">
        <v>1323</v>
      </c>
      <c r="G822" t="str">
        <f t="shared" si="12"/>
        <v>April</v>
      </c>
    </row>
    <row r="823" spans="1:7">
      <c r="A823" s="141" t="s">
        <v>806</v>
      </c>
      <c r="B823" s="154" t="s">
        <v>635</v>
      </c>
      <c r="C823" s="56">
        <v>45751</v>
      </c>
      <c r="E823" s="43"/>
      <c r="F823" s="141" t="s">
        <v>1283</v>
      </c>
      <c r="G823" t="str">
        <f t="shared" si="12"/>
        <v>April</v>
      </c>
    </row>
    <row r="824" spans="1:7">
      <c r="A824" s="141" t="s">
        <v>800</v>
      </c>
      <c r="B824" s="141" t="s">
        <v>639</v>
      </c>
      <c r="C824" s="56">
        <v>45751</v>
      </c>
      <c r="D824" s="43">
        <v>594</v>
      </c>
      <c r="E824" s="43"/>
      <c r="F824" s="43" t="s">
        <v>1324</v>
      </c>
      <c r="G824" t="str">
        <f t="shared" si="12"/>
        <v>April</v>
      </c>
    </row>
    <row r="825" spans="1:7">
      <c r="A825" s="141" t="s">
        <v>638</v>
      </c>
      <c r="B825" s="141" t="s">
        <v>639</v>
      </c>
      <c r="C825" s="56">
        <v>45751</v>
      </c>
      <c r="E825" s="43"/>
      <c r="F825" s="141" t="s">
        <v>1325</v>
      </c>
      <c r="G825" t="str">
        <f t="shared" si="12"/>
        <v>April</v>
      </c>
    </row>
    <row r="826" spans="1:7">
      <c r="A826" s="141" t="s">
        <v>821</v>
      </c>
      <c r="B826" s="141" t="s">
        <v>639</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126</v>
      </c>
      <c r="C831" s="56">
        <v>45751</v>
      </c>
      <c r="E831" s="43"/>
      <c r="F831" s="141" t="s">
        <v>1322</v>
      </c>
      <c r="G831" t="str">
        <f t="shared" si="12"/>
        <v>April</v>
      </c>
    </row>
    <row r="832" spans="1:7">
      <c r="A832" s="134" t="s">
        <v>538</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530</v>
      </c>
      <c r="B834" s="141" t="s">
        <v>1074</v>
      </c>
      <c r="C834" s="56">
        <v>45751</v>
      </c>
      <c r="E834" s="43"/>
      <c r="F834" s="141" t="s">
        <v>1322</v>
      </c>
      <c r="G834" t="str">
        <f t="shared" si="12"/>
        <v>April</v>
      </c>
    </row>
    <row r="835" spans="1:7" ht="15.75">
      <c r="A835" s="247" t="s">
        <v>720</v>
      </c>
      <c r="B835" s="242" t="s">
        <v>126</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639</v>
      </c>
      <c r="C837" s="56">
        <v>45754</v>
      </c>
      <c r="D837" s="43">
        <v>367</v>
      </c>
      <c r="E837" s="43"/>
      <c r="F837" s="43" t="s">
        <v>1329</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1332</v>
      </c>
      <c r="G845" t="str">
        <f t="shared" si="13"/>
        <v>April</v>
      </c>
    </row>
    <row r="846" spans="1:7" ht="15.75">
      <c r="A846" s="141" t="s">
        <v>722</v>
      </c>
      <c r="B846" s="242" t="s">
        <v>126</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1156</v>
      </c>
      <c r="G851" t="str">
        <f t="shared" si="13"/>
        <v>April</v>
      </c>
    </row>
    <row r="852" spans="1:7" ht="15.75">
      <c r="A852" s="141" t="s">
        <v>722</v>
      </c>
      <c r="B852" s="242" t="s">
        <v>126</v>
      </c>
      <c r="C852" s="56">
        <v>45755</v>
      </c>
      <c r="D852" s="155">
        <v>1520</v>
      </c>
      <c r="E852" s="43"/>
      <c r="F852" s="43" t="s">
        <v>1237</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1322</v>
      </c>
      <c r="G854" t="str">
        <f t="shared" si="13"/>
        <v>April</v>
      </c>
    </row>
    <row r="855" spans="1:7">
      <c r="A855" s="134" t="s">
        <v>538</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530</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639</v>
      </c>
      <c r="C859" s="56">
        <v>45756</v>
      </c>
      <c r="E859" s="43"/>
      <c r="F859" s="78" t="s">
        <v>1335</v>
      </c>
      <c r="G859" t="str">
        <f t="shared" si="13"/>
        <v>April</v>
      </c>
    </row>
    <row r="860" spans="1:7">
      <c r="A860" s="141" t="s">
        <v>852</v>
      </c>
      <c r="B860" s="154" t="s">
        <v>635</v>
      </c>
      <c r="C860" s="56">
        <v>45756</v>
      </c>
      <c r="D860" s="155">
        <v>1376</v>
      </c>
      <c r="E860" s="43"/>
      <c r="F860" s="43" t="s">
        <v>1336</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126</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1322</v>
      </c>
      <c r="G865" t="str">
        <f t="shared" si="13"/>
        <v>April</v>
      </c>
    </row>
    <row r="866" spans="1:7">
      <c r="A866" s="134" t="s">
        <v>538</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530</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635</v>
      </c>
      <c r="C871" s="56">
        <v>45757</v>
      </c>
      <c r="D871" s="43">
        <v>875</v>
      </c>
      <c r="E871" s="43"/>
      <c r="F871" s="43" t="s">
        <v>1337</v>
      </c>
      <c r="G871" t="str">
        <f t="shared" si="13"/>
        <v>April</v>
      </c>
    </row>
    <row r="872" spans="1:7">
      <c r="A872" s="141" t="s">
        <v>878</v>
      </c>
      <c r="B872" s="141" t="s">
        <v>649</v>
      </c>
      <c r="C872" s="56">
        <v>45757</v>
      </c>
      <c r="D872" s="43">
        <v>711</v>
      </c>
      <c r="E872" s="43"/>
      <c r="F872" s="43" t="s">
        <v>1338</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1340</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1341</v>
      </c>
      <c r="G878" t="str">
        <f t="shared" si="13"/>
        <v>April</v>
      </c>
    </row>
    <row r="879" spans="1:7">
      <c r="A879" s="141" t="s">
        <v>878</v>
      </c>
      <c r="B879" s="243" t="s">
        <v>138</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531</v>
      </c>
      <c r="C882" s="56">
        <v>45758</v>
      </c>
      <c r="E882" s="43"/>
      <c r="F882" s="141" t="s">
        <v>1343</v>
      </c>
      <c r="G882" t="str">
        <f t="shared" si="13"/>
        <v>April</v>
      </c>
    </row>
    <row r="883" spans="1:7">
      <c r="A883" s="141" t="s">
        <v>920</v>
      </c>
      <c r="B883" s="141" t="s">
        <v>531</v>
      </c>
      <c r="C883" s="56">
        <v>45758</v>
      </c>
      <c r="E883" s="43"/>
      <c r="F883" s="141" t="s">
        <v>1344</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126</v>
      </c>
      <c r="C887" s="56">
        <v>45758</v>
      </c>
      <c r="E887" s="43">
        <v>899</v>
      </c>
      <c r="F887" s="43" t="s">
        <v>1347</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1348</v>
      </c>
      <c r="G889" t="str">
        <f t="shared" si="13"/>
        <v>April</v>
      </c>
    </row>
    <row r="890" spans="1:7" ht="15.75">
      <c r="A890" s="141" t="s">
        <v>856</v>
      </c>
      <c r="B890" s="242" t="s">
        <v>126</v>
      </c>
      <c r="C890" s="56">
        <v>45761</v>
      </c>
      <c r="D890" s="155">
        <v>1335</v>
      </c>
      <c r="E890" s="43"/>
      <c r="F890" s="43" t="s">
        <v>1151</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1349</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1171</v>
      </c>
      <c r="G898" t="str">
        <f t="shared" si="13"/>
        <v>April</v>
      </c>
    </row>
    <row r="899" spans="1:7">
      <c r="A899" s="141" t="s">
        <v>852</v>
      </c>
      <c r="B899" s="154" t="s">
        <v>635</v>
      </c>
      <c r="C899" s="56">
        <v>45762</v>
      </c>
      <c r="D899" s="155">
        <v>1018</v>
      </c>
      <c r="E899" s="43"/>
      <c r="F899" s="43" t="s">
        <v>1351</v>
      </c>
      <c r="G899" t="str">
        <f t="shared" ref="G899:G949" si="14">TEXT(C899,"mmmm")</f>
        <v>April</v>
      </c>
    </row>
    <row r="900" spans="1:7" ht="15.75">
      <c r="A900" s="141" t="s">
        <v>856</v>
      </c>
      <c r="B900" s="242" t="s">
        <v>126</v>
      </c>
      <c r="C900" s="56">
        <v>45762</v>
      </c>
      <c r="D900" s="155">
        <v>1133</v>
      </c>
      <c r="E900" s="43"/>
      <c r="F900" s="43" t="s">
        <v>1352</v>
      </c>
      <c r="G900" t="str">
        <f t="shared" si="14"/>
        <v>April</v>
      </c>
    </row>
    <row r="901" spans="1:7" ht="15.75">
      <c r="A901" s="141" t="s">
        <v>876</v>
      </c>
      <c r="B901" s="242" t="s">
        <v>126</v>
      </c>
      <c r="C901" s="56">
        <v>45762</v>
      </c>
      <c r="D901" s="155">
        <v>1526</v>
      </c>
      <c r="E901" s="43"/>
      <c r="F901" s="43" t="s">
        <v>1353</v>
      </c>
      <c r="G901" t="str">
        <f t="shared" si="14"/>
        <v>April</v>
      </c>
    </row>
    <row r="902" spans="1:7">
      <c r="A902" s="141" t="s">
        <v>878</v>
      </c>
      <c r="B902" s="243" t="s">
        <v>138</v>
      </c>
      <c r="C902" s="56">
        <v>45762</v>
      </c>
      <c r="D902" s="155">
        <v>1929</v>
      </c>
      <c r="E902" s="43"/>
      <c r="F902" s="43" t="s">
        <v>1354</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1355</v>
      </c>
      <c r="G905" t="str">
        <f t="shared" si="14"/>
        <v>April</v>
      </c>
    </row>
    <row r="906" spans="1:7">
      <c r="A906" s="141" t="s">
        <v>920</v>
      </c>
      <c r="B906" s="141" t="s">
        <v>531</v>
      </c>
      <c r="C906" s="56">
        <v>45762</v>
      </c>
      <c r="E906" s="43"/>
      <c r="F906" s="141" t="s">
        <v>1355</v>
      </c>
      <c r="G906" t="str">
        <f t="shared" si="14"/>
        <v>April</v>
      </c>
    </row>
    <row r="907" spans="1:7">
      <c r="A907" s="141" t="s">
        <v>893</v>
      </c>
      <c r="B907" s="141" t="s">
        <v>531</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635</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649</v>
      </c>
      <c r="C913" s="56">
        <v>45763</v>
      </c>
      <c r="D913" s="43">
        <v>868</v>
      </c>
      <c r="E913" s="43"/>
      <c r="F913" s="43" t="s">
        <v>1359</v>
      </c>
      <c r="G913" t="str">
        <f t="shared" si="14"/>
        <v>April</v>
      </c>
    </row>
    <row r="914" spans="1:7" ht="15.75">
      <c r="A914" s="141" t="s">
        <v>856</v>
      </c>
      <c r="B914" s="242" t="s">
        <v>126</v>
      </c>
      <c r="C914" s="56">
        <v>45763</v>
      </c>
      <c r="D914" s="155">
        <v>1624</v>
      </c>
      <c r="E914" s="43"/>
      <c r="F914" s="43" t="s">
        <v>1360</v>
      </c>
      <c r="G914" t="str">
        <f t="shared" si="14"/>
        <v>April</v>
      </c>
    </row>
    <row r="915" spans="1:7" ht="15.75">
      <c r="A915" s="141" t="s">
        <v>876</v>
      </c>
      <c r="B915" s="242" t="s">
        <v>126</v>
      </c>
      <c r="C915" s="56">
        <v>45763</v>
      </c>
      <c r="D915" s="155">
        <v>1503</v>
      </c>
      <c r="E915" s="43"/>
      <c r="F915" s="43" t="s">
        <v>1361</v>
      </c>
      <c r="G915" t="str">
        <f t="shared" si="14"/>
        <v>April</v>
      </c>
    </row>
    <row r="916" spans="1:7">
      <c r="A916" s="141" t="s">
        <v>878</v>
      </c>
      <c r="B916" s="243" t="s">
        <v>138</v>
      </c>
      <c r="C916" s="56">
        <v>45763</v>
      </c>
      <c r="D916" s="43">
        <v>876</v>
      </c>
      <c r="E916" s="43"/>
      <c r="F916" s="78" t="s">
        <v>1362</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1217</v>
      </c>
      <c r="G920" t="str">
        <f t="shared" si="14"/>
        <v>April</v>
      </c>
    </row>
    <row r="921" spans="1:7">
      <c r="A921" s="141" t="s">
        <v>893</v>
      </c>
      <c r="B921" s="141" t="s">
        <v>531</v>
      </c>
      <c r="C921" s="56">
        <v>45763</v>
      </c>
      <c r="E921" s="43"/>
      <c r="F921" s="141" t="s">
        <v>1217</v>
      </c>
      <c r="G921" t="str">
        <f t="shared" si="14"/>
        <v>April</v>
      </c>
    </row>
    <row r="922" spans="1:7">
      <c r="A922" s="141" t="s">
        <v>887</v>
      </c>
      <c r="B922" s="243" t="s">
        <v>138</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649</v>
      </c>
      <c r="C926" s="56">
        <v>45764</v>
      </c>
      <c r="D926" s="43">
        <v>338</v>
      </c>
      <c r="E926" s="43"/>
      <c r="F926" s="43" t="s">
        <v>1365</v>
      </c>
      <c r="G926" t="str">
        <f t="shared" si="14"/>
        <v>April</v>
      </c>
    </row>
    <row r="927" spans="1:7">
      <c r="A927" s="304" t="s">
        <v>852</v>
      </c>
      <c r="B927" s="154" t="s">
        <v>635</v>
      </c>
      <c r="C927" s="56">
        <v>45764</v>
      </c>
      <c r="D927" s="43">
        <v>569</v>
      </c>
      <c r="E927" s="43"/>
      <c r="F927" s="78" t="s">
        <v>1366</v>
      </c>
      <c r="G927" t="str">
        <f t="shared" si="14"/>
        <v>April</v>
      </c>
    </row>
    <row r="928" spans="1:7">
      <c r="A928" s="305" t="s">
        <v>856</v>
      </c>
      <c r="B928" s="305" t="s">
        <v>126</v>
      </c>
      <c r="C928" s="56">
        <v>45764</v>
      </c>
      <c r="E928" s="43"/>
      <c r="F928" s="141" t="s">
        <v>1367</v>
      </c>
      <c r="G928" t="str">
        <f t="shared" si="14"/>
        <v>April</v>
      </c>
    </row>
    <row r="929" spans="1:7">
      <c r="A929" s="141" t="s">
        <v>876</v>
      </c>
      <c r="B929" s="141" t="s">
        <v>126</v>
      </c>
      <c r="C929" s="56">
        <v>45764</v>
      </c>
      <c r="D929" s="155">
        <v>1590</v>
      </c>
      <c r="E929" s="43"/>
      <c r="F929" s="43" t="s">
        <v>1162</v>
      </c>
      <c r="G929" t="str">
        <f t="shared" si="14"/>
        <v>April</v>
      </c>
    </row>
    <row r="930" spans="1:7">
      <c r="A930" s="305" t="s">
        <v>878</v>
      </c>
      <c r="B930" s="305" t="s">
        <v>138</v>
      </c>
      <c r="C930" s="56">
        <v>45764</v>
      </c>
      <c r="D930" s="43">
        <v>651</v>
      </c>
      <c r="E930" s="43"/>
      <c r="F930" s="43" t="s">
        <v>1368</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138</v>
      </c>
      <c r="C934" s="310">
        <v>45764</v>
      </c>
      <c r="D934" s="43">
        <v>433</v>
      </c>
      <c r="E934" s="43"/>
      <c r="F934" s="78" t="s">
        <v>1171</v>
      </c>
      <c r="G934" t="str">
        <f t="shared" si="14"/>
        <v>April</v>
      </c>
    </row>
    <row r="935" spans="1:7">
      <c r="A935" s="308" t="s">
        <v>704</v>
      </c>
      <c r="B935" s="141" t="s">
        <v>126</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649</v>
      </c>
      <c r="C938" s="56">
        <v>45765</v>
      </c>
      <c r="D938" s="43">
        <v>26</v>
      </c>
      <c r="E938" s="43"/>
      <c r="F938" s="43" t="s">
        <v>1371</v>
      </c>
      <c r="G938" t="str">
        <f t="shared" si="14"/>
        <v>April</v>
      </c>
    </row>
    <row r="939" spans="1:7">
      <c r="A939" s="304" t="s">
        <v>852</v>
      </c>
      <c r="B939" s="154" t="s">
        <v>635</v>
      </c>
      <c r="C939" s="56">
        <v>45765</v>
      </c>
      <c r="E939" s="43"/>
      <c r="F939" s="141" t="s">
        <v>1372</v>
      </c>
      <c r="G939" t="str">
        <f t="shared" si="14"/>
        <v>April</v>
      </c>
    </row>
    <row r="940" spans="1:7">
      <c r="A940" s="305" t="s">
        <v>856</v>
      </c>
      <c r="B940" s="305" t="s">
        <v>126</v>
      </c>
      <c r="C940" s="56">
        <v>45765</v>
      </c>
      <c r="D940" s="43">
        <v>350</v>
      </c>
      <c r="E940" s="43"/>
      <c r="F940" s="43" t="s">
        <v>1153</v>
      </c>
      <c r="G940" t="str">
        <f t="shared" si="14"/>
        <v>April</v>
      </c>
    </row>
    <row r="941" spans="1:7">
      <c r="A941" s="141" t="s">
        <v>876</v>
      </c>
      <c r="B941" s="141" t="s">
        <v>126</v>
      </c>
      <c r="C941" s="56">
        <v>45765</v>
      </c>
      <c r="D941" s="43">
        <v>370</v>
      </c>
      <c r="E941" s="43"/>
      <c r="F941" s="43" t="s">
        <v>1373</v>
      </c>
      <c r="G941" t="str">
        <f t="shared" si="14"/>
        <v>April</v>
      </c>
    </row>
    <row r="942" spans="1:7">
      <c r="A942" s="305" t="s">
        <v>854</v>
      </c>
      <c r="B942" s="154" t="s">
        <v>635</v>
      </c>
      <c r="C942" s="56">
        <v>45765</v>
      </c>
      <c r="D942" s="43">
        <v>706</v>
      </c>
      <c r="E942" s="43"/>
      <c r="F942" s="43" t="s">
        <v>1189</v>
      </c>
      <c r="G942" t="str">
        <f t="shared" si="14"/>
        <v>April</v>
      </c>
    </row>
    <row r="943" spans="1:7">
      <c r="A943" s="141" t="s">
        <v>1018</v>
      </c>
      <c r="B943" s="306" t="s">
        <v>649</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531</v>
      </c>
      <c r="C946" s="56">
        <v>45765</v>
      </c>
      <c r="E946" s="43"/>
      <c r="F946" s="306" t="s">
        <v>1377</v>
      </c>
      <c r="G946" t="str">
        <f t="shared" si="14"/>
        <v>April</v>
      </c>
    </row>
    <row r="947" spans="1:7">
      <c r="A947" s="311" t="s">
        <v>893</v>
      </c>
      <c r="B947" s="311" t="s">
        <v>531</v>
      </c>
      <c r="C947" s="56">
        <v>45765</v>
      </c>
      <c r="E947" s="43"/>
      <c r="F947" s="311" t="s">
        <v>1378</v>
      </c>
      <c r="G947" t="str">
        <f t="shared" si="14"/>
        <v>April</v>
      </c>
    </row>
    <row r="948" spans="1:7">
      <c r="A948" s="306" t="s">
        <v>790</v>
      </c>
      <c r="B948" s="306" t="s">
        <v>126</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649</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126</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1385</v>
      </c>
      <c r="G955" t="str">
        <f t="shared" si="15"/>
        <v>April</v>
      </c>
    </row>
    <row r="956" spans="1:7">
      <c r="A956" s="304" t="s">
        <v>876</v>
      </c>
      <c r="B956" s="305" t="s">
        <v>126</v>
      </c>
      <c r="C956" s="56">
        <v>45768</v>
      </c>
      <c r="F956" s="154" t="s">
        <v>1386</v>
      </c>
      <c r="G956" t="str">
        <f t="shared" si="15"/>
        <v>April</v>
      </c>
    </row>
    <row r="957" spans="1:7">
      <c r="A957" s="304" t="s">
        <v>878</v>
      </c>
      <c r="B957" s="141" t="s">
        <v>138</v>
      </c>
      <c r="C957" s="56">
        <v>45768</v>
      </c>
      <c r="F957" s="141" t="s">
        <v>1387</v>
      </c>
      <c r="G957" t="str">
        <f t="shared" si="15"/>
        <v>April</v>
      </c>
    </row>
    <row r="958" spans="1:7">
      <c r="A958" s="304" t="s">
        <v>1018</v>
      </c>
      <c r="B958" s="304" t="s">
        <v>649</v>
      </c>
      <c r="C958" s="56">
        <v>45768</v>
      </c>
      <c r="E958" s="43"/>
      <c r="F958" s="169" t="s">
        <v>1350</v>
      </c>
      <c r="G958" t="str">
        <f t="shared" si="15"/>
        <v>April</v>
      </c>
    </row>
    <row r="959" spans="1:7">
      <c r="A959" s="311" t="s">
        <v>882</v>
      </c>
      <c r="B959" s="141" t="s">
        <v>531</v>
      </c>
      <c r="C959" s="56">
        <v>45768</v>
      </c>
      <c r="E959" s="43"/>
      <c r="F959" s="311" t="s">
        <v>1377</v>
      </c>
      <c r="G959" t="str">
        <f t="shared" si="15"/>
        <v>April</v>
      </c>
    </row>
    <row r="960" spans="1:7">
      <c r="A960" s="315" t="s">
        <v>920</v>
      </c>
      <c r="B960" s="141" t="s">
        <v>531</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649</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138</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649</v>
      </c>
      <c r="C968" s="319">
        <v>45769</v>
      </c>
      <c r="F968" s="169" t="s">
        <v>1350</v>
      </c>
      <c r="G968" t="str">
        <f t="shared" si="15"/>
        <v>April</v>
      </c>
    </row>
    <row r="969" spans="1:7">
      <c r="A969" s="304" t="s">
        <v>898</v>
      </c>
      <c r="B969" s="304" t="s">
        <v>138</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639</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126</v>
      </c>
      <c r="C973" s="319">
        <v>45769</v>
      </c>
      <c r="D973" s="43">
        <v>932</v>
      </c>
      <c r="F973" s="43" t="s">
        <v>1154</v>
      </c>
      <c r="G973" t="str">
        <f t="shared" si="15"/>
        <v>April</v>
      </c>
    </row>
    <row r="974" spans="1:7">
      <c r="A974" s="154" t="s">
        <v>790</v>
      </c>
      <c r="B974" s="141" t="s">
        <v>126</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649</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639</v>
      </c>
      <c r="C984" s="56">
        <v>45770</v>
      </c>
      <c r="F984" s="320" t="s">
        <v>1403</v>
      </c>
    </row>
    <row r="985" spans="1:7">
      <c r="A985" s="315" t="s">
        <v>920</v>
      </c>
      <c r="B985" s="315" t="s">
        <v>639</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126</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138</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649</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639</v>
      </c>
      <c r="C997" s="56">
        <v>45771</v>
      </c>
      <c r="F997" s="311" t="s">
        <v>1412</v>
      </c>
      <c r="G997" t="str">
        <f t="shared" si="16"/>
        <v>April</v>
      </c>
    </row>
    <row r="998" spans="1:7">
      <c r="A998" s="315" t="s">
        <v>1028</v>
      </c>
      <c r="B998" s="315" t="s">
        <v>639</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126</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138</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649</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126</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126</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138</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1151</v>
      </c>
      <c r="G1029" t="str">
        <f t="shared" si="16"/>
        <v>April</v>
      </c>
    </row>
    <row r="1030" spans="1:7">
      <c r="A1030" s="311" t="s">
        <v>704</v>
      </c>
      <c r="B1030" s="311" t="s">
        <v>126</v>
      </c>
      <c r="C1030" s="56">
        <v>45776</v>
      </c>
      <c r="D1030" s="43">
        <v>470</v>
      </c>
      <c r="F1030" s="43" t="s">
        <v>1146</v>
      </c>
      <c r="G1030" t="str">
        <f t="shared" si="16"/>
        <v>April</v>
      </c>
    </row>
    <row r="1031" spans="1:7">
      <c r="A1031" s="247" t="s">
        <v>748</v>
      </c>
      <c r="B1031" s="311" t="s">
        <v>126</v>
      </c>
      <c r="C1031" s="56">
        <v>45776</v>
      </c>
      <c r="D1031" s="155">
        <v>1190</v>
      </c>
      <c r="F1031" s="43" t="s">
        <v>1151</v>
      </c>
      <c r="G1031" t="str">
        <f t="shared" si="16"/>
        <v>April</v>
      </c>
    </row>
    <row r="1032" spans="1:7">
      <c r="A1032" s="141" t="s">
        <v>1018</v>
      </c>
      <c r="B1032" s="141" t="s">
        <v>649</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138</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635</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1167</v>
      </c>
      <c r="G1040" t="str">
        <f t="shared" si="16"/>
        <v>April</v>
      </c>
    </row>
    <row r="1041" spans="1:7">
      <c r="A1041" s="141" t="s">
        <v>748</v>
      </c>
      <c r="B1041" s="141" t="s">
        <v>126</v>
      </c>
      <c r="C1041" s="56">
        <v>45777</v>
      </c>
      <c r="D1041" s="155">
        <v>1033</v>
      </c>
      <c r="E1041" s="43"/>
      <c r="F1041" s="43" t="s">
        <v>1440</v>
      </c>
      <c r="G1041" t="str">
        <f t="shared" si="16"/>
        <v>April</v>
      </c>
    </row>
    <row r="1042" spans="1:7">
      <c r="A1042" s="141" t="s">
        <v>1018</v>
      </c>
      <c r="B1042" s="141" t="s">
        <v>649</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138</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1445</v>
      </c>
      <c r="G1051" t="str">
        <f t="shared" si="16"/>
        <v>May</v>
      </c>
    </row>
    <row r="1052" spans="1:7">
      <c r="A1052" s="154" t="s">
        <v>748</v>
      </c>
      <c r="B1052" s="141" t="s">
        <v>126</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138</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512</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635</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126</v>
      </c>
      <c r="C1067" s="56">
        <v>45782</v>
      </c>
      <c r="D1067" s="155">
        <v>1053</v>
      </c>
      <c r="F1067" s="43" t="s">
        <v>1455</v>
      </c>
      <c r="G1067" t="str">
        <f t="shared" si="17"/>
        <v>May</v>
      </c>
    </row>
    <row r="1068" spans="1:7">
      <c r="A1068" s="154" t="s">
        <v>750</v>
      </c>
      <c r="B1068" s="318" t="s">
        <v>126</v>
      </c>
      <c r="C1068" s="56">
        <v>45782</v>
      </c>
      <c r="D1068" s="43">
        <v>575</v>
      </c>
      <c r="F1068" s="43" t="s">
        <v>1456</v>
      </c>
      <c r="G1068" t="str">
        <f t="shared" si="17"/>
        <v>May</v>
      </c>
    </row>
    <row r="1069" spans="1:7">
      <c r="A1069" s="345" t="s">
        <v>704</v>
      </c>
      <c r="B1069" s="349" t="s">
        <v>126</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512</v>
      </c>
      <c r="B1074" s="304" t="s">
        <v>1380</v>
      </c>
      <c r="C1074" s="56">
        <v>45783</v>
      </c>
      <c r="F1074" s="311" t="s">
        <v>1459</v>
      </c>
      <c r="G1074" t="str">
        <f t="shared" si="18"/>
        <v>May</v>
      </c>
    </row>
    <row r="1075" spans="1:7">
      <c r="A1075" s="324" t="s">
        <v>922</v>
      </c>
      <c r="B1075" s="304" t="s">
        <v>138</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1462</v>
      </c>
      <c r="G1078" t="str">
        <f t="shared" si="18"/>
        <v>May</v>
      </c>
    </row>
    <row r="1079" spans="1:7">
      <c r="A1079" s="154" t="s">
        <v>750</v>
      </c>
      <c r="B1079" s="318" t="s">
        <v>126</v>
      </c>
      <c r="C1079" s="56">
        <v>45783</v>
      </c>
      <c r="D1079" s="155">
        <v>1847</v>
      </c>
      <c r="F1079" s="43" t="s">
        <v>1463</v>
      </c>
      <c r="G1079" t="str">
        <f t="shared" si="18"/>
        <v>May</v>
      </c>
    </row>
    <row r="1080" spans="1:7">
      <c r="A1080" s="345" t="s">
        <v>746</v>
      </c>
      <c r="B1080" s="349" t="s">
        <v>126</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638</v>
      </c>
      <c r="B1082" s="141" t="s">
        <v>1073</v>
      </c>
      <c r="C1082" s="56">
        <v>45784</v>
      </c>
      <c r="D1082" s="43">
        <v>131</v>
      </c>
      <c r="F1082" s="43" t="s">
        <v>1166</v>
      </c>
    </row>
    <row r="1083" spans="1:7" ht="13.5" customHeight="1">
      <c r="A1083" s="324" t="s">
        <v>1091</v>
      </c>
      <c r="B1083" s="304" t="s">
        <v>639</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126</v>
      </c>
      <c r="C1089" s="56">
        <v>45784</v>
      </c>
      <c r="D1089" s="155">
        <v>1052</v>
      </c>
      <c r="F1089" s="43" t="s">
        <v>1467</v>
      </c>
      <c r="G1089" t="str">
        <f>TEXT(C1089,"mmmm")</f>
        <v>May</v>
      </c>
    </row>
    <row r="1090" spans="1:7">
      <c r="A1090" s="345" t="s">
        <v>746</v>
      </c>
      <c r="B1090" s="349" t="s">
        <v>126</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639</v>
      </c>
      <c r="C1093" s="56">
        <v>45785</v>
      </c>
      <c r="D1093" s="43">
        <v>592</v>
      </c>
      <c r="F1093" s="43" t="s">
        <v>1471</v>
      </c>
      <c r="G1093" t="str">
        <f t="shared" si="19"/>
        <v>May</v>
      </c>
    </row>
    <row r="1094" spans="1:7">
      <c r="A1094" s="304" t="s">
        <v>508</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126</v>
      </c>
      <c r="C1100" s="56">
        <v>45785</v>
      </c>
      <c r="D1100" s="155">
        <v>1483</v>
      </c>
      <c r="F1100" s="43" t="s">
        <v>1473</v>
      </c>
      <c r="G1100" t="str">
        <f t="shared" si="19"/>
        <v>May</v>
      </c>
    </row>
    <row r="1101" spans="1:7">
      <c r="A1101" s="345" t="s">
        <v>750</v>
      </c>
      <c r="B1101" s="304" t="s">
        <v>126</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639</v>
      </c>
      <c r="C1105" s="56">
        <v>45786</v>
      </c>
      <c r="D1105" s="43">
        <v>730</v>
      </c>
      <c r="F1105" s="43" t="s">
        <v>1477</v>
      </c>
      <c r="G1105" t="str">
        <f t="shared" si="20"/>
        <v>May</v>
      </c>
    </row>
    <row r="1106" spans="1:7">
      <c r="A1106" s="304" t="s">
        <v>508</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126</v>
      </c>
      <c r="C1109" s="56">
        <v>45786</v>
      </c>
      <c r="F1109" s="315" t="s">
        <v>1479</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638</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126</v>
      </c>
      <c r="C1118" s="56">
        <v>45790</v>
      </c>
      <c r="D1118" s="43">
        <v>933</v>
      </c>
      <c r="F1118" s="43" t="s">
        <v>1484</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126</v>
      </c>
      <c r="C1125" s="56">
        <v>45791</v>
      </c>
      <c r="D1125" s="43">
        <v>1190</v>
      </c>
      <c r="F1125" s="43" t="s">
        <v>1200</v>
      </c>
      <c r="G1125" t="str">
        <f t="shared" si="21"/>
        <v>May</v>
      </c>
    </row>
    <row r="1126" spans="1:7">
      <c r="A1126" s="141" t="s">
        <v>674</v>
      </c>
      <c r="B1126" s="141" t="s">
        <v>639</v>
      </c>
      <c r="C1126" s="56">
        <v>45791</v>
      </c>
      <c r="D1126" s="43">
        <v>678</v>
      </c>
      <c r="G1126" t="str">
        <f t="shared" si="21"/>
        <v>May</v>
      </c>
    </row>
    <row r="1127" spans="1:7">
      <c r="A1127" s="134" t="s">
        <v>634</v>
      </c>
      <c r="B1127" s="141" t="s">
        <v>1383</v>
      </c>
      <c r="C1127" s="56">
        <v>45792</v>
      </c>
      <c r="F1127" s="351" t="s">
        <v>1439</v>
      </c>
      <c r="G1127" t="str">
        <f t="shared" si="21"/>
        <v>May</v>
      </c>
    </row>
    <row r="1128" spans="1:7">
      <c r="A1128" s="324" t="s">
        <v>1093</v>
      </c>
      <c r="B1128" s="304" t="s">
        <v>138</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126</v>
      </c>
      <c r="C1133" s="56">
        <v>45792</v>
      </c>
      <c r="D1133" s="155">
        <v>1580</v>
      </c>
      <c r="F1133" s="43" t="s">
        <v>1200</v>
      </c>
      <c r="G1133" t="str">
        <f t="shared" si="21"/>
        <v>May</v>
      </c>
    </row>
    <row r="1134" spans="1:7">
      <c r="A1134" s="141" t="s">
        <v>674</v>
      </c>
      <c r="B1134" s="141" t="s">
        <v>639</v>
      </c>
      <c r="C1134" s="56">
        <v>45792</v>
      </c>
      <c r="D1134" s="43">
        <v>381</v>
      </c>
      <c r="G1134" t="str">
        <f t="shared" si="21"/>
        <v>May</v>
      </c>
    </row>
    <row r="1135" spans="1:7">
      <c r="A1135" s="134" t="s">
        <v>634</v>
      </c>
      <c r="B1135" s="141" t="s">
        <v>1383</v>
      </c>
      <c r="C1135" s="56">
        <v>45793</v>
      </c>
      <c r="D1135" s="43">
        <v>887</v>
      </c>
      <c r="F1135" s="43" t="s">
        <v>1351</v>
      </c>
      <c r="G1135" t="str">
        <f t="shared" si="21"/>
        <v>May</v>
      </c>
    </row>
    <row r="1136" spans="1:7">
      <c r="A1136" s="324" t="s">
        <v>1093</v>
      </c>
      <c r="B1136" s="304" t="s">
        <v>138</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639</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138</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138</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138</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634</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797</v>
      </c>
      <c r="B1159" s="141" t="s">
        <v>138</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1502</v>
      </c>
      <c r="G1161" t="str">
        <f t="shared" si="21"/>
        <v>May</v>
      </c>
    </row>
    <row r="1162" spans="1:7">
      <c r="A1162" s="304" t="s">
        <v>638</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126</v>
      </c>
      <c r="C1171" s="56">
        <v>45799</v>
      </c>
      <c r="D1171" s="43">
        <v>948</v>
      </c>
      <c r="F1171" s="154" t="s">
        <v>1200</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138</v>
      </c>
      <c r="C1174" s="56">
        <v>45800</v>
      </c>
      <c r="D1174" s="43">
        <v>719</v>
      </c>
      <c r="F1174" s="43" t="s">
        <v>1509</v>
      </c>
      <c r="G1174" t="str">
        <f t="shared" si="21"/>
        <v>May</v>
      </c>
    </row>
    <row r="1175" spans="1:7">
      <c r="A1175" s="305" t="s">
        <v>634</v>
      </c>
      <c r="B1175" s="305" t="s">
        <v>1073</v>
      </c>
      <c r="C1175" s="56">
        <v>45800</v>
      </c>
      <c r="D1175" s="43">
        <v>236</v>
      </c>
      <c r="F1175" s="43" t="s">
        <v>1189</v>
      </c>
      <c r="G1175" t="str">
        <f t="shared" si="21"/>
        <v>May</v>
      </c>
    </row>
    <row r="1176" spans="1:7">
      <c r="A1176" s="311" t="s">
        <v>638</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639</v>
      </c>
      <c r="C1178" s="56">
        <v>45800</v>
      </c>
      <c r="F1178" s="351" t="s">
        <v>1439</v>
      </c>
      <c r="G1178" t="str">
        <f t="shared" si="21"/>
        <v>May</v>
      </c>
    </row>
    <row r="1179" spans="1:7">
      <c r="A1179" s="324" t="s">
        <v>536</v>
      </c>
      <c r="B1179" s="304" t="s">
        <v>639</v>
      </c>
      <c r="C1179" s="56">
        <v>45800</v>
      </c>
      <c r="D1179" s="43">
        <v>285</v>
      </c>
      <c r="F1179" s="43" t="s">
        <v>1511</v>
      </c>
      <c r="G1179" t="str">
        <f t="shared" si="21"/>
        <v>May</v>
      </c>
    </row>
    <row r="1180" spans="1:7">
      <c r="A1180" s="141" t="s">
        <v>634</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686</v>
      </c>
      <c r="B1184" s="304" t="s">
        <v>126</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126</v>
      </c>
      <c r="C1189" s="56">
        <v>45805</v>
      </c>
      <c r="D1189" s="155">
        <v>2783</v>
      </c>
      <c r="F1189" s="43" t="s">
        <v>1516</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138</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1521</v>
      </c>
    </row>
    <row r="1204" spans="1:7">
      <c r="A1204" s="349" t="s">
        <v>957</v>
      </c>
      <c r="B1204" s="307" t="s">
        <v>1073</v>
      </c>
      <c r="C1204" s="56">
        <v>45810</v>
      </c>
      <c r="D1204" s="43">
        <v>275</v>
      </c>
      <c r="G1204" t="s">
        <v>1521</v>
      </c>
    </row>
    <row r="1205" spans="1:7">
      <c r="A1205" s="349" t="s">
        <v>422</v>
      </c>
      <c r="B1205" s="141" t="s">
        <v>126</v>
      </c>
      <c r="C1205" s="56">
        <v>45810</v>
      </c>
      <c r="D1205" s="155">
        <v>1957</v>
      </c>
      <c r="F1205" s="43" t="s">
        <v>1522</v>
      </c>
      <c r="G1205" t="s">
        <v>1521</v>
      </c>
    </row>
    <row r="1206" spans="1:7">
      <c r="A1206" s="141" t="s">
        <v>674</v>
      </c>
      <c r="B1206" s="141" t="s">
        <v>639</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138</v>
      </c>
      <c r="C1210" s="56">
        <v>45811</v>
      </c>
      <c r="D1210" s="155">
        <v>1483</v>
      </c>
      <c r="F1210" s="43" t="s">
        <v>1524</v>
      </c>
      <c r="G1210" t="s">
        <v>1521</v>
      </c>
    </row>
    <row r="1211" spans="1:7">
      <c r="A1211" s="304" t="s">
        <v>1108</v>
      </c>
      <c r="B1211" s="304" t="s">
        <v>639</v>
      </c>
      <c r="C1211" s="56">
        <v>45811</v>
      </c>
      <c r="F1211" s="311" t="s">
        <v>1525</v>
      </c>
      <c r="G1211" t="s">
        <v>1521</v>
      </c>
    </row>
    <row r="1212" spans="1:7">
      <c r="A1212" s="141" t="s">
        <v>949</v>
      </c>
      <c r="B1212" s="141" t="s">
        <v>126</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639</v>
      </c>
      <c r="C1214" s="56">
        <v>45811</v>
      </c>
      <c r="F1214" s="141" t="s">
        <v>1217</v>
      </c>
      <c r="G1214" t="s">
        <v>1521</v>
      </c>
    </row>
    <row r="1215" spans="1:7">
      <c r="A1215" s="141" t="s">
        <v>674</v>
      </c>
      <c r="B1215" s="141" t="s">
        <v>639</v>
      </c>
      <c r="C1215" s="56">
        <v>45811</v>
      </c>
      <c r="D1215" s="43">
        <v>948</v>
      </c>
      <c r="G1215" t="s">
        <v>1521</v>
      </c>
    </row>
    <row r="1216" spans="1:7">
      <c r="A1216" s="141" t="s">
        <v>797</v>
      </c>
      <c r="B1216" s="141" t="s">
        <v>138</v>
      </c>
      <c r="C1216" s="56">
        <v>45812</v>
      </c>
      <c r="D1216" s="43">
        <v>83</v>
      </c>
      <c r="G1216" t="s">
        <v>1521</v>
      </c>
    </row>
    <row r="1217" spans="1:7">
      <c r="A1217" s="304" t="s">
        <v>508</v>
      </c>
      <c r="B1217" s="304" t="s">
        <v>138</v>
      </c>
      <c r="C1217" s="56">
        <v>45812</v>
      </c>
      <c r="F1217" s="141" t="s">
        <v>1526</v>
      </c>
      <c r="G1217" t="s">
        <v>1521</v>
      </c>
    </row>
    <row r="1218" spans="1:7">
      <c r="A1218" s="141" t="s">
        <v>949</v>
      </c>
      <c r="B1218" s="141" t="s">
        <v>126</v>
      </c>
      <c r="C1218" s="56">
        <v>45812</v>
      </c>
      <c r="D1218" s="155">
        <v>1401</v>
      </c>
      <c r="G1218" t="s">
        <v>1521</v>
      </c>
    </row>
    <row r="1219" spans="1:7">
      <c r="A1219" s="349" t="s">
        <v>957</v>
      </c>
      <c r="B1219" s="304" t="s">
        <v>1073</v>
      </c>
      <c r="C1219" s="56">
        <v>45812</v>
      </c>
      <c r="D1219" s="43">
        <v>310</v>
      </c>
      <c r="G1219" t="s">
        <v>1521</v>
      </c>
    </row>
    <row r="1220" spans="1:7">
      <c r="A1220" s="349" t="s">
        <v>752</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674</v>
      </c>
      <c r="B1222" s="141" t="s">
        <v>639</v>
      </c>
      <c r="C1222" s="56">
        <v>45812</v>
      </c>
      <c r="F1222" s="141" t="s">
        <v>1526</v>
      </c>
      <c r="G1222" t="s">
        <v>1521</v>
      </c>
    </row>
    <row r="1223" spans="1:7">
      <c r="A1223" s="141" t="s">
        <v>508</v>
      </c>
      <c r="B1223" s="141" t="s">
        <v>138</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126</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639</v>
      </c>
      <c r="C1228" s="56">
        <v>45813</v>
      </c>
      <c r="D1228" s="155">
        <v>1101</v>
      </c>
      <c r="F1228" s="43" t="s">
        <v>1212</v>
      </c>
      <c r="G1228" t="s">
        <v>1521</v>
      </c>
    </row>
    <row r="1229" spans="1:7">
      <c r="A1229" s="141" t="s">
        <v>674</v>
      </c>
      <c r="B1229" s="141" t="s">
        <v>639</v>
      </c>
      <c r="C1229" s="56">
        <v>45814</v>
      </c>
      <c r="D1229" s="43">
        <v>437</v>
      </c>
      <c r="F1229" s="43" t="s">
        <v>1200</v>
      </c>
      <c r="G1229" t="s">
        <v>1521</v>
      </c>
    </row>
    <row r="1230" spans="1:7">
      <c r="A1230" s="154" t="s">
        <v>949</v>
      </c>
      <c r="B1230" s="141" t="s">
        <v>126</v>
      </c>
      <c r="C1230" s="56">
        <v>45817</v>
      </c>
      <c r="D1230" s="155">
        <v>1100</v>
      </c>
      <c r="G1230" t="s">
        <v>1521</v>
      </c>
    </row>
    <row r="1231" spans="1:7">
      <c r="A1231" s="304" t="s">
        <v>790</v>
      </c>
      <c r="B1231" s="304" t="s">
        <v>126</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639</v>
      </c>
      <c r="C1234" s="56">
        <v>45817</v>
      </c>
      <c r="D1234" s="43">
        <v>730</v>
      </c>
      <c r="G1234" t="s">
        <v>1521</v>
      </c>
    </row>
    <row r="1235" spans="1:7">
      <c r="A1235" s="154" t="s">
        <v>752</v>
      </c>
      <c r="B1235" s="141" t="s">
        <v>126</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639</v>
      </c>
      <c r="C1237" s="56">
        <v>45818</v>
      </c>
      <c r="D1237" s="43">
        <v>583</v>
      </c>
      <c r="G1237" t="s">
        <v>1521</v>
      </c>
    </row>
    <row r="1238" spans="1:7">
      <c r="A1238" s="154" t="s">
        <v>949</v>
      </c>
      <c r="B1238" s="141" t="s">
        <v>126</v>
      </c>
      <c r="C1238" s="56">
        <v>45819</v>
      </c>
      <c r="D1238" s="155">
        <v>1975</v>
      </c>
      <c r="F1238" s="43" t="s">
        <v>1519</v>
      </c>
      <c r="G1238" t="s">
        <v>1521</v>
      </c>
    </row>
    <row r="1239" spans="1:7">
      <c r="A1239" s="364" t="s">
        <v>686</v>
      </c>
      <c r="B1239" s="305" t="s">
        <v>126</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126</v>
      </c>
      <c r="C1241" s="56">
        <v>45820</v>
      </c>
      <c r="D1241" s="155">
        <v>1395</v>
      </c>
      <c r="F1241" s="43" t="s">
        <v>1519</v>
      </c>
      <c r="G1241" t="s">
        <v>1521</v>
      </c>
    </row>
    <row r="1242" spans="1:7">
      <c r="A1242" s="372" t="s">
        <v>767</v>
      </c>
      <c r="B1242" s="247" t="s">
        <v>126</v>
      </c>
      <c r="C1242" s="56">
        <v>45820</v>
      </c>
      <c r="F1242" s="43" t="s">
        <v>1217</v>
      </c>
      <c r="G1242" t="s">
        <v>1521</v>
      </c>
    </row>
    <row r="1243" spans="1:7">
      <c r="A1243" s="148" t="s">
        <v>957</v>
      </c>
      <c r="B1243" s="371" t="s">
        <v>1073</v>
      </c>
      <c r="C1243" s="56">
        <v>45820</v>
      </c>
      <c r="D1243" s="43">
        <v>395</v>
      </c>
      <c r="G1243" t="s">
        <v>1521</v>
      </c>
    </row>
    <row r="1244" spans="1:7">
      <c r="A1244" s="316" t="s">
        <v>767</v>
      </c>
      <c r="B1244" s="306" t="s">
        <v>126</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639</v>
      </c>
      <c r="C1247" s="56">
        <v>45821</v>
      </c>
      <c r="E1247" s="321">
        <v>7408</v>
      </c>
      <c r="F1247" s="154" t="s">
        <v>1535</v>
      </c>
      <c r="G1247" t="s">
        <v>1521</v>
      </c>
    </row>
    <row r="1248" spans="1:7">
      <c r="A1248" s="141" t="s">
        <v>794</v>
      </c>
      <c r="B1248" s="141" t="s">
        <v>138</v>
      </c>
      <c r="C1248" s="56">
        <v>45824</v>
      </c>
      <c r="D1248" s="155">
        <v>1394</v>
      </c>
      <c r="F1248" s="43" t="s">
        <v>1152</v>
      </c>
      <c r="G1248" t="s">
        <v>1521</v>
      </c>
    </row>
    <row r="1249" spans="1:7">
      <c r="A1249" s="320" t="s">
        <v>949</v>
      </c>
      <c r="B1249" s="311" t="s">
        <v>126</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126</v>
      </c>
      <c r="C1251" s="56">
        <v>45824</v>
      </c>
      <c r="E1251" s="321">
        <v>4976</v>
      </c>
      <c r="F1251" s="304" t="s">
        <v>1537</v>
      </c>
      <c r="G1251" t="s">
        <v>1521</v>
      </c>
    </row>
    <row r="1252" spans="1:7">
      <c r="A1252" s="141" t="s">
        <v>674</v>
      </c>
      <c r="B1252" s="141" t="s">
        <v>639</v>
      </c>
      <c r="C1252" s="56">
        <v>45824</v>
      </c>
      <c r="D1252" s="43">
        <v>465</v>
      </c>
      <c r="F1252" s="43" t="s">
        <v>1200</v>
      </c>
      <c r="G1252" t="s">
        <v>1521</v>
      </c>
    </row>
    <row r="1253" spans="1:7">
      <c r="A1253" s="141" t="s">
        <v>794</v>
      </c>
      <c r="B1253" s="141" t="s">
        <v>138</v>
      </c>
      <c r="C1253" s="56">
        <v>45825</v>
      </c>
      <c r="D1253" s="155">
        <v>1756</v>
      </c>
      <c r="F1253" s="43" t="s">
        <v>1154</v>
      </c>
      <c r="G1253" t="s">
        <v>1521</v>
      </c>
    </row>
    <row r="1254" spans="1:7">
      <c r="A1254" s="320" t="s">
        <v>949</v>
      </c>
      <c r="B1254" s="311" t="s">
        <v>126</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126</v>
      </c>
      <c r="C1256" s="56">
        <v>45825</v>
      </c>
      <c r="D1256" s="155">
        <v>1465</v>
      </c>
      <c r="F1256" s="43" t="s">
        <v>1538</v>
      </c>
      <c r="G1256" t="s">
        <v>1521</v>
      </c>
    </row>
    <row r="1257" spans="1:7">
      <c r="A1257" s="311" t="s">
        <v>686</v>
      </c>
      <c r="B1257" s="311" t="s">
        <v>126</v>
      </c>
      <c r="C1257" s="56">
        <v>45825</v>
      </c>
      <c r="E1257" s="321">
        <v>4177</v>
      </c>
      <c r="F1257" s="43" t="s">
        <v>1539</v>
      </c>
      <c r="G1257" t="s">
        <v>1521</v>
      </c>
    </row>
    <row r="1258" spans="1:7">
      <c r="A1258" s="141" t="s">
        <v>674</v>
      </c>
      <c r="B1258" s="141" t="s">
        <v>639</v>
      </c>
      <c r="C1258" s="56">
        <v>45825</v>
      </c>
      <c r="D1258" s="43">
        <v>218</v>
      </c>
      <c r="F1258" s="43" t="s">
        <v>1200</v>
      </c>
      <c r="G1258" t="s">
        <v>1521</v>
      </c>
    </row>
    <row r="1259" spans="1:7">
      <c r="A1259" s="141" t="s">
        <v>794</v>
      </c>
      <c r="B1259" s="141" t="s">
        <v>138</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126</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639</v>
      </c>
      <c r="C1265" s="56">
        <v>45826</v>
      </c>
      <c r="D1265" s="43">
        <v>729</v>
      </c>
      <c r="G1265" t="s">
        <v>1521</v>
      </c>
    </row>
    <row r="1266" spans="1:7">
      <c r="A1266" s="141" t="s">
        <v>674</v>
      </c>
      <c r="B1266" s="141" t="s">
        <v>639</v>
      </c>
      <c r="C1266" s="56">
        <v>45827</v>
      </c>
      <c r="D1266" s="43">
        <v>464</v>
      </c>
      <c r="G1266" t="s">
        <v>1521</v>
      </c>
    </row>
    <row r="1267" spans="1:7">
      <c r="A1267" s="141" t="s">
        <v>530</v>
      </c>
      <c r="B1267" s="141" t="s">
        <v>639</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422</v>
      </c>
      <c r="B1270" s="315" t="s">
        <v>126</v>
      </c>
      <c r="C1270" s="56">
        <v>45828</v>
      </c>
      <c r="F1270" s="311" t="s">
        <v>1217</v>
      </c>
      <c r="G1270" t="s">
        <v>1521</v>
      </c>
    </row>
    <row r="1271" spans="1:7">
      <c r="A1271" s="141" t="s">
        <v>674</v>
      </c>
      <c r="B1271" s="141" t="s">
        <v>639</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126</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126</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138</v>
      </c>
      <c r="C1278" s="56">
        <v>45832</v>
      </c>
      <c r="D1278" s="155">
        <v>1946</v>
      </c>
      <c r="F1278" s="43" t="s">
        <v>1541</v>
      </c>
      <c r="G1278" t="s">
        <v>1521</v>
      </c>
    </row>
    <row r="1279" spans="1:7">
      <c r="A1279" s="141" t="s">
        <v>962</v>
      </c>
      <c r="B1279" s="311" t="s">
        <v>126</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126</v>
      </c>
      <c r="C1281" s="56">
        <v>45832</v>
      </c>
      <c r="D1281" s="155">
        <v>1141</v>
      </c>
      <c r="F1281" s="43" t="s">
        <v>1518</v>
      </c>
      <c r="G1281" t="s">
        <v>1521</v>
      </c>
    </row>
    <row r="1282" spans="1:7">
      <c r="A1282" s="141" t="s">
        <v>674</v>
      </c>
      <c r="B1282" s="141" t="s">
        <v>639</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508</v>
      </c>
      <c r="B1284" s="307" t="s">
        <v>138</v>
      </c>
      <c r="C1284" s="56">
        <v>45833</v>
      </c>
      <c r="D1284" s="43">
        <v>649</v>
      </c>
      <c r="F1284" s="43" t="s">
        <v>1545</v>
      </c>
      <c r="G1284" t="s">
        <v>1521</v>
      </c>
    </row>
    <row r="1285" spans="1:7">
      <c r="A1285" s="141" t="s">
        <v>962</v>
      </c>
      <c r="B1285" s="311" t="s">
        <v>126</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126</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138</v>
      </c>
      <c r="C1289" s="56">
        <v>45834</v>
      </c>
      <c r="F1289" s="316" t="s">
        <v>1547</v>
      </c>
      <c r="G1289" t="s">
        <v>1521</v>
      </c>
    </row>
    <row r="1290" spans="1:7">
      <c r="A1290" s="349" t="s">
        <v>797</v>
      </c>
      <c r="B1290" s="307" t="s">
        <v>138</v>
      </c>
      <c r="C1290" s="56">
        <v>45834</v>
      </c>
      <c r="F1290" s="320" t="s">
        <v>1547</v>
      </c>
      <c r="G1290" t="s">
        <v>1521</v>
      </c>
    </row>
    <row r="1291" spans="1:7">
      <c r="A1291" s="141" t="s">
        <v>962</v>
      </c>
      <c r="B1291" s="311" t="s">
        <v>126</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126</v>
      </c>
      <c r="C1293" s="56">
        <v>45834</v>
      </c>
      <c r="D1293" s="155">
        <v>1296</v>
      </c>
      <c r="F1293" s="43" t="s">
        <v>1538</v>
      </c>
      <c r="G1293" t="s">
        <v>1521</v>
      </c>
    </row>
    <row r="1294" spans="1:7">
      <c r="A1294" s="304" t="s">
        <v>759</v>
      </c>
      <c r="B1294" s="304" t="s">
        <v>126</v>
      </c>
      <c r="C1294" s="56">
        <v>45834</v>
      </c>
      <c r="F1294" s="311" t="s">
        <v>1549</v>
      </c>
      <c r="G1294" t="s">
        <v>1521</v>
      </c>
    </row>
    <row r="1295" spans="1:7">
      <c r="A1295" s="141" t="s">
        <v>674</v>
      </c>
      <c r="B1295" s="317" t="s">
        <v>639</v>
      </c>
      <c r="C1295" s="56">
        <v>45834</v>
      </c>
      <c r="D1295" s="43">
        <v>112</v>
      </c>
      <c r="F1295" s="43" t="s">
        <v>1200</v>
      </c>
      <c r="G1295" t="s">
        <v>1521</v>
      </c>
    </row>
    <row r="1296" spans="1:7">
      <c r="A1296" s="304" t="s">
        <v>530</v>
      </c>
      <c r="B1296" s="141" t="s">
        <v>639</v>
      </c>
      <c r="C1296" s="56">
        <v>45834</v>
      </c>
      <c r="D1296" s="43">
        <v>676</v>
      </c>
      <c r="F1296" s="43" t="s">
        <v>1514</v>
      </c>
      <c r="G1296" t="s">
        <v>1521</v>
      </c>
    </row>
    <row r="1297" spans="1:7">
      <c r="A1297" s="141" t="s">
        <v>674</v>
      </c>
      <c r="B1297" s="141" t="s">
        <v>385</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138</v>
      </c>
      <c r="C1299" s="56">
        <v>45835</v>
      </c>
      <c r="F1299" s="316" t="s">
        <v>1547</v>
      </c>
      <c r="G1299" t="s">
        <v>1521</v>
      </c>
    </row>
    <row r="1300" spans="1:7">
      <c r="A1300" s="141" t="s">
        <v>759</v>
      </c>
      <c r="B1300" s="141" t="s">
        <v>126</v>
      </c>
      <c r="C1300" s="56">
        <v>45835</v>
      </c>
      <c r="E1300" s="321">
        <v>1605</v>
      </c>
      <c r="F1300" s="141" t="s">
        <v>1551</v>
      </c>
      <c r="G1300" t="s">
        <v>1521</v>
      </c>
    </row>
    <row r="1301" spans="1:7">
      <c r="A1301" s="141" t="s">
        <v>530</v>
      </c>
      <c r="B1301" s="317" t="s">
        <v>639</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530</v>
      </c>
      <c r="B1304" s="317" t="s">
        <v>639</v>
      </c>
      <c r="C1304" s="56">
        <v>45838</v>
      </c>
      <c r="D1304" s="43">
        <v>885</v>
      </c>
      <c r="F1304" s="43" t="s">
        <v>1212</v>
      </c>
      <c r="G1304" t="s">
        <v>1521</v>
      </c>
    </row>
    <row r="1305" spans="1:7">
      <c r="A1305" s="141" t="s">
        <v>784</v>
      </c>
      <c r="B1305" s="311" t="s">
        <v>1073</v>
      </c>
      <c r="C1305" s="56">
        <v>45839</v>
      </c>
      <c r="D1305" s="43">
        <v>120</v>
      </c>
      <c r="G1305" t="s">
        <v>1554</v>
      </c>
    </row>
    <row r="1306" spans="1:7">
      <c r="A1306" s="315" t="s">
        <v>422</v>
      </c>
      <c r="B1306" s="315" t="s">
        <v>126</v>
      </c>
      <c r="C1306" s="56">
        <v>45839</v>
      </c>
      <c r="E1306" s="139">
        <v>53</v>
      </c>
      <c r="F1306" s="43" t="s">
        <v>1555</v>
      </c>
      <c r="G1306" t="s">
        <v>1554</v>
      </c>
    </row>
    <row r="1307" spans="1:7">
      <c r="A1307" s="346" t="s">
        <v>683</v>
      </c>
      <c r="B1307" s="315" t="s">
        <v>126</v>
      </c>
      <c r="C1307" s="56">
        <v>45839</v>
      </c>
      <c r="E1307" s="321">
        <v>10059</v>
      </c>
      <c r="F1307" s="43" t="s">
        <v>1556</v>
      </c>
    </row>
    <row r="1308" spans="1:7">
      <c r="A1308" s="141" t="s">
        <v>530</v>
      </c>
      <c r="B1308" s="317" t="s">
        <v>639</v>
      </c>
      <c r="C1308" s="56">
        <v>45839</v>
      </c>
      <c r="D1308" s="43">
        <v>478</v>
      </c>
      <c r="G1308" t="s">
        <v>1554</v>
      </c>
    </row>
    <row r="1309" spans="1:7">
      <c r="A1309" s="141" t="s">
        <v>674</v>
      </c>
      <c r="B1309" s="317" t="s">
        <v>639</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126</v>
      </c>
      <c r="C1312" s="56">
        <v>45840</v>
      </c>
      <c r="D1312" s="43">
        <v>355</v>
      </c>
      <c r="F1312" s="43" t="s">
        <v>1154</v>
      </c>
      <c r="G1312" t="s">
        <v>1554</v>
      </c>
    </row>
    <row r="1313" spans="1:7">
      <c r="A1313" s="304" t="s">
        <v>683</v>
      </c>
      <c r="B1313" s="304" t="s">
        <v>126</v>
      </c>
      <c r="C1313" s="56">
        <v>45840</v>
      </c>
      <c r="F1313" s="304" t="s">
        <v>1217</v>
      </c>
      <c r="G1313" t="s">
        <v>1554</v>
      </c>
    </row>
    <row r="1314" spans="1:7">
      <c r="A1314" s="141" t="s">
        <v>530</v>
      </c>
      <c r="B1314" s="317" t="s">
        <v>639</v>
      </c>
      <c r="C1314" s="56">
        <v>45840</v>
      </c>
      <c r="D1314" s="43">
        <v>490</v>
      </c>
      <c r="F1314" s="43" t="s">
        <v>1200</v>
      </c>
      <c r="G1314" t="s">
        <v>1554</v>
      </c>
    </row>
    <row r="1315" spans="1:7">
      <c r="A1315" s="141" t="s">
        <v>784</v>
      </c>
      <c r="B1315" s="311" t="s">
        <v>1073</v>
      </c>
      <c r="C1315" s="56">
        <v>45841</v>
      </c>
      <c r="F1315" s="141" t="s">
        <v>1217</v>
      </c>
      <c r="G1315" t="s">
        <v>1554</v>
      </c>
    </row>
    <row r="1316" spans="1:7">
      <c r="A1316" s="141" t="s">
        <v>530</v>
      </c>
      <c r="B1316" s="317" t="s">
        <v>639</v>
      </c>
      <c r="C1316" s="56">
        <v>45841</v>
      </c>
      <c r="D1316" s="43">
        <v>372</v>
      </c>
      <c r="F1316" s="115" t="s">
        <v>1200</v>
      </c>
      <c r="G1316" t="s">
        <v>1554</v>
      </c>
    </row>
    <row r="1317" spans="1:7" ht="15.75">
      <c r="A1317" s="141" t="s">
        <v>530</v>
      </c>
      <c r="B1317" s="317" t="s">
        <v>385</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126</v>
      </c>
      <c r="C1320" s="56">
        <v>45845</v>
      </c>
      <c r="D1320" s="43">
        <v>846</v>
      </c>
      <c r="G1320" t="s">
        <v>1554</v>
      </c>
    </row>
    <row r="1321" spans="1:7">
      <c r="A1321" s="304" t="s">
        <v>691</v>
      </c>
      <c r="B1321" s="304" t="s">
        <v>126</v>
      </c>
      <c r="C1321" s="56">
        <v>45845</v>
      </c>
      <c r="D1321" s="155">
        <v>1644</v>
      </c>
      <c r="E1321" s="201"/>
      <c r="G1321" t="s">
        <v>1554</v>
      </c>
    </row>
    <row r="1322" spans="1:7">
      <c r="A1322" s="141" t="s">
        <v>530</v>
      </c>
      <c r="B1322" s="157" t="s">
        <v>385</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126</v>
      </c>
      <c r="C1324" s="56">
        <v>45846</v>
      </c>
      <c r="D1324" s="43">
        <v>827</v>
      </c>
      <c r="F1324" s="43" t="s">
        <v>1561</v>
      </c>
      <c r="G1324" t="s">
        <v>1554</v>
      </c>
    </row>
    <row r="1325" spans="1:7">
      <c r="A1325" s="397" t="s">
        <v>691</v>
      </c>
      <c r="B1325" s="399" t="s">
        <v>126</v>
      </c>
      <c r="C1325" s="56">
        <v>45846</v>
      </c>
      <c r="D1325" s="43">
        <v>60</v>
      </c>
      <c r="F1325" s="43" t="s">
        <v>1514</v>
      </c>
      <c r="G1325" t="s">
        <v>1554</v>
      </c>
    </row>
    <row r="1326" spans="1:7">
      <c r="A1326" s="395" t="s">
        <v>1008</v>
      </c>
      <c r="B1326" s="398" t="s">
        <v>1073</v>
      </c>
      <c r="C1326" s="56">
        <v>45847</v>
      </c>
      <c r="D1326" s="43">
        <v>321</v>
      </c>
      <c r="G1326" t="s">
        <v>1554</v>
      </c>
    </row>
    <row r="1327" spans="1:7">
      <c r="A1327" s="247" t="s">
        <v>538</v>
      </c>
      <c r="B1327" s="157" t="s">
        <v>639</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533</v>
      </c>
      <c r="B1331" s="157" t="s">
        <v>385</v>
      </c>
      <c r="C1331" s="56">
        <v>45849</v>
      </c>
      <c r="D1331" s="43">
        <v>198</v>
      </c>
      <c r="G1331" t="s">
        <v>1554</v>
      </c>
    </row>
    <row r="1332" spans="1:7">
      <c r="A1332" s="247" t="s">
        <v>1008</v>
      </c>
      <c r="B1332" s="398" t="s">
        <v>1073</v>
      </c>
      <c r="C1332" s="56">
        <v>45852</v>
      </c>
      <c r="F1332" s="43" t="s">
        <v>1217</v>
      </c>
      <c r="G1332" t="s">
        <v>1554</v>
      </c>
    </row>
    <row r="1333" spans="1:7">
      <c r="A1333" s="617" t="s">
        <v>533</v>
      </c>
      <c r="B1333" s="157" t="s">
        <v>385</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126</v>
      </c>
      <c r="C1336" s="56">
        <v>45853</v>
      </c>
      <c r="D1336" s="155">
        <v>1210</v>
      </c>
      <c r="F1336" s="43" t="s">
        <v>1564</v>
      </c>
      <c r="G1336" t="s">
        <v>1554</v>
      </c>
    </row>
    <row r="1337" spans="1:7">
      <c r="A1337" s="134" t="s">
        <v>384</v>
      </c>
      <c r="B1337" s="157" t="s">
        <v>385</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126</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126</v>
      </c>
      <c r="C1342" s="56">
        <v>45854</v>
      </c>
      <c r="D1342" s="43">
        <v>426</v>
      </c>
      <c r="F1342" s="43" t="s">
        <v>1153</v>
      </c>
      <c r="G1342" t="s">
        <v>1554</v>
      </c>
    </row>
    <row r="1343" spans="1:7">
      <c r="A1343" s="134" t="s">
        <v>384</v>
      </c>
      <c r="B1343" s="318" t="s">
        <v>385</v>
      </c>
      <c r="C1343" s="56">
        <v>45854</v>
      </c>
      <c r="D1343" s="43">
        <v>39</v>
      </c>
      <c r="G1343" t="s">
        <v>1554</v>
      </c>
    </row>
    <row r="1344" spans="1:7">
      <c r="A1344" s="141" t="s">
        <v>957</v>
      </c>
      <c r="B1344" s="311" t="s">
        <v>1073</v>
      </c>
      <c r="C1344" s="56">
        <v>45855</v>
      </c>
      <c r="D1344" s="155">
        <v>1972</v>
      </c>
      <c r="G1344" t="s">
        <v>1554</v>
      </c>
    </row>
    <row r="1345" spans="1:7">
      <c r="A1345" s="346" t="s">
        <v>734</v>
      </c>
      <c r="B1345" s="304" t="s">
        <v>126</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138</v>
      </c>
      <c r="C1351" s="56">
        <v>45859</v>
      </c>
      <c r="D1351" s="43">
        <v>385</v>
      </c>
      <c r="G1351" t="s">
        <v>1554</v>
      </c>
    </row>
    <row r="1352" spans="1:7">
      <c r="A1352" s="397" t="s">
        <v>732</v>
      </c>
      <c r="B1352" s="399" t="s">
        <v>126</v>
      </c>
      <c r="C1352" s="56">
        <v>45859</v>
      </c>
      <c r="D1352" s="155">
        <v>1070</v>
      </c>
      <c r="F1352" s="43" t="s">
        <v>1152</v>
      </c>
      <c r="G1352" t="s">
        <v>1554</v>
      </c>
    </row>
    <row r="1353" spans="1:7">
      <c r="A1353" s="414" t="s">
        <v>734</v>
      </c>
      <c r="B1353" s="415" t="s">
        <v>126</v>
      </c>
      <c r="C1353" s="56">
        <v>45859</v>
      </c>
      <c r="D1353" s="155">
        <v>1843</v>
      </c>
      <c r="F1353" s="43" t="s">
        <v>1568</v>
      </c>
      <c r="G1353" t="s">
        <v>1554</v>
      </c>
    </row>
    <row r="1354" spans="1:7">
      <c r="A1354" s="134" t="s">
        <v>384</v>
      </c>
      <c r="B1354" s="157" t="s">
        <v>385</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126</v>
      </c>
      <c r="C1356" s="56">
        <v>45860</v>
      </c>
      <c r="D1356" s="155">
        <v>1224</v>
      </c>
      <c r="F1356" s="43" t="s">
        <v>1570</v>
      </c>
      <c r="G1356" t="s">
        <v>1554</v>
      </c>
    </row>
    <row r="1357" spans="1:7">
      <c r="A1357" s="305" t="s">
        <v>734</v>
      </c>
      <c r="B1357" s="304" t="s">
        <v>126</v>
      </c>
      <c r="C1357" s="56">
        <v>45860</v>
      </c>
      <c r="D1357" s="155">
        <v>1714</v>
      </c>
      <c r="F1357" s="43" t="s">
        <v>1163</v>
      </c>
      <c r="G1357" t="s">
        <v>1554</v>
      </c>
    </row>
    <row r="1358" spans="1:7">
      <c r="A1358" s="141" t="s">
        <v>957</v>
      </c>
      <c r="B1358" s="398" t="s">
        <v>138</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384</v>
      </c>
      <c r="B1361" s="157" t="s">
        <v>385</v>
      </c>
      <c r="C1361" s="56">
        <v>45860</v>
      </c>
      <c r="D1361" s="43">
        <v>318</v>
      </c>
      <c r="G1361" t="s">
        <v>1554</v>
      </c>
    </row>
    <row r="1362" spans="1:7">
      <c r="A1362" s="247" t="s">
        <v>1112</v>
      </c>
      <c r="B1362" s="157" t="s">
        <v>385</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126</v>
      </c>
      <c r="C1365" s="56">
        <v>45861</v>
      </c>
      <c r="D1365" s="43">
        <v>235</v>
      </c>
      <c r="F1365" s="43" t="s">
        <v>1572</v>
      </c>
      <c r="G1365" t="s">
        <v>1554</v>
      </c>
    </row>
    <row r="1366" spans="1:7">
      <c r="A1366" s="305" t="s">
        <v>734</v>
      </c>
      <c r="B1366" s="304" t="s">
        <v>126</v>
      </c>
      <c r="C1366" s="56">
        <v>45861</v>
      </c>
      <c r="D1366" s="43">
        <v>678</v>
      </c>
      <c r="F1366" s="43" t="s">
        <v>1573</v>
      </c>
      <c r="G1366" t="s">
        <v>1554</v>
      </c>
    </row>
    <row r="1367" spans="1:7">
      <c r="A1367" s="141" t="s">
        <v>691</v>
      </c>
      <c r="B1367" s="398" t="s">
        <v>138</v>
      </c>
      <c r="C1367" s="56">
        <v>45861</v>
      </c>
      <c r="D1367" s="43">
        <v>579</v>
      </c>
      <c r="G1367" t="s">
        <v>1554</v>
      </c>
    </row>
    <row r="1368" spans="1:7">
      <c r="A1368" s="305" t="s">
        <v>737</v>
      </c>
      <c r="B1368" s="304" t="s">
        <v>126</v>
      </c>
      <c r="C1368" s="56">
        <v>45861</v>
      </c>
      <c r="D1368" s="43">
        <v>363</v>
      </c>
      <c r="F1368" s="43" t="s">
        <v>1574</v>
      </c>
      <c r="G1368" t="s">
        <v>1554</v>
      </c>
    </row>
    <row r="1369" spans="1:7">
      <c r="A1369" s="141" t="s">
        <v>949</v>
      </c>
      <c r="B1369" s="141" t="s">
        <v>126</v>
      </c>
      <c r="C1369" s="56">
        <v>45861</v>
      </c>
      <c r="D1369" s="43">
        <v>853</v>
      </c>
      <c r="F1369" s="43" t="s">
        <v>1200</v>
      </c>
      <c r="G1369" t="s">
        <v>1554</v>
      </c>
    </row>
    <row r="1370" spans="1:7">
      <c r="A1370" s="123" t="s">
        <v>533</v>
      </c>
      <c r="B1370" s="157" t="s">
        <v>385</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126</v>
      </c>
      <c r="C1374" s="56">
        <v>45862</v>
      </c>
      <c r="D1374" s="155">
        <v>1077</v>
      </c>
      <c r="F1374" s="43" t="s">
        <v>1578</v>
      </c>
      <c r="G1374" t="s">
        <v>1554</v>
      </c>
    </row>
    <row r="1375" spans="1:7">
      <c r="A1375" s="141" t="s">
        <v>691</v>
      </c>
      <c r="B1375" s="398" t="s">
        <v>138</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126</v>
      </c>
      <c r="C1377" s="56">
        <v>45862</v>
      </c>
      <c r="D1377" s="155">
        <v>1279</v>
      </c>
      <c r="F1377" s="43" t="s">
        <v>1200</v>
      </c>
      <c r="G1377" t="s">
        <v>1554</v>
      </c>
    </row>
    <row r="1378" spans="1:7">
      <c r="A1378" s="123" t="s">
        <v>533</v>
      </c>
      <c r="B1378" s="318" t="s">
        <v>385</v>
      </c>
      <c r="C1378" s="56">
        <v>45862</v>
      </c>
      <c r="D1378" s="43">
        <v>880</v>
      </c>
      <c r="G1378" t="s">
        <v>1554</v>
      </c>
    </row>
    <row r="1379" spans="1:7">
      <c r="A1379" s="324" t="s">
        <v>538</v>
      </c>
      <c r="B1379" s="349" t="s">
        <v>639</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126</v>
      </c>
      <c r="C1382" s="56">
        <v>45863</v>
      </c>
      <c r="F1382" s="304" t="s">
        <v>1583</v>
      </c>
      <c r="G1382" t="s">
        <v>1554</v>
      </c>
    </row>
    <row r="1383" spans="1:7">
      <c r="A1383" s="141" t="s">
        <v>732</v>
      </c>
      <c r="B1383" s="304" t="s">
        <v>126</v>
      </c>
      <c r="C1383" s="56">
        <v>45863</v>
      </c>
      <c r="F1383" s="307" t="s">
        <v>1583</v>
      </c>
      <c r="G1383" t="s">
        <v>1554</v>
      </c>
    </row>
    <row r="1384" spans="1:7">
      <c r="A1384" s="305" t="s">
        <v>743</v>
      </c>
      <c r="B1384" s="305" t="s">
        <v>126</v>
      </c>
      <c r="C1384" s="56">
        <v>45863</v>
      </c>
      <c r="F1384" s="357" t="s">
        <v>1583</v>
      </c>
      <c r="G1384" t="s">
        <v>1554</v>
      </c>
    </row>
    <row r="1385" spans="1:7">
      <c r="A1385" s="311" t="s">
        <v>740</v>
      </c>
      <c r="B1385" s="311" t="s">
        <v>1073</v>
      </c>
      <c r="C1385" s="56">
        <v>45863</v>
      </c>
      <c r="F1385" s="311" t="s">
        <v>1584</v>
      </c>
      <c r="G1385" t="s">
        <v>1554</v>
      </c>
    </row>
    <row r="1386" spans="1:7">
      <c r="A1386" s="123" t="s">
        <v>533</v>
      </c>
      <c r="B1386" s="157" t="s">
        <v>385</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126</v>
      </c>
      <c r="C1388" s="56">
        <v>45866</v>
      </c>
      <c r="D1388" s="43">
        <v>817</v>
      </c>
      <c r="G1388" t="s">
        <v>1554</v>
      </c>
    </row>
    <row r="1389" spans="1:7">
      <c r="A1389" s="141" t="s">
        <v>737</v>
      </c>
      <c r="B1389" s="304" t="s">
        <v>126</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138</v>
      </c>
      <c r="C1391" s="56">
        <v>45866</v>
      </c>
      <c r="D1391" s="155">
        <v>1181</v>
      </c>
      <c r="G1391" t="s">
        <v>1554</v>
      </c>
    </row>
    <row r="1392" spans="1:7">
      <c r="A1392" s="123" t="s">
        <v>533</v>
      </c>
      <c r="B1392" s="157" t="s">
        <v>385</v>
      </c>
      <c r="C1392" s="56">
        <v>45866</v>
      </c>
      <c r="D1392" s="43">
        <v>345</v>
      </c>
      <c r="G1392" t="s">
        <v>1554</v>
      </c>
    </row>
    <row r="1393" spans="1:7">
      <c r="A1393" s="618" t="s">
        <v>691</v>
      </c>
      <c r="B1393" s="69" t="s">
        <v>138</v>
      </c>
      <c r="C1393" s="56">
        <v>45867</v>
      </c>
      <c r="D1393" s="155">
        <v>1933</v>
      </c>
      <c r="G1393" t="s">
        <v>1554</v>
      </c>
    </row>
    <row r="1394" spans="1:7">
      <c r="A1394" s="430" t="s">
        <v>949</v>
      </c>
      <c r="B1394" s="247" t="s">
        <v>126</v>
      </c>
      <c r="C1394" s="56">
        <v>45867</v>
      </c>
      <c r="E1394" s="321">
        <v>5590</v>
      </c>
      <c r="F1394" s="43" t="s">
        <v>1586</v>
      </c>
      <c r="G1394" t="s">
        <v>1554</v>
      </c>
    </row>
    <row r="1395" spans="1:7">
      <c r="A1395" s="431" t="s">
        <v>737</v>
      </c>
      <c r="B1395" s="433" t="s">
        <v>126</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138</v>
      </c>
      <c r="C1397" s="56">
        <v>45868</v>
      </c>
      <c r="D1397" s="155">
        <v>1951</v>
      </c>
      <c r="G1397" t="s">
        <v>1554</v>
      </c>
    </row>
    <row r="1398" spans="1:7">
      <c r="A1398" s="141" t="s">
        <v>691</v>
      </c>
      <c r="B1398" s="304" t="s">
        <v>126</v>
      </c>
      <c r="C1398" s="56">
        <v>45868</v>
      </c>
      <c r="D1398" s="43">
        <v>902</v>
      </c>
      <c r="G1398" t="s">
        <v>1554</v>
      </c>
    </row>
    <row r="1399" spans="1:7">
      <c r="A1399" s="304" t="s">
        <v>949</v>
      </c>
      <c r="B1399" s="304" t="s">
        <v>126</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527</v>
      </c>
      <c r="B1402" s="318" t="s">
        <v>385</v>
      </c>
      <c r="C1402" s="56">
        <v>45868</v>
      </c>
      <c r="D1402" s="43">
        <v>314</v>
      </c>
      <c r="G1402" t="s">
        <v>1554</v>
      </c>
    </row>
    <row r="1403" spans="1:7">
      <c r="A1403" s="318" t="s">
        <v>815</v>
      </c>
      <c r="B1403" s="311" t="s">
        <v>1073</v>
      </c>
      <c r="C1403" s="56">
        <v>45869</v>
      </c>
      <c r="F1403" s="320" t="s">
        <v>1294</v>
      </c>
      <c r="G1403" t="s">
        <v>1554</v>
      </c>
    </row>
    <row r="1404" spans="1:7">
      <c r="A1404" s="141" t="s">
        <v>691</v>
      </c>
      <c r="B1404" s="141" t="s">
        <v>138</v>
      </c>
      <c r="C1404" s="56">
        <v>45869</v>
      </c>
      <c r="D1404" s="43">
        <v>725</v>
      </c>
      <c r="G1404" t="s">
        <v>1554</v>
      </c>
    </row>
    <row r="1405" spans="1:7">
      <c r="A1405" s="305" t="s">
        <v>691</v>
      </c>
      <c r="B1405" s="305" t="s">
        <v>126</v>
      </c>
      <c r="C1405" s="56">
        <v>45869</v>
      </c>
      <c r="D1405" s="43">
        <v>862</v>
      </c>
      <c r="G1405" t="s">
        <v>1554</v>
      </c>
    </row>
    <row r="1406" spans="1:7">
      <c r="A1406" s="311" t="s">
        <v>957</v>
      </c>
      <c r="B1406" s="311" t="s">
        <v>1590</v>
      </c>
      <c r="C1406" s="56">
        <v>45869</v>
      </c>
      <c r="E1406" s="321">
        <v>2691</v>
      </c>
      <c r="G1406" t="s">
        <v>1554</v>
      </c>
    </row>
    <row r="1407" spans="1:7">
      <c r="A1407" s="346" t="s">
        <v>541</v>
      </c>
      <c r="B1407" s="157" t="s">
        <v>385</v>
      </c>
      <c r="C1407" s="56">
        <v>45869</v>
      </c>
      <c r="D1407" s="155">
        <v>2390</v>
      </c>
      <c r="G1407" t="s">
        <v>1554</v>
      </c>
    </row>
    <row r="1408" spans="1:7">
      <c r="A1408" s="88" t="s">
        <v>815</v>
      </c>
      <c r="B1408" s="311" t="s">
        <v>1591</v>
      </c>
      <c r="C1408" s="56">
        <v>45870</v>
      </c>
      <c r="D1408" s="43">
        <v>318</v>
      </c>
      <c r="F1408" s="43" t="s">
        <v>1592</v>
      </c>
      <c r="G1408" t="s">
        <v>1593</v>
      </c>
    </row>
    <row r="1409" spans="1:7">
      <c r="A1409" s="88" t="s">
        <v>645</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541</v>
      </c>
      <c r="B1411" s="157" t="s">
        <v>385</v>
      </c>
      <c r="C1411" s="56">
        <v>45870</v>
      </c>
      <c r="D1411" s="155">
        <v>1377</v>
      </c>
      <c r="G1411" t="s">
        <v>1593</v>
      </c>
    </row>
    <row r="1412" spans="1:7">
      <c r="A1412" s="618" t="s">
        <v>691</v>
      </c>
      <c r="B1412" s="69" t="s">
        <v>1590</v>
      </c>
      <c r="C1412" s="56">
        <v>45873</v>
      </c>
      <c r="E1412" s="321">
        <v>13125</v>
      </c>
      <c r="G1412" t="s">
        <v>1593</v>
      </c>
    </row>
    <row r="1413" spans="1:7">
      <c r="A1413" s="432" t="s">
        <v>764</v>
      </c>
      <c r="B1413" s="438" t="s">
        <v>126</v>
      </c>
      <c r="C1413" s="56">
        <v>45873</v>
      </c>
      <c r="D1413" s="43">
        <v>918</v>
      </c>
      <c r="G1413" t="s">
        <v>1593</v>
      </c>
    </row>
    <row r="1414" spans="1:7">
      <c r="A1414" s="311" t="s">
        <v>954</v>
      </c>
      <c r="B1414" s="311" t="s">
        <v>126</v>
      </c>
      <c r="C1414" s="56">
        <v>45874</v>
      </c>
      <c r="D1414" s="155">
        <v>2675</v>
      </c>
      <c r="G1414" t="s">
        <v>1593</v>
      </c>
    </row>
    <row r="1415" spans="1:7">
      <c r="A1415" s="311" t="s">
        <v>541</v>
      </c>
      <c r="B1415" s="311" t="s">
        <v>385</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126</v>
      </c>
      <c r="C1417" s="56">
        <v>45875</v>
      </c>
      <c r="D1417" s="155">
        <v>1964</v>
      </c>
      <c r="G1417" t="s">
        <v>1593</v>
      </c>
    </row>
    <row r="1418" spans="1:7">
      <c r="A1418" s="549" t="s">
        <v>541</v>
      </c>
      <c r="B1418" s="311" t="s">
        <v>385</v>
      </c>
      <c r="C1418" s="56">
        <v>45875</v>
      </c>
      <c r="D1418" s="43">
        <v>840</v>
      </c>
      <c r="G1418" t="s">
        <v>1593</v>
      </c>
    </row>
    <row r="1419" spans="1:7">
      <c r="A1419" s="141" t="s">
        <v>527</v>
      </c>
      <c r="B1419" s="550" t="s">
        <v>385</v>
      </c>
      <c r="C1419" s="56">
        <v>45875</v>
      </c>
      <c r="F1419" s="43" t="s">
        <v>1596</v>
      </c>
      <c r="G1419" t="s">
        <v>1593</v>
      </c>
    </row>
    <row r="1420" spans="1:7">
      <c r="A1420" s="387" t="s">
        <v>954</v>
      </c>
      <c r="B1420" s="415" t="s">
        <v>126</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126</v>
      </c>
      <c r="C1422" s="56">
        <v>45876</v>
      </c>
      <c r="D1422" s="43">
        <v>674</v>
      </c>
      <c r="G1422" t="s">
        <v>1593</v>
      </c>
    </row>
    <row r="1423" spans="1:7">
      <c r="A1423" s="525" t="s">
        <v>541</v>
      </c>
      <c r="B1423" s="525" t="s">
        <v>385</v>
      </c>
      <c r="C1423" s="56">
        <v>45876</v>
      </c>
      <c r="D1423" s="43">
        <v>531</v>
      </c>
      <c r="G1423" t="s">
        <v>1593</v>
      </c>
    </row>
    <row r="1424" spans="1:7">
      <c r="A1424" s="247" t="s">
        <v>1092</v>
      </c>
      <c r="B1424" s="157" t="s">
        <v>1073</v>
      </c>
      <c r="C1424" s="56">
        <v>45877</v>
      </c>
      <c r="F1424" s="43" t="s">
        <v>1567</v>
      </c>
      <c r="G1424" t="s">
        <v>1593</v>
      </c>
    </row>
    <row r="1425" spans="1:7">
      <c r="A1425" s="311" t="s">
        <v>954</v>
      </c>
      <c r="B1425" s="311" t="s">
        <v>126</v>
      </c>
      <c r="C1425" s="56">
        <v>45877</v>
      </c>
      <c r="F1425" s="311" t="s">
        <v>1217</v>
      </c>
      <c r="G1425" t="s">
        <v>1593</v>
      </c>
    </row>
    <row r="1426" spans="1:7">
      <c r="A1426" s="551" t="s">
        <v>541</v>
      </c>
      <c r="B1426" s="311" t="s">
        <v>385</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126</v>
      </c>
      <c r="C1428" s="56">
        <v>45880</v>
      </c>
      <c r="D1428" s="155">
        <v>1175</v>
      </c>
      <c r="G1428" t="s">
        <v>1593</v>
      </c>
    </row>
    <row r="1429" spans="1:7">
      <c r="A1429" s="304" t="s">
        <v>773</v>
      </c>
      <c r="B1429" s="304" t="s">
        <v>1073</v>
      </c>
      <c r="C1429" s="56">
        <v>45880</v>
      </c>
      <c r="D1429" s="43">
        <v>288</v>
      </c>
      <c r="G1429" t="s">
        <v>1593</v>
      </c>
    </row>
    <row r="1430" spans="1:7">
      <c r="A1430" s="551" t="s">
        <v>541</v>
      </c>
      <c r="B1430" s="311" t="s">
        <v>385</v>
      </c>
      <c r="C1430" s="56">
        <v>45880</v>
      </c>
      <c r="D1430" s="43">
        <v>571</v>
      </c>
      <c r="G1430" t="s">
        <v>1593</v>
      </c>
    </row>
    <row r="1431" spans="1:7">
      <c r="A1431" s="88" t="s">
        <v>1092</v>
      </c>
      <c r="B1431" s="398" t="s">
        <v>1073</v>
      </c>
      <c r="C1431" s="56">
        <v>45881</v>
      </c>
      <c r="D1431" s="43">
        <v>35</v>
      </c>
      <c r="G1431" t="s">
        <v>1593</v>
      </c>
    </row>
    <row r="1432" spans="1:7">
      <c r="A1432" s="396" t="s">
        <v>764</v>
      </c>
      <c r="B1432" s="228" t="s">
        <v>126</v>
      </c>
      <c r="C1432" s="56">
        <v>45881</v>
      </c>
      <c r="D1432" s="155">
        <v>1154</v>
      </c>
      <c r="G1432" t="s">
        <v>1593</v>
      </c>
    </row>
    <row r="1433" spans="1:7">
      <c r="A1433" s="238" t="s">
        <v>773</v>
      </c>
      <c r="B1433" s="131" t="s">
        <v>1073</v>
      </c>
      <c r="C1433" s="56">
        <v>45881</v>
      </c>
      <c r="D1433" s="43">
        <v>380</v>
      </c>
      <c r="G1433" t="s">
        <v>1593</v>
      </c>
    </row>
    <row r="1434" spans="1:7">
      <c r="A1434" s="91" t="s">
        <v>770</v>
      </c>
      <c r="B1434" s="169" t="s">
        <v>126</v>
      </c>
      <c r="C1434" s="56">
        <v>45881</v>
      </c>
      <c r="D1434" s="43">
        <v>111</v>
      </c>
      <c r="F1434" s="43" t="s">
        <v>1543</v>
      </c>
      <c r="G1434" t="s">
        <v>1593</v>
      </c>
    </row>
    <row r="1435" spans="1:7">
      <c r="A1435" s="247" t="s">
        <v>384</v>
      </c>
      <c r="B1435" s="311" t="s">
        <v>385</v>
      </c>
      <c r="C1435" s="56">
        <v>45881</v>
      </c>
      <c r="D1435" s="43">
        <v>319</v>
      </c>
      <c r="G1435" t="s">
        <v>1593</v>
      </c>
    </row>
    <row r="1436" spans="1:7">
      <c r="A1436" s="551" t="s">
        <v>541</v>
      </c>
      <c r="B1436" s="311" t="s">
        <v>385</v>
      </c>
      <c r="C1436" s="56">
        <v>45881</v>
      </c>
      <c r="D1436" s="155">
        <v>1293</v>
      </c>
      <c r="G1436" t="s">
        <v>1593</v>
      </c>
    </row>
    <row r="1437" spans="1:7">
      <c r="A1437" s="247" t="s">
        <v>948</v>
      </c>
      <c r="B1437" s="157" t="s">
        <v>126</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126</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126</v>
      </c>
      <c r="C1441" s="56">
        <v>45882</v>
      </c>
      <c r="D1441" s="155">
        <v>1031</v>
      </c>
      <c r="F1441" s="43" t="s">
        <v>1600</v>
      </c>
      <c r="G1441" t="s">
        <v>1593</v>
      </c>
    </row>
    <row r="1442" spans="1:7">
      <c r="A1442" s="305" t="s">
        <v>770</v>
      </c>
      <c r="B1442" s="305" t="s">
        <v>126</v>
      </c>
      <c r="C1442" s="56">
        <v>45882</v>
      </c>
      <c r="D1442" s="43">
        <v>12</v>
      </c>
      <c r="F1442" s="305" t="s">
        <v>1514</v>
      </c>
      <c r="G1442" t="s">
        <v>1593</v>
      </c>
    </row>
    <row r="1443" spans="1:7">
      <c r="A1443" s="247" t="s">
        <v>541</v>
      </c>
      <c r="B1443" s="311" t="s">
        <v>385</v>
      </c>
      <c r="C1443" s="56">
        <v>45882</v>
      </c>
      <c r="D1443" s="43">
        <v>540</v>
      </c>
      <c r="G1443" t="s">
        <v>1593</v>
      </c>
    </row>
    <row r="1444" spans="1:7">
      <c r="A1444" s="88" t="s">
        <v>1092</v>
      </c>
      <c r="B1444" s="398" t="s">
        <v>1073</v>
      </c>
      <c r="C1444" s="56">
        <v>45883</v>
      </c>
      <c r="D1444" s="43">
        <v>144</v>
      </c>
      <c r="G1444" t="s">
        <v>1593</v>
      </c>
    </row>
    <row r="1445" spans="1:7">
      <c r="A1445" s="396" t="s">
        <v>1113</v>
      </c>
      <c r="B1445" s="228" t="s">
        <v>126</v>
      </c>
      <c r="C1445" s="56">
        <v>45883</v>
      </c>
      <c r="F1445" s="43" t="s">
        <v>1439</v>
      </c>
      <c r="G1445" t="s">
        <v>1593</v>
      </c>
    </row>
    <row r="1446" spans="1:7">
      <c r="A1446" s="238" t="s">
        <v>773</v>
      </c>
      <c r="B1446" s="131" t="s">
        <v>1073</v>
      </c>
      <c r="C1446" s="56">
        <v>45883</v>
      </c>
      <c r="D1446" s="43">
        <v>163</v>
      </c>
      <c r="G1446" t="s">
        <v>1593</v>
      </c>
    </row>
    <row r="1447" spans="1:7">
      <c r="A1447" s="551" t="s">
        <v>541</v>
      </c>
      <c r="B1447" s="311" t="s">
        <v>385</v>
      </c>
      <c r="C1447" s="56">
        <v>45883</v>
      </c>
      <c r="D1447" s="43">
        <v>554</v>
      </c>
      <c r="G1447" t="s">
        <v>1593</v>
      </c>
    </row>
    <row r="1448" spans="1:7">
      <c r="A1448" s="43" t="s">
        <v>267</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541</v>
      </c>
      <c r="B1453" s="311" t="s">
        <v>385</v>
      </c>
      <c r="C1453" s="56">
        <v>45884</v>
      </c>
      <c r="D1453" s="43">
        <v>89</v>
      </c>
      <c r="G1453" t="s">
        <v>1593</v>
      </c>
    </row>
    <row r="1454" spans="1:7">
      <c r="A1454" s="304" t="s">
        <v>267</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126</v>
      </c>
      <c r="C1459" s="56">
        <v>45887</v>
      </c>
      <c r="D1459" s="155">
        <v>1109</v>
      </c>
      <c r="F1459" s="43" t="s">
        <v>1606</v>
      </c>
      <c r="G1459" t="s">
        <v>1593</v>
      </c>
    </row>
    <row r="1460" spans="1:7">
      <c r="A1460" s="551" t="s">
        <v>541</v>
      </c>
      <c r="B1460" s="311" t="s">
        <v>385</v>
      </c>
      <c r="C1460" s="56">
        <v>45887</v>
      </c>
      <c r="D1460" s="43">
        <v>377</v>
      </c>
      <c r="G1460" t="s">
        <v>1593</v>
      </c>
    </row>
    <row r="1461" spans="1:7">
      <c r="A1461" s="304" t="s">
        <v>267</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126</v>
      </c>
      <c r="C1463" s="56">
        <v>45888</v>
      </c>
      <c r="D1463" s="155">
        <v>1456</v>
      </c>
      <c r="G1463" t="s">
        <v>1593</v>
      </c>
    </row>
    <row r="1464" spans="1:7">
      <c r="A1464" s="315" t="s">
        <v>784</v>
      </c>
      <c r="B1464" s="315" t="s">
        <v>1073</v>
      </c>
      <c r="C1464" s="56">
        <v>45888</v>
      </c>
      <c r="D1464" s="43">
        <v>416</v>
      </c>
      <c r="G1464" t="s">
        <v>1593</v>
      </c>
    </row>
    <row r="1465" spans="1:7">
      <c r="A1465" s="525" t="s">
        <v>965</v>
      </c>
      <c r="B1465" s="311" t="s">
        <v>126</v>
      </c>
      <c r="C1465" s="56">
        <v>45888</v>
      </c>
      <c r="D1465" s="155">
        <v>1460</v>
      </c>
      <c r="F1465" s="43" t="s">
        <v>1607</v>
      </c>
      <c r="G1465" t="s">
        <v>1593</v>
      </c>
    </row>
    <row r="1466" spans="1:7">
      <c r="A1466" s="551" t="s">
        <v>541</v>
      </c>
      <c r="B1466" s="311" t="s">
        <v>385</v>
      </c>
      <c r="C1466" s="56">
        <v>45888</v>
      </c>
      <c r="D1466" s="43">
        <v>408</v>
      </c>
      <c r="F1466" s="115"/>
      <c r="G1466" t="s">
        <v>1593</v>
      </c>
    </row>
    <row r="1467" spans="1:7">
      <c r="A1467" s="583" t="s">
        <v>538</v>
      </c>
      <c r="B1467" s="318" t="s">
        <v>1073</v>
      </c>
      <c r="C1467" s="56">
        <v>45888</v>
      </c>
      <c r="F1467" s="141" t="s">
        <v>1608</v>
      </c>
      <c r="G1467" t="s">
        <v>1593</v>
      </c>
    </row>
    <row r="1468" spans="1:7">
      <c r="A1468" s="247" t="s">
        <v>527</v>
      </c>
      <c r="B1468" s="311" t="s">
        <v>385</v>
      </c>
      <c r="C1468" s="56">
        <v>45888</v>
      </c>
      <c r="D1468" s="43">
        <v>430</v>
      </c>
      <c r="F1468" s="169"/>
      <c r="G1468" t="s">
        <v>1593</v>
      </c>
    </row>
    <row r="1469" spans="1:7">
      <c r="A1469" s="88" t="s">
        <v>1092</v>
      </c>
      <c r="B1469" s="398" t="s">
        <v>1073</v>
      </c>
      <c r="C1469" s="56">
        <v>45889</v>
      </c>
      <c r="D1469" s="43">
        <v>181</v>
      </c>
      <c r="G1469" t="s">
        <v>1593</v>
      </c>
    </row>
    <row r="1470" spans="1:7">
      <c r="A1470" s="88" t="s">
        <v>508</v>
      </c>
      <c r="B1470" s="398" t="s">
        <v>138</v>
      </c>
      <c r="C1470" s="56">
        <v>45889</v>
      </c>
      <c r="F1470" s="320" t="s">
        <v>1567</v>
      </c>
      <c r="G1470" t="s">
        <v>1593</v>
      </c>
    </row>
    <row r="1471" spans="1:7">
      <c r="A1471" s="396" t="s">
        <v>1115</v>
      </c>
      <c r="B1471" s="228" t="s">
        <v>126</v>
      </c>
      <c r="C1471" s="56">
        <v>45889</v>
      </c>
      <c r="D1471" s="155">
        <v>1420</v>
      </c>
      <c r="G1471" t="s">
        <v>1593</v>
      </c>
    </row>
    <row r="1472" spans="1:7">
      <c r="A1472" s="238" t="s">
        <v>784</v>
      </c>
      <c r="B1472" s="131" t="s">
        <v>1073</v>
      </c>
      <c r="C1472" s="56">
        <v>45889</v>
      </c>
      <c r="D1472" s="43">
        <v>216</v>
      </c>
      <c r="G1472" t="s">
        <v>1593</v>
      </c>
    </row>
    <row r="1473" spans="1:7">
      <c r="A1473" s="580" t="s">
        <v>965</v>
      </c>
      <c r="B1473" s="322" t="s">
        <v>126</v>
      </c>
      <c r="C1473" s="56">
        <v>45889</v>
      </c>
      <c r="D1473" s="155">
        <v>1428</v>
      </c>
      <c r="F1473" s="43" t="s">
        <v>1514</v>
      </c>
      <c r="G1473" t="s">
        <v>1593</v>
      </c>
    </row>
    <row r="1474" spans="1:7">
      <c r="A1474" s="551" t="s">
        <v>541</v>
      </c>
      <c r="B1474" s="311" t="s">
        <v>385</v>
      </c>
      <c r="C1474" s="56">
        <v>45889</v>
      </c>
      <c r="D1474" s="43">
        <v>607</v>
      </c>
      <c r="F1474" s="43" t="s">
        <v>1609</v>
      </c>
      <c r="G1474" t="s">
        <v>1593</v>
      </c>
    </row>
    <row r="1475" spans="1:7">
      <c r="A1475" s="583" t="s">
        <v>538</v>
      </c>
      <c r="B1475" s="318" t="s">
        <v>1073</v>
      </c>
      <c r="C1475" s="56">
        <v>45889</v>
      </c>
      <c r="D1475" s="43">
        <v>499</v>
      </c>
      <c r="G1475" t="s">
        <v>1593</v>
      </c>
    </row>
    <row r="1476" spans="1:7">
      <c r="A1476" s="88" t="s">
        <v>1092</v>
      </c>
      <c r="B1476" s="398" t="s">
        <v>1073</v>
      </c>
      <c r="C1476" s="56">
        <v>45890</v>
      </c>
      <c r="D1476" s="43">
        <v>82</v>
      </c>
      <c r="G1476" t="s">
        <v>1593</v>
      </c>
    </row>
    <row r="1477" spans="1:7">
      <c r="A1477" s="88" t="s">
        <v>508</v>
      </c>
      <c r="B1477" s="398" t="s">
        <v>138</v>
      </c>
      <c r="C1477" s="56">
        <v>45890</v>
      </c>
      <c r="F1477" s="43" t="s">
        <v>1350</v>
      </c>
      <c r="G1477" t="s">
        <v>1593</v>
      </c>
    </row>
    <row r="1478" spans="1:7">
      <c r="A1478" s="396" t="s">
        <v>1115</v>
      </c>
      <c r="B1478" s="228" t="s">
        <v>126</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126</v>
      </c>
      <c r="C1480" s="56">
        <v>45890</v>
      </c>
      <c r="D1480" s="155">
        <v>1654</v>
      </c>
      <c r="G1480" t="s">
        <v>1593</v>
      </c>
    </row>
    <row r="1481" spans="1:7">
      <c r="A1481" s="69" t="s">
        <v>1002</v>
      </c>
      <c r="B1481" s="228" t="s">
        <v>1598</v>
      </c>
      <c r="C1481" s="56">
        <v>45890</v>
      </c>
      <c r="E1481" s="321">
        <v>1109</v>
      </c>
      <c r="F1481" s="43" t="s">
        <v>1610</v>
      </c>
      <c r="G1481" t="s">
        <v>1593</v>
      </c>
    </row>
    <row r="1482" spans="1:7">
      <c r="A1482" s="551" t="s">
        <v>541</v>
      </c>
      <c r="B1482" s="311" t="s">
        <v>385</v>
      </c>
      <c r="C1482" s="56">
        <v>45890</v>
      </c>
      <c r="D1482" s="155">
        <v>1022</v>
      </c>
      <c r="G1482" t="s">
        <v>1593</v>
      </c>
    </row>
    <row r="1483" spans="1:7">
      <c r="A1483" s="583" t="s">
        <v>538</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138</v>
      </c>
      <c r="C1485" s="56">
        <v>45891</v>
      </c>
      <c r="D1485" s="43">
        <v>878</v>
      </c>
      <c r="F1485" s="43" t="s">
        <v>1611</v>
      </c>
      <c r="G1485" t="s">
        <v>1593</v>
      </c>
    </row>
    <row r="1486" spans="1:7">
      <c r="A1486" s="396" t="s">
        <v>1115</v>
      </c>
      <c r="B1486" s="228" t="s">
        <v>126</v>
      </c>
      <c r="C1486" s="56">
        <v>45891</v>
      </c>
      <c r="D1486" s="155">
        <v>1081</v>
      </c>
      <c r="G1486" t="s">
        <v>1593</v>
      </c>
    </row>
    <row r="1487" spans="1:7">
      <c r="A1487" s="238" t="s">
        <v>784</v>
      </c>
      <c r="B1487" s="131" t="s">
        <v>1073</v>
      </c>
      <c r="C1487" s="56">
        <v>45891</v>
      </c>
      <c r="E1487" s="321">
        <v>2001</v>
      </c>
      <c r="F1487" s="43" t="s">
        <v>1612</v>
      </c>
      <c r="G1487" t="s">
        <v>1593</v>
      </c>
    </row>
    <row r="1488" spans="1:7">
      <c r="A1488" s="551" t="s">
        <v>541</v>
      </c>
      <c r="B1488" s="311" t="s">
        <v>385</v>
      </c>
      <c r="C1488" s="56">
        <v>45891</v>
      </c>
      <c r="E1488" s="321">
        <v>6090</v>
      </c>
      <c r="F1488" s="43" t="s">
        <v>1613</v>
      </c>
      <c r="G1488" t="s">
        <v>1593</v>
      </c>
    </row>
    <row r="1489" spans="1:7">
      <c r="A1489" s="583" t="s">
        <v>538</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138</v>
      </c>
      <c r="C1491" s="56">
        <v>45894</v>
      </c>
      <c r="D1491" s="43">
        <v>715</v>
      </c>
      <c r="G1491" t="s">
        <v>1593</v>
      </c>
    </row>
    <row r="1492" spans="1:7">
      <c r="A1492" s="396" t="s">
        <v>1115</v>
      </c>
      <c r="B1492" s="228" t="s">
        <v>126</v>
      </c>
      <c r="C1492" s="56">
        <v>45894</v>
      </c>
      <c r="D1492" s="43">
        <v>809</v>
      </c>
      <c r="G1492" t="s">
        <v>1593</v>
      </c>
    </row>
    <row r="1493" spans="1:7">
      <c r="A1493" s="238" t="s">
        <v>781</v>
      </c>
      <c r="B1493" s="131" t="s">
        <v>1073</v>
      </c>
      <c r="C1493" s="56">
        <v>45894</v>
      </c>
      <c r="F1493" s="311" t="s">
        <v>1614</v>
      </c>
      <c r="G1493" t="s">
        <v>1593</v>
      </c>
    </row>
    <row r="1494" spans="1:7">
      <c r="A1494" s="580" t="s">
        <v>968</v>
      </c>
      <c r="B1494" s="322" t="s">
        <v>126</v>
      </c>
      <c r="C1494" s="56">
        <v>45894</v>
      </c>
      <c r="D1494" s="43">
        <v>735</v>
      </c>
      <c r="F1494" s="43" t="s">
        <v>1615</v>
      </c>
      <c r="G1494" t="s">
        <v>1593</v>
      </c>
    </row>
    <row r="1495" spans="1:7">
      <c r="A1495" s="551" t="s">
        <v>541</v>
      </c>
      <c r="B1495" s="311" t="s">
        <v>385</v>
      </c>
      <c r="C1495" s="56">
        <v>45894</v>
      </c>
      <c r="D1495" s="43">
        <v>639</v>
      </c>
      <c r="G1495" t="s">
        <v>1593</v>
      </c>
    </row>
    <row r="1496" spans="1:7">
      <c r="A1496" s="583" t="s">
        <v>538</v>
      </c>
      <c r="B1496" s="318" t="s">
        <v>1073</v>
      </c>
      <c r="C1496" s="56">
        <v>45894</v>
      </c>
      <c r="D1496" s="43">
        <v>503</v>
      </c>
      <c r="G1496" t="s">
        <v>1593</v>
      </c>
    </row>
    <row r="1497" spans="1:7">
      <c r="A1497" s="88" t="s">
        <v>1092</v>
      </c>
      <c r="B1497" s="398" t="s">
        <v>1073</v>
      </c>
      <c r="C1497" s="56">
        <v>45895</v>
      </c>
      <c r="F1497" s="43" t="s">
        <v>1350</v>
      </c>
      <c r="G1497" t="s">
        <v>1593</v>
      </c>
    </row>
    <row r="1498" spans="1:7">
      <c r="A1498" s="88" t="s">
        <v>508</v>
      </c>
      <c r="B1498" s="398" t="s">
        <v>138</v>
      </c>
      <c r="C1498" s="56">
        <v>45895</v>
      </c>
      <c r="D1498" s="155">
        <v>1009</v>
      </c>
      <c r="F1498" s="43" t="s">
        <v>1616</v>
      </c>
      <c r="G1498" t="s">
        <v>1593</v>
      </c>
    </row>
    <row r="1499" spans="1:7">
      <c r="A1499" s="396" t="s">
        <v>1115</v>
      </c>
      <c r="B1499" s="228" t="s">
        <v>126</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126</v>
      </c>
      <c r="C1502" s="56">
        <v>45895</v>
      </c>
      <c r="D1502" s="43">
        <v>558</v>
      </c>
      <c r="F1502" s="337" t="s">
        <v>1150</v>
      </c>
      <c r="G1502" t="s">
        <v>1593</v>
      </c>
    </row>
    <row r="1503" spans="1:7">
      <c r="A1503" s="618" t="s">
        <v>978</v>
      </c>
      <c r="B1503" s="43" t="s">
        <v>126</v>
      </c>
      <c r="C1503" s="56">
        <v>45895</v>
      </c>
      <c r="D1503" s="155">
        <v>1224</v>
      </c>
      <c r="F1503" s="43" t="s">
        <v>1617</v>
      </c>
      <c r="G1503" t="s">
        <v>1593</v>
      </c>
    </row>
    <row r="1504" spans="1:7">
      <c r="A1504" s="583" t="s">
        <v>538</v>
      </c>
      <c r="B1504" s="631" t="s">
        <v>1073</v>
      </c>
      <c r="C1504" s="56">
        <v>45895</v>
      </c>
      <c r="D1504" s="43">
        <v>295</v>
      </c>
      <c r="G1504" t="s">
        <v>1593</v>
      </c>
    </row>
    <row r="1505" spans="1:7">
      <c r="A1505" s="628" t="s">
        <v>533</v>
      </c>
      <c r="B1505" s="349" t="s">
        <v>385</v>
      </c>
      <c r="C1505" s="56">
        <v>45895</v>
      </c>
      <c r="F1505" s="43" t="s">
        <v>1294</v>
      </c>
      <c r="G1505" t="s">
        <v>1593</v>
      </c>
    </row>
    <row r="1506" spans="1:7">
      <c r="A1506" s="396" t="s">
        <v>981</v>
      </c>
      <c r="B1506" s="228" t="s">
        <v>138</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126</v>
      </c>
      <c r="C1509" s="56">
        <v>45896</v>
      </c>
      <c r="D1509" s="155">
        <v>1248</v>
      </c>
      <c r="F1509" s="43" t="s">
        <v>1620</v>
      </c>
      <c r="G1509" t="s">
        <v>1593</v>
      </c>
    </row>
    <row r="1510" spans="1:7">
      <c r="A1510" s="618" t="s">
        <v>978</v>
      </c>
      <c r="B1510" s="43" t="s">
        <v>126</v>
      </c>
      <c r="C1510" s="56">
        <v>45896</v>
      </c>
      <c r="D1510" s="43">
        <v>967</v>
      </c>
      <c r="F1510" s="43" t="s">
        <v>1621</v>
      </c>
      <c r="G1510" t="s">
        <v>1593</v>
      </c>
    </row>
    <row r="1511" spans="1:7">
      <c r="A1511" s="583" t="s">
        <v>267</v>
      </c>
      <c r="B1511" s="631" t="s">
        <v>1073</v>
      </c>
      <c r="C1511" s="56">
        <v>45896</v>
      </c>
      <c r="D1511" s="43">
        <v>400</v>
      </c>
      <c r="G1511" t="s">
        <v>1593</v>
      </c>
    </row>
    <row r="1512" spans="1:7">
      <c r="A1512" s="628" t="s">
        <v>384</v>
      </c>
      <c r="B1512" s="348" t="s">
        <v>385</v>
      </c>
      <c r="C1512" s="56">
        <v>45896</v>
      </c>
      <c r="D1512" s="43">
        <v>358</v>
      </c>
      <c r="F1512" s="43" t="s">
        <v>1622</v>
      </c>
      <c r="G1512" t="s">
        <v>1593</v>
      </c>
    </row>
    <row r="1513" spans="1:7">
      <c r="A1513" s="643" t="s">
        <v>533</v>
      </c>
      <c r="B1513" s="141" t="s">
        <v>385</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126</v>
      </c>
      <c r="C1516" s="56">
        <v>45897</v>
      </c>
      <c r="D1516" s="155">
        <v>1453</v>
      </c>
      <c r="F1516" s="43" t="s">
        <v>1624</v>
      </c>
      <c r="G1516" t="s">
        <v>1593</v>
      </c>
    </row>
    <row r="1517" spans="1:7">
      <c r="A1517" s="69" t="s">
        <v>984</v>
      </c>
      <c r="B1517" s="43" t="s">
        <v>126</v>
      </c>
      <c r="C1517" s="56">
        <v>45897</v>
      </c>
      <c r="D1517" s="155">
        <v>1260</v>
      </c>
      <c r="F1517" s="43" t="s">
        <v>1625</v>
      </c>
      <c r="G1517" t="s">
        <v>1593</v>
      </c>
    </row>
    <row r="1518" spans="1:7">
      <c r="A1518" s="551" t="s">
        <v>541</v>
      </c>
      <c r="B1518" s="311" t="s">
        <v>385</v>
      </c>
      <c r="C1518" s="56">
        <v>45897</v>
      </c>
      <c r="F1518" s="43" t="s">
        <v>1212</v>
      </c>
      <c r="G1518" t="s">
        <v>1593</v>
      </c>
    </row>
    <row r="1519" spans="1:7">
      <c r="A1519" s="583" t="s">
        <v>267</v>
      </c>
      <c r="B1519" s="631" t="s">
        <v>1073</v>
      </c>
      <c r="C1519" s="56">
        <v>45897</v>
      </c>
      <c r="D1519" s="43">
        <v>320</v>
      </c>
      <c r="G1519" t="s">
        <v>1593</v>
      </c>
    </row>
    <row r="1520" spans="1:7">
      <c r="A1520" s="628" t="s">
        <v>384</v>
      </c>
      <c r="B1520" s="349" t="s">
        <v>385</v>
      </c>
      <c r="C1520" s="56">
        <v>45897</v>
      </c>
      <c r="F1520" s="311" t="s">
        <v>1350</v>
      </c>
      <c r="G1520" t="s">
        <v>1593</v>
      </c>
    </row>
    <row r="1521" spans="1:7">
      <c r="A1521" s="123" t="s">
        <v>533</v>
      </c>
      <c r="B1521" s="348" t="s">
        <v>385</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533</v>
      </c>
      <c r="B1524" s="311" t="s">
        <v>385</v>
      </c>
      <c r="C1524" s="56">
        <v>45898</v>
      </c>
      <c r="F1524" s="141" t="s">
        <v>1200</v>
      </c>
      <c r="G1524" t="s">
        <v>1593</v>
      </c>
    </row>
    <row r="1525" spans="1:7">
      <c r="A1525" s="326" t="s">
        <v>538</v>
      </c>
      <c r="B1525" s="315" t="s">
        <v>1073</v>
      </c>
      <c r="C1525" s="56">
        <v>45898</v>
      </c>
      <c r="D1525" s="43">
        <v>6</v>
      </c>
      <c r="F1525" s="43" t="s">
        <v>1628</v>
      </c>
      <c r="G1525" t="s">
        <v>1593</v>
      </c>
    </row>
    <row r="1526" spans="1:7">
      <c r="A1526" s="337" t="s">
        <v>541</v>
      </c>
      <c r="B1526" s="311" t="s">
        <v>385</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126</v>
      </c>
      <c r="C1530" s="56">
        <v>45902</v>
      </c>
      <c r="D1530" s="43">
        <v>977</v>
      </c>
      <c r="F1530" s="43" t="s">
        <v>1633</v>
      </c>
      <c r="G1530" t="s">
        <v>1631</v>
      </c>
    </row>
    <row r="1531" spans="1:7">
      <c r="A1531" s="247" t="s">
        <v>538</v>
      </c>
      <c r="B1531" s="315" t="s">
        <v>1073</v>
      </c>
      <c r="C1531" s="56">
        <v>45902</v>
      </c>
      <c r="D1531" s="43">
        <v>15</v>
      </c>
      <c r="F1531" s="43" t="s">
        <v>1634</v>
      </c>
      <c r="G1531" t="s">
        <v>1631</v>
      </c>
    </row>
    <row r="1532" spans="1:7">
      <c r="A1532" s="247" t="s">
        <v>533</v>
      </c>
      <c r="B1532" s="311" t="s">
        <v>385</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126</v>
      </c>
      <c r="C1535" s="56">
        <v>45903</v>
      </c>
      <c r="D1535" s="155">
        <v>1491</v>
      </c>
      <c r="F1535" s="43" t="s">
        <v>1637</v>
      </c>
      <c r="G1535" t="s">
        <v>1631</v>
      </c>
    </row>
    <row r="1536" spans="1:7">
      <c r="A1536" s="315" t="s">
        <v>968</v>
      </c>
      <c r="B1536" s="315" t="s">
        <v>126</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538</v>
      </c>
      <c r="B1539" s="318" t="s">
        <v>1073</v>
      </c>
      <c r="C1539" s="56">
        <v>45903</v>
      </c>
      <c r="D1539" s="43">
        <v>65</v>
      </c>
      <c r="F1539" s="141" t="s">
        <v>1641</v>
      </c>
      <c r="G1539" t="s">
        <v>1631</v>
      </c>
    </row>
    <row r="1540" spans="1:7">
      <c r="A1540" s="648" t="s">
        <v>533</v>
      </c>
      <c r="B1540" s="348" t="s">
        <v>385</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126</v>
      </c>
      <c r="C1543" s="56">
        <v>45904</v>
      </c>
      <c r="D1543" s="155">
        <v>1549</v>
      </c>
      <c r="F1543" s="43" t="s">
        <v>1643</v>
      </c>
      <c r="G1543" t="s">
        <v>1631</v>
      </c>
    </row>
    <row r="1544" spans="1:7">
      <c r="A1544" s="618" t="s">
        <v>552</v>
      </c>
      <c r="B1544" s="43" t="s">
        <v>126</v>
      </c>
      <c r="C1544" s="56">
        <v>45904</v>
      </c>
      <c r="D1544" s="43">
        <v>903</v>
      </c>
      <c r="F1544" s="43" t="s">
        <v>1644</v>
      </c>
      <c r="G1544" t="s">
        <v>1631</v>
      </c>
    </row>
    <row r="1545" spans="1:7">
      <c r="A1545" s="653" t="s">
        <v>732</v>
      </c>
      <c r="B1545" s="315" t="s">
        <v>1073</v>
      </c>
      <c r="C1545" s="56">
        <v>45904</v>
      </c>
      <c r="E1545" s="139">
        <v>800</v>
      </c>
      <c r="G1545" t="s">
        <v>1631</v>
      </c>
    </row>
    <row r="1546" spans="1:7">
      <c r="A1546" s="247" t="s">
        <v>384</v>
      </c>
      <c r="B1546" s="311" t="s">
        <v>1073</v>
      </c>
      <c r="C1546" s="56">
        <v>45904</v>
      </c>
      <c r="D1546" s="43">
        <v>99</v>
      </c>
      <c r="F1546" s="43" t="s">
        <v>1645</v>
      </c>
      <c r="G1546" t="s">
        <v>1631</v>
      </c>
    </row>
    <row r="1547" spans="1:7">
      <c r="A1547" s="583" t="s">
        <v>538</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543</v>
      </c>
      <c r="B1549" s="655" t="s">
        <v>1073</v>
      </c>
      <c r="C1549" s="56">
        <v>45905</v>
      </c>
      <c r="D1549" s="43">
        <v>285</v>
      </c>
      <c r="G1549" t="s">
        <v>1631</v>
      </c>
    </row>
    <row r="1550" spans="1:7">
      <c r="A1550" s="247" t="s">
        <v>965</v>
      </c>
      <c r="B1550" s="731" t="s">
        <v>126</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552</v>
      </c>
      <c r="B1552" s="228" t="s">
        <v>138</v>
      </c>
      <c r="C1552" s="56">
        <v>45908</v>
      </c>
      <c r="D1552" s="43">
        <v>254</v>
      </c>
      <c r="F1552" s="43" t="s">
        <v>1648</v>
      </c>
      <c r="G1552" t="s">
        <v>1631</v>
      </c>
    </row>
    <row r="1553" spans="1:7">
      <c r="A1553" s="683" t="s">
        <v>1115</v>
      </c>
      <c r="B1553" s="131" t="s">
        <v>126</v>
      </c>
      <c r="C1553" s="56">
        <v>45908</v>
      </c>
      <c r="D1553" s="155">
        <v>2498</v>
      </c>
      <c r="G1553" t="s">
        <v>1631</v>
      </c>
    </row>
    <row r="1554" spans="1:7">
      <c r="A1554" s="69" t="s">
        <v>960</v>
      </c>
      <c r="B1554" s="684" t="s">
        <v>126</v>
      </c>
      <c r="C1554" s="56">
        <v>45908</v>
      </c>
      <c r="D1554" s="43">
        <v>918</v>
      </c>
      <c r="F1554" s="43" t="s">
        <v>1649</v>
      </c>
      <c r="G1554" t="s">
        <v>1631</v>
      </c>
    </row>
    <row r="1555" spans="1:7">
      <c r="A1555" s="396" t="s">
        <v>552</v>
      </c>
      <c r="B1555" s="228" t="s">
        <v>138</v>
      </c>
      <c r="C1555" s="56">
        <v>45909</v>
      </c>
      <c r="D1555" s="155">
        <v>1686</v>
      </c>
      <c r="F1555" s="43" t="s">
        <v>1650</v>
      </c>
      <c r="G1555" t="s">
        <v>1631</v>
      </c>
    </row>
    <row r="1556" spans="1:7">
      <c r="A1556" s="683" t="s">
        <v>1115</v>
      </c>
      <c r="B1556" s="131" t="s">
        <v>126</v>
      </c>
      <c r="C1556" s="56">
        <v>45909</v>
      </c>
      <c r="D1556" s="155">
        <v>1192</v>
      </c>
      <c r="F1556" s="43" t="s">
        <v>1651</v>
      </c>
      <c r="G1556" t="s">
        <v>1631</v>
      </c>
    </row>
    <row r="1557" spans="1:7">
      <c r="A1557" s="69" t="s">
        <v>776</v>
      </c>
      <c r="B1557" s="684" t="s">
        <v>126</v>
      </c>
      <c r="C1557" s="56">
        <v>45909</v>
      </c>
      <c r="D1557" s="43">
        <v>329</v>
      </c>
      <c r="G1557" t="s">
        <v>1631</v>
      </c>
    </row>
    <row r="1558" spans="1:7">
      <c r="A1558" s="88" t="s">
        <v>1097</v>
      </c>
      <c r="B1558" s="398" t="s">
        <v>1073</v>
      </c>
      <c r="C1558" s="56">
        <v>45910</v>
      </c>
      <c r="D1558" s="43">
        <v>299</v>
      </c>
      <c r="G1558" t="s">
        <v>1631</v>
      </c>
    </row>
    <row r="1559" spans="1:7">
      <c r="A1559" s="396" t="s">
        <v>552</v>
      </c>
      <c r="B1559" s="228" t="s">
        <v>138</v>
      </c>
      <c r="C1559" s="56">
        <v>45910</v>
      </c>
      <c r="D1559" s="43">
        <v>611</v>
      </c>
      <c r="F1559" s="43" t="s">
        <v>1652</v>
      </c>
      <c r="G1559" t="s">
        <v>1631</v>
      </c>
    </row>
    <row r="1560" spans="1:7">
      <c r="A1560" s="683" t="s">
        <v>1115</v>
      </c>
      <c r="B1560" s="131" t="s">
        <v>126</v>
      </c>
      <c r="C1560" s="56">
        <v>45910</v>
      </c>
      <c r="D1560" s="155">
        <v>1925</v>
      </c>
      <c r="G1560" t="s">
        <v>1631</v>
      </c>
    </row>
    <row r="1561" spans="1:7">
      <c r="A1561" s="69" t="s">
        <v>776</v>
      </c>
      <c r="B1561" s="684" t="s">
        <v>1512</v>
      </c>
      <c r="C1561" s="56">
        <v>45910</v>
      </c>
      <c r="D1561" s="43">
        <v>333</v>
      </c>
      <c r="G1561" t="s">
        <v>1631</v>
      </c>
    </row>
    <row r="1562" spans="1:7">
      <c r="A1562" s="713" t="s">
        <v>987</v>
      </c>
      <c r="B1562" s="131" t="s">
        <v>126</v>
      </c>
      <c r="C1562" s="56">
        <v>45910</v>
      </c>
      <c r="D1562" s="43">
        <v>740</v>
      </c>
      <c r="F1562" s="43" t="s">
        <v>1653</v>
      </c>
      <c r="G1562" t="s">
        <v>1631</v>
      </c>
    </row>
    <row r="1563" spans="1:7">
      <c r="A1563" s="628" t="s">
        <v>362</v>
      </c>
      <c r="B1563" s="631" t="s">
        <v>363</v>
      </c>
      <c r="C1563" s="56">
        <v>45910</v>
      </c>
      <c r="D1563" s="43">
        <v>307</v>
      </c>
      <c r="G1563" t="s">
        <v>1631</v>
      </c>
    </row>
    <row r="1564" spans="1:7">
      <c r="A1564" s="157" t="s">
        <v>543</v>
      </c>
      <c r="B1564" s="684" t="s">
        <v>1512</v>
      </c>
      <c r="C1564" s="56">
        <v>45910</v>
      </c>
      <c r="F1564" s="43" t="s">
        <v>1350</v>
      </c>
      <c r="G1564" t="s">
        <v>1631</v>
      </c>
    </row>
    <row r="1565" spans="1:7">
      <c r="A1565" s="88" t="s">
        <v>1097</v>
      </c>
      <c r="B1565" s="398" t="s">
        <v>1073</v>
      </c>
      <c r="C1565" s="56">
        <v>45911</v>
      </c>
      <c r="D1565" s="43">
        <v>302</v>
      </c>
      <c r="G1565" t="s">
        <v>1631</v>
      </c>
    </row>
    <row r="1566" spans="1:7">
      <c r="A1566" s="88" t="s">
        <v>508</v>
      </c>
      <c r="B1566" s="398" t="s">
        <v>138</v>
      </c>
      <c r="C1566" s="56">
        <v>45911</v>
      </c>
      <c r="D1566" s="43">
        <v>279</v>
      </c>
      <c r="F1566" s="43" t="s">
        <v>1654</v>
      </c>
      <c r="G1566" t="s">
        <v>1631</v>
      </c>
    </row>
    <row r="1567" spans="1:7">
      <c r="A1567" s="88" t="s">
        <v>1116</v>
      </c>
      <c r="B1567" s="398" t="s">
        <v>138</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362</v>
      </c>
      <c r="B1570" s="247" t="s">
        <v>363</v>
      </c>
      <c r="C1570" s="56">
        <v>45911</v>
      </c>
      <c r="D1570" s="43">
        <v>920</v>
      </c>
      <c r="F1570" s="69"/>
      <c r="G1570" t="s">
        <v>1631</v>
      </c>
    </row>
    <row r="1571" spans="1:7">
      <c r="A1571" s="157" t="s">
        <v>543</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362</v>
      </c>
      <c r="B1574" s="247" t="s">
        <v>363</v>
      </c>
      <c r="C1574" s="56">
        <v>45912</v>
      </c>
      <c r="D1574" s="43">
        <v>610</v>
      </c>
      <c r="F1574" s="69"/>
      <c r="G1574" t="s">
        <v>1631</v>
      </c>
    </row>
    <row r="1575" spans="1:7">
      <c r="A1575" s="157" t="s">
        <v>543</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126</v>
      </c>
      <c r="C1577" s="56">
        <v>45915</v>
      </c>
      <c r="D1577" s="155">
        <v>1238</v>
      </c>
      <c r="F1577" s="69"/>
      <c r="G1577" t="s">
        <v>1631</v>
      </c>
    </row>
    <row r="1578" spans="1:7">
      <c r="A1578" s="683" t="s">
        <v>995</v>
      </c>
      <c r="B1578" s="131" t="s">
        <v>1073</v>
      </c>
      <c r="C1578" s="56">
        <v>45915</v>
      </c>
      <c r="D1578" s="43">
        <v>711</v>
      </c>
      <c r="F1578" s="69"/>
      <c r="G1578" t="s">
        <v>1631</v>
      </c>
    </row>
    <row r="1579" spans="1:7">
      <c r="A1579" s="134" t="s">
        <v>362</v>
      </c>
      <c r="B1579" s="247" t="s">
        <v>363</v>
      </c>
      <c r="C1579" s="56">
        <v>45915</v>
      </c>
      <c r="D1579" s="43">
        <v>829</v>
      </c>
      <c r="F1579" s="69" t="s">
        <v>1514</v>
      </c>
      <c r="G1579" t="s">
        <v>1631</v>
      </c>
    </row>
    <row r="1580" spans="1:7">
      <c r="A1580" s="115" t="s">
        <v>538</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126</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126</v>
      </c>
      <c r="C1584" s="56">
        <v>45916</v>
      </c>
      <c r="D1584" s="155">
        <v>1808</v>
      </c>
      <c r="F1584" s="734"/>
      <c r="G1584" t="s">
        <v>1631</v>
      </c>
    </row>
    <row r="1585" spans="1:7">
      <c r="A1585" s="134" t="s">
        <v>362</v>
      </c>
      <c r="B1585" s="247" t="s">
        <v>363</v>
      </c>
      <c r="C1585" s="56">
        <v>45916</v>
      </c>
      <c r="F1585" s="734" t="s">
        <v>1200</v>
      </c>
      <c r="G1585" t="s">
        <v>1631</v>
      </c>
    </row>
    <row r="1586" spans="1:7">
      <c r="A1586" s="157" t="s">
        <v>384</v>
      </c>
      <c r="B1586" s="247" t="s">
        <v>1073</v>
      </c>
      <c r="C1586" s="56">
        <v>45916</v>
      </c>
      <c r="F1586" s="735" t="s">
        <v>1658</v>
      </c>
      <c r="G1586" t="s">
        <v>1631</v>
      </c>
    </row>
    <row r="1587" spans="1:7">
      <c r="A1587" s="115" t="s">
        <v>538</v>
      </c>
      <c r="B1587" s="371" t="s">
        <v>1073</v>
      </c>
      <c r="C1587" s="56">
        <v>45916</v>
      </c>
      <c r="F1587" s="733" t="s">
        <v>1658</v>
      </c>
      <c r="G1587" t="s">
        <v>1631</v>
      </c>
    </row>
    <row r="1588" spans="1:7">
      <c r="A1588" s="648" t="s">
        <v>387</v>
      </c>
      <c r="B1588" s="141" t="s">
        <v>215</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126</v>
      </c>
      <c r="C1590" s="56">
        <v>45917</v>
      </c>
      <c r="D1590" s="155">
        <v>1250</v>
      </c>
      <c r="F1590" s="734" t="s">
        <v>1659</v>
      </c>
      <c r="G1590" t="s">
        <v>1631</v>
      </c>
    </row>
    <row r="1591" spans="1:7">
      <c r="A1591" s="737" t="s">
        <v>552</v>
      </c>
      <c r="B1591" s="315" t="s">
        <v>138</v>
      </c>
      <c r="C1591" s="56">
        <v>45917</v>
      </c>
      <c r="D1591" s="43">
        <v>250</v>
      </c>
      <c r="F1591" s="734" t="s">
        <v>1660</v>
      </c>
      <c r="G1591" t="s">
        <v>1631</v>
      </c>
    </row>
    <row r="1592" spans="1:7">
      <c r="A1592" s="141" t="s">
        <v>971</v>
      </c>
      <c r="B1592" s="739" t="s">
        <v>126</v>
      </c>
      <c r="C1592" s="56">
        <v>45917</v>
      </c>
      <c r="F1592" s="734" t="s">
        <v>1661</v>
      </c>
      <c r="G1592" t="s">
        <v>1631</v>
      </c>
    </row>
    <row r="1593" spans="1:7">
      <c r="A1593" s="134" t="s">
        <v>362</v>
      </c>
      <c r="B1593" s="141" t="s">
        <v>363</v>
      </c>
      <c r="C1593" s="56">
        <v>45917</v>
      </c>
      <c r="D1593" s="43">
        <v>863</v>
      </c>
      <c r="F1593" s="734"/>
      <c r="G1593" t="s">
        <v>1631</v>
      </c>
    </row>
    <row r="1594" spans="1:7">
      <c r="A1594" s="738" t="s">
        <v>387</v>
      </c>
      <c r="B1594" s="305" t="s">
        <v>215</v>
      </c>
      <c r="C1594" s="56">
        <v>45917</v>
      </c>
      <c r="D1594" s="43">
        <v>253</v>
      </c>
      <c r="F1594" s="734"/>
      <c r="G1594" t="s">
        <v>1631</v>
      </c>
    </row>
    <row r="1595" spans="1:7">
      <c r="A1595" s="326" t="s">
        <v>384</v>
      </c>
      <c r="B1595" s="311" t="s">
        <v>1073</v>
      </c>
      <c r="C1595" s="56">
        <v>45917</v>
      </c>
      <c r="F1595" s="311" t="s">
        <v>1547</v>
      </c>
      <c r="G1595" t="s">
        <v>1631</v>
      </c>
    </row>
    <row r="1596" spans="1:7">
      <c r="A1596" s="247" t="s">
        <v>533</v>
      </c>
      <c r="B1596" s="311" t="s">
        <v>1073</v>
      </c>
      <c r="C1596" s="56">
        <v>45917</v>
      </c>
      <c r="D1596" s="43">
        <v>139</v>
      </c>
      <c r="F1596" s="734"/>
      <c r="G1596" t="s">
        <v>1631</v>
      </c>
    </row>
    <row r="1597" spans="1:7">
      <c r="A1597" s="88" t="s">
        <v>515</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126</v>
      </c>
      <c r="C1599" s="56">
        <v>45918</v>
      </c>
      <c r="D1599" s="43">
        <v>361</v>
      </c>
      <c r="F1599" s="734" t="s">
        <v>1664</v>
      </c>
      <c r="G1599" t="s">
        <v>1631</v>
      </c>
    </row>
    <row r="1600" spans="1:7">
      <c r="A1600" s="69" t="s">
        <v>971</v>
      </c>
      <c r="B1600" s="684" t="s">
        <v>126</v>
      </c>
      <c r="C1600" s="56">
        <v>45918</v>
      </c>
      <c r="D1600" s="155">
        <v>1204</v>
      </c>
      <c r="F1600" s="734" t="s">
        <v>1665</v>
      </c>
      <c r="G1600" t="s">
        <v>1631</v>
      </c>
    </row>
    <row r="1601" spans="1:7">
      <c r="A1601" s="69" t="s">
        <v>554</v>
      </c>
      <c r="B1601" s="684" t="s">
        <v>126</v>
      </c>
      <c r="C1601" s="56">
        <v>45918</v>
      </c>
      <c r="D1601" s="155">
        <v>562</v>
      </c>
      <c r="F1601" s="734"/>
      <c r="G1601" t="s">
        <v>1631</v>
      </c>
    </row>
    <row r="1602" spans="1:7">
      <c r="A1602" s="69" t="s">
        <v>976</v>
      </c>
      <c r="B1602" s="684" t="s">
        <v>126</v>
      </c>
      <c r="C1602" s="56">
        <v>45918</v>
      </c>
      <c r="D1602" s="155">
        <v>754</v>
      </c>
      <c r="F1602" s="734" t="s">
        <v>1666</v>
      </c>
      <c r="G1602" t="s">
        <v>1631</v>
      </c>
    </row>
    <row r="1603" spans="1:7">
      <c r="A1603" s="134" t="s">
        <v>362</v>
      </c>
      <c r="B1603" s="247" t="s">
        <v>363</v>
      </c>
      <c r="C1603" s="56">
        <v>45918</v>
      </c>
      <c r="D1603" s="43">
        <v>499</v>
      </c>
      <c r="F1603" s="734"/>
      <c r="G1603" t="s">
        <v>1631</v>
      </c>
    </row>
    <row r="1604" spans="1:7">
      <c r="A1604" s="648" t="s">
        <v>387</v>
      </c>
      <c r="B1604" s="141" t="s">
        <v>215</v>
      </c>
      <c r="C1604" s="56">
        <v>45918</v>
      </c>
      <c r="D1604" s="155">
        <v>1076</v>
      </c>
      <c r="F1604" s="734"/>
      <c r="G1604" t="s">
        <v>1631</v>
      </c>
    </row>
    <row r="1605" spans="1:7">
      <c r="A1605" s="157" t="s">
        <v>384</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362</v>
      </c>
      <c r="B1608" s="247" t="s">
        <v>363</v>
      </c>
      <c r="C1608" s="56">
        <v>45919</v>
      </c>
      <c r="D1608" s="43">
        <v>475</v>
      </c>
      <c r="F1608" s="734"/>
      <c r="G1608" t="s">
        <v>1631</v>
      </c>
    </row>
    <row r="1609" spans="1:7">
      <c r="A1609" s="648" t="s">
        <v>387</v>
      </c>
      <c r="B1609" s="141" t="s">
        <v>215</v>
      </c>
      <c r="C1609" s="56">
        <v>45919</v>
      </c>
      <c r="F1609" s="337" t="s">
        <v>1350</v>
      </c>
      <c r="G1609" t="s">
        <v>1631</v>
      </c>
    </row>
    <row r="1610" spans="1:7">
      <c r="A1610" s="683" t="s">
        <v>1115</v>
      </c>
      <c r="B1610" s="131" t="s">
        <v>126</v>
      </c>
      <c r="C1610" s="56">
        <v>45919</v>
      </c>
      <c r="F1610" s="141" t="s">
        <v>1668</v>
      </c>
      <c r="G1610" t="s">
        <v>1631</v>
      </c>
    </row>
    <row r="1611" spans="1:7">
      <c r="A1611" s="326" t="s">
        <v>78</v>
      </c>
      <c r="B1611" s="398" t="s">
        <v>1073</v>
      </c>
      <c r="C1611" s="56">
        <v>45922</v>
      </c>
      <c r="D1611" s="43">
        <v>153</v>
      </c>
      <c r="F1611" s="764"/>
      <c r="G1611" t="s">
        <v>1631</v>
      </c>
    </row>
    <row r="1612" spans="1:7">
      <c r="A1612" s="318" t="s">
        <v>1120</v>
      </c>
      <c r="B1612" s="141" t="s">
        <v>435</v>
      </c>
      <c r="C1612" s="56">
        <v>45922</v>
      </c>
      <c r="D1612" s="43">
        <v>329</v>
      </c>
      <c r="F1612" s="734"/>
      <c r="G1612" t="s">
        <v>1631</v>
      </c>
    </row>
    <row r="1613" spans="1:7">
      <c r="A1613" s="304" t="s">
        <v>554</v>
      </c>
      <c r="B1613" s="739" t="s">
        <v>126</v>
      </c>
      <c r="C1613" s="56">
        <v>45922</v>
      </c>
      <c r="D1613" s="43">
        <v>978</v>
      </c>
      <c r="F1613" s="734" t="s">
        <v>1669</v>
      </c>
      <c r="G1613" t="s">
        <v>1631</v>
      </c>
    </row>
    <row r="1614" spans="1:7">
      <c r="A1614" s="305" t="s">
        <v>976</v>
      </c>
      <c r="B1614" s="745" t="s">
        <v>126</v>
      </c>
      <c r="C1614" s="56">
        <v>45922</v>
      </c>
      <c r="D1614" s="43">
        <v>1285</v>
      </c>
      <c r="F1614" s="734" t="s">
        <v>1670</v>
      </c>
      <c r="G1614" t="s">
        <v>1631</v>
      </c>
    </row>
    <row r="1615" spans="1:7">
      <c r="A1615" s="744" t="s">
        <v>609</v>
      </c>
      <c r="B1615" s="311" t="s">
        <v>1073</v>
      </c>
      <c r="C1615" s="56">
        <v>45922</v>
      </c>
      <c r="D1615" s="43">
        <v>335</v>
      </c>
      <c r="F1615" s="734" t="s">
        <v>1514</v>
      </c>
      <c r="G1615" t="s">
        <v>1631</v>
      </c>
    </row>
    <row r="1616" spans="1:7">
      <c r="A1616" s="134" t="s">
        <v>362</v>
      </c>
      <c r="B1616" s="141" t="s">
        <v>363</v>
      </c>
      <c r="C1616" s="56">
        <v>45922</v>
      </c>
      <c r="D1616" s="43">
        <v>839</v>
      </c>
      <c r="F1616" s="734"/>
      <c r="G1616" t="s">
        <v>1631</v>
      </c>
    </row>
    <row r="1617" spans="1:7">
      <c r="A1617" s="746" t="s">
        <v>387</v>
      </c>
      <c r="B1617" s="304" t="s">
        <v>215</v>
      </c>
      <c r="C1617" s="56">
        <v>45922</v>
      </c>
      <c r="F1617" s="311" t="s">
        <v>1671</v>
      </c>
      <c r="G1617" t="s">
        <v>1631</v>
      </c>
    </row>
    <row r="1618" spans="1:7">
      <c r="A1618" s="325" t="s">
        <v>533</v>
      </c>
      <c r="B1618" s="305" t="s">
        <v>72</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435</v>
      </c>
      <c r="C1621" s="56">
        <v>45923</v>
      </c>
      <c r="D1621" s="43">
        <v>427</v>
      </c>
      <c r="F1621" s="69"/>
      <c r="G1621" t="s">
        <v>1631</v>
      </c>
    </row>
    <row r="1622" spans="1:7">
      <c r="A1622" s="69" t="s">
        <v>554</v>
      </c>
      <c r="B1622" s="751" t="s">
        <v>126</v>
      </c>
      <c r="C1622" s="56">
        <v>45923</v>
      </c>
      <c r="D1622" s="43">
        <v>675</v>
      </c>
      <c r="F1622" s="69"/>
      <c r="G1622" t="s">
        <v>1631</v>
      </c>
    </row>
    <row r="1623" spans="1:7">
      <c r="A1623" s="69" t="s">
        <v>557</v>
      </c>
      <c r="B1623" s="752" t="s">
        <v>126</v>
      </c>
      <c r="C1623" s="56">
        <v>45923</v>
      </c>
      <c r="D1623" s="155">
        <v>1231</v>
      </c>
      <c r="F1623" s="69" t="s">
        <v>1674</v>
      </c>
      <c r="G1623" t="s">
        <v>1631</v>
      </c>
    </row>
    <row r="1624" spans="1:7">
      <c r="A1624" s="750" t="s">
        <v>609</v>
      </c>
      <c r="B1624" s="753" t="s">
        <v>1073</v>
      </c>
      <c r="C1624" s="56">
        <v>45923</v>
      </c>
      <c r="E1624" s="139">
        <v>335</v>
      </c>
      <c r="F1624" s="69" t="s">
        <v>1675</v>
      </c>
      <c r="G1624" t="s">
        <v>1631</v>
      </c>
    </row>
    <row r="1625" spans="1:7">
      <c r="A1625" s="754" t="s">
        <v>362</v>
      </c>
      <c r="B1625" s="247" t="s">
        <v>363</v>
      </c>
      <c r="C1625" s="56">
        <v>45923</v>
      </c>
      <c r="F1625" s="759" t="s">
        <v>1676</v>
      </c>
      <c r="G1625" t="s">
        <v>1631</v>
      </c>
    </row>
    <row r="1626" spans="1:7">
      <c r="A1626" s="648" t="s">
        <v>387</v>
      </c>
      <c r="B1626" s="756" t="s">
        <v>215</v>
      </c>
      <c r="C1626" s="56">
        <v>45923</v>
      </c>
      <c r="D1626" s="43">
        <v>120</v>
      </c>
      <c r="F1626" s="69"/>
      <c r="G1626" t="s">
        <v>1631</v>
      </c>
    </row>
    <row r="1627" spans="1:7">
      <c r="A1627" s="157" t="s">
        <v>384</v>
      </c>
      <c r="B1627" s="247" t="s">
        <v>72</v>
      </c>
      <c r="C1627" s="56">
        <v>45923</v>
      </c>
      <c r="F1627" s="141" t="s">
        <v>1547</v>
      </c>
      <c r="G1627" t="s">
        <v>1631</v>
      </c>
    </row>
    <row r="1628" spans="1:7">
      <c r="A1628" s="755" t="s">
        <v>1121</v>
      </c>
      <c r="B1628" s="432" t="s">
        <v>867</v>
      </c>
      <c r="C1628" s="56">
        <v>45923</v>
      </c>
      <c r="D1628" s="43">
        <v>291</v>
      </c>
      <c r="F1628" s="69"/>
      <c r="G1628" t="s">
        <v>1631</v>
      </c>
    </row>
    <row r="1629" spans="1:7">
      <c r="A1629" s="88" t="s">
        <v>78</v>
      </c>
      <c r="B1629" s="398" t="s">
        <v>1073</v>
      </c>
      <c r="C1629" s="56">
        <v>45924</v>
      </c>
      <c r="D1629" s="43">
        <v>260</v>
      </c>
      <c r="F1629" s="69"/>
      <c r="G1629" t="s">
        <v>1631</v>
      </c>
    </row>
    <row r="1630" spans="1:7">
      <c r="A1630" s="743" t="s">
        <v>1120</v>
      </c>
      <c r="B1630" s="141" t="s">
        <v>435</v>
      </c>
      <c r="C1630" s="56">
        <v>45924</v>
      </c>
      <c r="D1630" s="43">
        <v>537</v>
      </c>
      <c r="F1630" s="69"/>
      <c r="G1630" t="s">
        <v>1631</v>
      </c>
    </row>
    <row r="1631" spans="1:7">
      <c r="A1631" s="148" t="s">
        <v>563</v>
      </c>
      <c r="B1631" s="761" t="s">
        <v>126</v>
      </c>
      <c r="C1631" s="336">
        <v>45924</v>
      </c>
      <c r="D1631" s="155">
        <v>1205</v>
      </c>
      <c r="F1631" s="69" t="s">
        <v>1677</v>
      </c>
      <c r="G1631" t="s">
        <v>1631</v>
      </c>
    </row>
    <row r="1632" spans="1:7">
      <c r="A1632" s="69" t="s">
        <v>557</v>
      </c>
      <c r="B1632" s="395" t="s">
        <v>126</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126</v>
      </c>
      <c r="C1634" s="56">
        <v>45924</v>
      </c>
      <c r="D1634" s="161"/>
      <c r="F1634" s="337" t="s">
        <v>1679</v>
      </c>
      <c r="G1634" t="s">
        <v>1631</v>
      </c>
    </row>
    <row r="1635" spans="1:7">
      <c r="A1635" s="69" t="s">
        <v>554</v>
      </c>
      <c r="B1635" s="751" t="s">
        <v>126</v>
      </c>
      <c r="C1635" s="56">
        <v>45924</v>
      </c>
      <c r="D1635" s="161">
        <v>170</v>
      </c>
      <c r="F1635" s="141" t="s">
        <v>1680</v>
      </c>
      <c r="G1635" t="s">
        <v>1631</v>
      </c>
    </row>
    <row r="1636" spans="1:7">
      <c r="A1636" s="762" t="s">
        <v>362</v>
      </c>
      <c r="B1636" s="399" t="s">
        <v>363</v>
      </c>
      <c r="C1636" s="344">
        <v>45924</v>
      </c>
      <c r="D1636" s="43">
        <v>616</v>
      </c>
      <c r="F1636" s="91"/>
      <c r="G1636" t="s">
        <v>1631</v>
      </c>
    </row>
    <row r="1637" spans="1:7">
      <c r="A1637" s="648" t="s">
        <v>387</v>
      </c>
      <c r="B1637" s="756" t="s">
        <v>215</v>
      </c>
      <c r="C1637" s="56">
        <v>45924</v>
      </c>
      <c r="D1637" s="43">
        <v>190</v>
      </c>
      <c r="F1637" s="69"/>
      <c r="G1637" t="s">
        <v>1631</v>
      </c>
    </row>
    <row r="1638" spans="1:7">
      <c r="A1638" s="157" t="s">
        <v>267</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527</v>
      </c>
      <c r="B1640" s="131" t="s">
        <v>215</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554</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512</v>
      </c>
      <c r="B1645" s="398" t="s">
        <v>1073</v>
      </c>
      <c r="C1645" s="56">
        <v>45925</v>
      </c>
      <c r="D1645" s="43">
        <v>175</v>
      </c>
      <c r="F1645" s="30"/>
      <c r="G1645" t="s">
        <v>1631</v>
      </c>
    </row>
    <row r="1646" spans="1:7">
      <c r="A1646" s="743" t="s">
        <v>1120</v>
      </c>
      <c r="B1646" s="141" t="s">
        <v>435</v>
      </c>
      <c r="C1646" s="56">
        <v>45925</v>
      </c>
      <c r="D1646" s="43">
        <v>646</v>
      </c>
      <c r="F1646" s="69" t="s">
        <v>1303</v>
      </c>
      <c r="G1646" t="s">
        <v>1631</v>
      </c>
    </row>
    <row r="1647" spans="1:7">
      <c r="A1647" s="69" t="s">
        <v>563</v>
      </c>
      <c r="B1647" s="751" t="s">
        <v>126</v>
      </c>
      <c r="C1647" s="56">
        <v>45925</v>
      </c>
      <c r="D1647" s="155">
        <v>1000</v>
      </c>
      <c r="F1647" s="30"/>
      <c r="G1647" t="s">
        <v>1631</v>
      </c>
    </row>
    <row r="1648" spans="1:7">
      <c r="A1648" s="69" t="s">
        <v>557</v>
      </c>
      <c r="B1648" s="752" t="s">
        <v>126</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362</v>
      </c>
      <c r="B1651" s="247" t="s">
        <v>363</v>
      </c>
      <c r="C1651" s="56">
        <v>45925</v>
      </c>
      <c r="D1651" s="43">
        <v>969</v>
      </c>
      <c r="G1651" t="s">
        <v>1631</v>
      </c>
    </row>
    <row r="1652" spans="1:7">
      <c r="A1652" s="648" t="s">
        <v>387</v>
      </c>
      <c r="B1652" s="756" t="s">
        <v>215</v>
      </c>
      <c r="C1652" s="56">
        <v>45925</v>
      </c>
      <c r="F1652" s="141" t="s">
        <v>1217</v>
      </c>
      <c r="G1652" t="s">
        <v>1631</v>
      </c>
    </row>
    <row r="1653" spans="1:7">
      <c r="A1653" s="157" t="s">
        <v>267</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435</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363</v>
      </c>
      <c r="C1657" s="56">
        <v>45926</v>
      </c>
      <c r="D1657" s="43">
        <v>300</v>
      </c>
      <c r="G1657" t="s">
        <v>1631</v>
      </c>
    </row>
    <row r="1658" spans="1:7">
      <c r="A1658" s="304" t="s">
        <v>1122</v>
      </c>
      <c r="B1658" s="739" t="s">
        <v>1688</v>
      </c>
      <c r="C1658" s="56">
        <v>45926</v>
      </c>
      <c r="D1658" s="43">
        <v>364</v>
      </c>
      <c r="G1658" t="s">
        <v>1631</v>
      </c>
    </row>
    <row r="1659" spans="1:7">
      <c r="A1659" s="134" t="s">
        <v>362</v>
      </c>
      <c r="B1659" s="141" t="s">
        <v>363</v>
      </c>
      <c r="C1659" s="56">
        <v>45926</v>
      </c>
      <c r="D1659" s="43">
        <v>552</v>
      </c>
      <c r="G1659" t="s">
        <v>1631</v>
      </c>
    </row>
    <row r="1660" spans="1:7">
      <c r="A1660" s="746" t="s">
        <v>390</v>
      </c>
      <c r="B1660" s="304" t="s">
        <v>215</v>
      </c>
      <c r="C1660" s="56">
        <v>45926</v>
      </c>
      <c r="D1660" s="43">
        <v>551</v>
      </c>
      <c r="G1660" t="s">
        <v>1631</v>
      </c>
    </row>
    <row r="1661" spans="1:7">
      <c r="A1661" s="325" t="s">
        <v>267</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512</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557</v>
      </c>
      <c r="B1667" s="737" t="s">
        <v>126</v>
      </c>
      <c r="C1667" s="56">
        <v>45929</v>
      </c>
      <c r="D1667" s="43">
        <v>600</v>
      </c>
      <c r="F1667" s="43" t="s">
        <v>1691</v>
      </c>
      <c r="G1667" t="s">
        <v>1631</v>
      </c>
    </row>
    <row r="1668" spans="1:7">
      <c r="A1668" s="311" t="s">
        <v>563</v>
      </c>
      <c r="B1668" s="311" t="s">
        <v>126</v>
      </c>
      <c r="C1668" s="56">
        <v>45929</v>
      </c>
      <c r="D1668" s="155">
        <v>1002</v>
      </c>
      <c r="F1668" s="43" t="s">
        <v>1692</v>
      </c>
      <c r="G1668" t="s">
        <v>1631</v>
      </c>
    </row>
    <row r="1669" spans="1:7">
      <c r="A1669" s="134" t="s">
        <v>362</v>
      </c>
      <c r="B1669" s="141" t="s">
        <v>363</v>
      </c>
      <c r="C1669" s="56">
        <v>45929</v>
      </c>
      <c r="D1669" s="155">
        <v>1375</v>
      </c>
      <c r="G1669" t="s">
        <v>1631</v>
      </c>
    </row>
    <row r="1670" spans="1:7">
      <c r="A1670" s="746" t="s">
        <v>384</v>
      </c>
      <c r="B1670" s="304" t="s">
        <v>215</v>
      </c>
      <c r="C1670" s="56">
        <v>45929</v>
      </c>
      <c r="F1670" s="141" t="s">
        <v>1547</v>
      </c>
      <c r="G1670" t="s">
        <v>1631</v>
      </c>
    </row>
    <row r="1671" spans="1:7">
      <c r="A1671" s="305" t="s">
        <v>1121</v>
      </c>
      <c r="B1671" s="305" t="s">
        <v>1073</v>
      </c>
      <c r="C1671" s="56">
        <v>45929</v>
      </c>
      <c r="D1671" s="155">
        <v>1418</v>
      </c>
      <c r="G1671" t="s">
        <v>1631</v>
      </c>
    </row>
    <row r="1672" spans="1:7">
      <c r="A1672" s="43" t="s">
        <v>387</v>
      </c>
      <c r="B1672" s="318" t="s">
        <v>215</v>
      </c>
      <c r="C1672" s="56">
        <v>45929</v>
      </c>
      <c r="D1672" s="43">
        <v>479</v>
      </c>
      <c r="G1672" t="s">
        <v>1631</v>
      </c>
    </row>
    <row r="1673" spans="1:7">
      <c r="A1673" s="43" t="s">
        <v>390</v>
      </c>
      <c r="B1673" s="318" t="s">
        <v>215</v>
      </c>
      <c r="C1673" s="56">
        <v>45929</v>
      </c>
      <c r="D1673" s="43">
        <v>454</v>
      </c>
      <c r="G1673" t="s">
        <v>1631</v>
      </c>
    </row>
    <row r="1674" spans="1:7">
      <c r="A1674" s="311" t="s">
        <v>563</v>
      </c>
      <c r="B1674" s="311" t="s">
        <v>126</v>
      </c>
      <c r="C1674" s="56">
        <v>45930</v>
      </c>
      <c r="D1674" s="43">
        <v>268</v>
      </c>
      <c r="E1674" s="139">
        <v>413</v>
      </c>
      <c r="F1674" s="43" t="s">
        <v>1693</v>
      </c>
      <c r="G1674" t="s">
        <v>1631</v>
      </c>
    </row>
    <row r="1675" spans="1:7">
      <c r="A1675" s="88" t="s">
        <v>515</v>
      </c>
      <c r="B1675" s="398" t="s">
        <v>1073</v>
      </c>
      <c r="C1675" s="56">
        <v>45930</v>
      </c>
      <c r="D1675" s="43">
        <v>134</v>
      </c>
      <c r="G1675" t="s">
        <v>1631</v>
      </c>
    </row>
    <row r="1676" spans="1:7">
      <c r="A1676" s="88" t="s">
        <v>656</v>
      </c>
      <c r="B1676" s="398" t="s">
        <v>1694</v>
      </c>
      <c r="C1676" s="56">
        <v>45930</v>
      </c>
      <c r="D1676" s="155">
        <v>1253</v>
      </c>
      <c r="G1676" t="s">
        <v>1631</v>
      </c>
    </row>
    <row r="1677" spans="1:7">
      <c r="A1677" s="800" t="s">
        <v>973</v>
      </c>
      <c r="B1677" s="395" t="s">
        <v>126</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557</v>
      </c>
      <c r="B1681" s="141" t="s">
        <v>1073</v>
      </c>
      <c r="C1681" s="310">
        <v>45930</v>
      </c>
      <c r="E1681" s="139">
        <v>886</v>
      </c>
      <c r="G1681" t="s">
        <v>1631</v>
      </c>
    </row>
    <row r="1682" spans="1:7">
      <c r="A1682" s="134" t="s">
        <v>362</v>
      </c>
      <c r="B1682" s="304" t="s">
        <v>363</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390</v>
      </c>
      <c r="B1685" s="318" t="s">
        <v>215</v>
      </c>
      <c r="C1685" s="56">
        <v>45930</v>
      </c>
      <c r="D1685" s="43">
        <v>251</v>
      </c>
      <c r="G1685" t="s">
        <v>1631</v>
      </c>
    </row>
    <row r="1686" spans="1:7">
      <c r="A1686" s="525" t="s">
        <v>527</v>
      </c>
      <c r="B1686" s="349" t="s">
        <v>215</v>
      </c>
      <c r="C1686" s="56">
        <v>45930</v>
      </c>
      <c r="D1686" s="43">
        <v>665</v>
      </c>
      <c r="G1686" t="s">
        <v>1631</v>
      </c>
    </row>
    <row r="1687" spans="1:7">
      <c r="A1687" s="88" t="s">
        <v>1097</v>
      </c>
      <c r="B1687" s="398" t="s">
        <v>1073</v>
      </c>
      <c r="C1687" s="56">
        <v>45931</v>
      </c>
      <c r="D1687" s="43">
        <v>201</v>
      </c>
      <c r="G1687" t="s">
        <v>1697</v>
      </c>
    </row>
    <row r="1688" spans="1:7">
      <c r="A1688" s="88" t="s">
        <v>656</v>
      </c>
      <c r="B1688" s="398" t="s">
        <v>1694</v>
      </c>
      <c r="C1688" s="56">
        <v>45931</v>
      </c>
      <c r="D1688" s="155">
        <v>1351</v>
      </c>
      <c r="G1688" t="s">
        <v>1697</v>
      </c>
    </row>
    <row r="1689" spans="1:7">
      <c r="A1689" s="802" t="s">
        <v>973</v>
      </c>
      <c r="B1689" s="141" t="s">
        <v>126</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580</v>
      </c>
      <c r="B1692" s="737" t="s">
        <v>126</v>
      </c>
      <c r="C1692" s="56">
        <v>45931</v>
      </c>
      <c r="D1692" s="155">
        <v>1118</v>
      </c>
      <c r="G1692" t="s">
        <v>1697</v>
      </c>
    </row>
    <row r="1693" spans="1:7">
      <c r="A1693" s="134" t="s">
        <v>362</v>
      </c>
      <c r="B1693" s="141" t="s">
        <v>363</v>
      </c>
      <c r="C1693" s="56">
        <v>45931</v>
      </c>
      <c r="D1693" s="43">
        <v>312</v>
      </c>
      <c r="G1693" t="s">
        <v>1697</v>
      </c>
    </row>
    <row r="1694" spans="1:7">
      <c r="A1694" s="551" t="s">
        <v>527</v>
      </c>
      <c r="B1694" s="141" t="s">
        <v>215</v>
      </c>
      <c r="C1694" s="56">
        <v>45931</v>
      </c>
      <c r="D1694" s="43">
        <v>753</v>
      </c>
      <c r="G1694" t="s">
        <v>1697</v>
      </c>
    </row>
    <row r="1695" spans="1:7">
      <c r="A1695" s="305" t="s">
        <v>390</v>
      </c>
      <c r="B1695" s="348" t="s">
        <v>215</v>
      </c>
      <c r="C1695" s="56">
        <v>45931</v>
      </c>
      <c r="D1695" s="43">
        <v>224</v>
      </c>
      <c r="G1695" t="s">
        <v>1697</v>
      </c>
    </row>
    <row r="1696" spans="1:7">
      <c r="A1696" s="134" t="s">
        <v>515</v>
      </c>
      <c r="B1696" s="311" t="s">
        <v>1073</v>
      </c>
      <c r="C1696" s="56">
        <v>45932</v>
      </c>
      <c r="D1696" s="43">
        <v>450</v>
      </c>
      <c r="G1696" t="s">
        <v>1697</v>
      </c>
    </row>
    <row r="1697" spans="1:7">
      <c r="A1697" s="324" t="s">
        <v>656</v>
      </c>
      <c r="B1697" s="315" t="s">
        <v>1694</v>
      </c>
      <c r="C1697" s="56">
        <v>45932</v>
      </c>
      <c r="D1697" s="43">
        <v>443</v>
      </c>
      <c r="F1697" s="43" t="s">
        <v>1699</v>
      </c>
      <c r="G1697" t="s">
        <v>1697</v>
      </c>
    </row>
    <row r="1698" spans="1:7">
      <c r="A1698" s="802" t="s">
        <v>989</v>
      </c>
      <c r="B1698" s="141" t="s">
        <v>126</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580</v>
      </c>
      <c r="B1701" s="737" t="s">
        <v>126</v>
      </c>
      <c r="C1701" s="56">
        <v>45932</v>
      </c>
      <c r="D1701" s="155">
        <v>1472</v>
      </c>
      <c r="F1701" s="43" t="s">
        <v>1652</v>
      </c>
      <c r="G1701" t="s">
        <v>1697</v>
      </c>
    </row>
    <row r="1702" spans="1:7">
      <c r="A1702" s="802" t="s">
        <v>973</v>
      </c>
      <c r="B1702" s="141" t="s">
        <v>126</v>
      </c>
      <c r="C1702" s="56">
        <v>45932</v>
      </c>
      <c r="D1702" s="155">
        <v>1479</v>
      </c>
      <c r="F1702" s="43" t="s">
        <v>1702</v>
      </c>
      <c r="G1702" t="s">
        <v>1697</v>
      </c>
    </row>
    <row r="1703" spans="1:7">
      <c r="A1703" s="134" t="s">
        <v>362</v>
      </c>
      <c r="B1703" s="141" t="s">
        <v>363</v>
      </c>
      <c r="C1703" s="56">
        <v>45932</v>
      </c>
      <c r="D1703" s="155">
        <v>1304</v>
      </c>
      <c r="G1703" t="s">
        <v>1697</v>
      </c>
    </row>
    <row r="1704" spans="1:7">
      <c r="A1704" s="305" t="s">
        <v>1121</v>
      </c>
      <c r="B1704" s="305" t="s">
        <v>1073</v>
      </c>
      <c r="C1704" s="56">
        <v>45932</v>
      </c>
      <c r="D1704" s="43">
        <v>614</v>
      </c>
      <c r="G1704" t="s">
        <v>1697</v>
      </c>
    </row>
    <row r="1705" spans="1:7">
      <c r="A1705" s="551" t="s">
        <v>527</v>
      </c>
      <c r="B1705" s="141" t="s">
        <v>215</v>
      </c>
      <c r="C1705" s="56">
        <v>45932</v>
      </c>
      <c r="D1705" s="43">
        <v>305</v>
      </c>
      <c r="G1705" t="s">
        <v>1697</v>
      </c>
    </row>
    <row r="1706" spans="1:7">
      <c r="A1706" s="305" t="s">
        <v>390</v>
      </c>
      <c r="B1706" s="348" t="s">
        <v>215</v>
      </c>
      <c r="C1706" s="56">
        <v>45932</v>
      </c>
      <c r="D1706" s="43">
        <v>789</v>
      </c>
      <c r="F1706" s="43" t="s">
        <v>1703</v>
      </c>
      <c r="G1706" t="s">
        <v>1697</v>
      </c>
    </row>
    <row r="1707" spans="1:7">
      <c r="A1707" s="141" t="s">
        <v>387</v>
      </c>
      <c r="B1707" s="141" t="s">
        <v>215</v>
      </c>
      <c r="C1707" s="56">
        <v>45932</v>
      </c>
      <c r="D1707" s="43">
        <v>170</v>
      </c>
      <c r="G1707" t="s">
        <v>1697</v>
      </c>
    </row>
    <row r="1708" spans="1:7">
      <c r="A1708" s="134" t="s">
        <v>515</v>
      </c>
      <c r="B1708" s="311" t="s">
        <v>1073</v>
      </c>
      <c r="C1708" s="56">
        <v>45933</v>
      </c>
      <c r="D1708" s="43">
        <v>352</v>
      </c>
      <c r="G1708" t="s">
        <v>1697</v>
      </c>
    </row>
    <row r="1709" spans="1:7">
      <c r="A1709" s="324" t="s">
        <v>1097</v>
      </c>
      <c r="B1709" s="311" t="s">
        <v>1073</v>
      </c>
      <c r="C1709" s="56">
        <v>45933</v>
      </c>
      <c r="D1709" s="43">
        <v>352</v>
      </c>
      <c r="G1709" t="s">
        <v>1697</v>
      </c>
    </row>
    <row r="1710" spans="1:7">
      <c r="A1710" s="324" t="s">
        <v>656</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362</v>
      </c>
      <c r="B1713" s="141" t="s">
        <v>363</v>
      </c>
      <c r="C1713" s="56">
        <v>45933</v>
      </c>
      <c r="D1713" s="43">
        <v>617</v>
      </c>
      <c r="G1713" t="s">
        <v>1697</v>
      </c>
    </row>
    <row r="1714" spans="1:7">
      <c r="A1714" s="305" t="s">
        <v>1121</v>
      </c>
      <c r="B1714" s="305" t="s">
        <v>1073</v>
      </c>
      <c r="C1714" s="56">
        <v>45933</v>
      </c>
      <c r="D1714" s="43">
        <v>486</v>
      </c>
      <c r="G1714" t="s">
        <v>1697</v>
      </c>
    </row>
    <row r="1715" spans="1:7">
      <c r="A1715" s="306" t="s">
        <v>390</v>
      </c>
      <c r="B1715" s="141" t="s">
        <v>215</v>
      </c>
      <c r="C1715" s="56">
        <v>45933</v>
      </c>
      <c r="F1715" s="43" t="s">
        <v>1706</v>
      </c>
      <c r="G1715" t="s">
        <v>1697</v>
      </c>
    </row>
    <row r="1716" spans="1:7">
      <c r="A1716" s="306" t="s">
        <v>387</v>
      </c>
      <c r="B1716" s="141" t="s">
        <v>215</v>
      </c>
      <c r="C1716" s="56">
        <v>45933</v>
      </c>
      <c r="F1716" s="43" t="s">
        <v>1706</v>
      </c>
      <c r="G1716" t="s">
        <v>1697</v>
      </c>
    </row>
    <row r="1717" spans="1:7">
      <c r="A1717" s="134" t="s">
        <v>1097</v>
      </c>
      <c r="B1717" s="311" t="s">
        <v>1073</v>
      </c>
      <c r="C1717" s="56">
        <v>45936</v>
      </c>
      <c r="D1717" s="43">
        <v>65</v>
      </c>
      <c r="G1717" t="s">
        <v>1697</v>
      </c>
    </row>
    <row r="1718" spans="1:7">
      <c r="A1718" s="583" t="s">
        <v>515</v>
      </c>
      <c r="B1718" s="311" t="s">
        <v>1073</v>
      </c>
      <c r="C1718" s="56">
        <v>45936</v>
      </c>
      <c r="D1718" s="43">
        <v>175</v>
      </c>
      <c r="G1718" t="s">
        <v>1697</v>
      </c>
    </row>
    <row r="1719" spans="1:7">
      <c r="A1719" s="583" t="s">
        <v>656</v>
      </c>
      <c r="B1719" s="315" t="s">
        <v>1694</v>
      </c>
      <c r="C1719" s="56">
        <v>45936</v>
      </c>
      <c r="D1719" s="43">
        <v>192</v>
      </c>
      <c r="F1719" s="43" t="s">
        <v>1707</v>
      </c>
      <c r="G1719" t="s">
        <v>1697</v>
      </c>
    </row>
    <row r="1720" spans="1:7">
      <c r="A1720" s="337" t="s">
        <v>989</v>
      </c>
      <c r="B1720" s="337" t="s">
        <v>126</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580</v>
      </c>
      <c r="B1723" s="141" t="s">
        <v>126</v>
      </c>
      <c r="C1723" s="56">
        <v>45936</v>
      </c>
      <c r="D1723" s="155">
        <v>1174</v>
      </c>
      <c r="G1723" t="s">
        <v>1697</v>
      </c>
    </row>
    <row r="1724" spans="1:7">
      <c r="A1724" s="134" t="s">
        <v>362</v>
      </c>
      <c r="B1724" s="141" t="s">
        <v>363</v>
      </c>
      <c r="C1724" s="56">
        <v>45936</v>
      </c>
      <c r="D1724" s="43">
        <v>768</v>
      </c>
      <c r="G1724" t="s">
        <v>1697</v>
      </c>
    </row>
    <row r="1725" spans="1:7">
      <c r="A1725" s="305" t="s">
        <v>1121</v>
      </c>
      <c r="B1725" s="305" t="s">
        <v>867</v>
      </c>
      <c r="C1725" s="56">
        <v>45936</v>
      </c>
      <c r="D1725" s="43">
        <v>225</v>
      </c>
      <c r="G1725" t="s">
        <v>1697</v>
      </c>
    </row>
    <row r="1726" spans="1:7">
      <c r="A1726" s="549" t="s">
        <v>527</v>
      </c>
      <c r="B1726" s="306" t="s">
        <v>215</v>
      </c>
      <c r="C1726" s="56">
        <v>45936</v>
      </c>
      <c r="F1726" s="337" t="s">
        <v>1350</v>
      </c>
      <c r="G1726" t="s">
        <v>1697</v>
      </c>
    </row>
    <row r="1727" spans="1:7">
      <c r="A1727" s="311" t="s">
        <v>390</v>
      </c>
      <c r="B1727" s="311" t="s">
        <v>215</v>
      </c>
      <c r="C1727" s="56">
        <v>45936</v>
      </c>
      <c r="D1727" s="155">
        <v>1088</v>
      </c>
      <c r="F1727" s="43" t="s">
        <v>1701</v>
      </c>
      <c r="G1727" t="s">
        <v>1697</v>
      </c>
    </row>
    <row r="1728" spans="1:7">
      <c r="A1728" s="134" t="s">
        <v>515</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126</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580</v>
      </c>
      <c r="B1733" s="141" t="s">
        <v>126</v>
      </c>
      <c r="C1733" s="310">
        <v>45937</v>
      </c>
      <c r="D1733" s="155">
        <v>1597</v>
      </c>
      <c r="F1733" s="43" t="s">
        <v>1710</v>
      </c>
      <c r="G1733" t="s">
        <v>1697</v>
      </c>
    </row>
    <row r="1734" spans="1:7">
      <c r="A1734" s="134" t="s">
        <v>362</v>
      </c>
      <c r="B1734" s="141" t="s">
        <v>363</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390</v>
      </c>
      <c r="B1737" s="141" t="s">
        <v>215</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656</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1122</v>
      </c>
      <c r="B1742" s="141" t="s">
        <v>1687</v>
      </c>
      <c r="C1742" s="56">
        <v>45938</v>
      </c>
      <c r="F1742" s="337" t="s">
        <v>1712</v>
      </c>
      <c r="G1742" t="s">
        <v>1697</v>
      </c>
    </row>
    <row r="1743" spans="1:7">
      <c r="A1743" s="805" t="s">
        <v>580</v>
      </c>
      <c r="B1743" s="141" t="s">
        <v>126</v>
      </c>
      <c r="C1743" s="56">
        <v>45938</v>
      </c>
      <c r="D1743" s="43">
        <v>308</v>
      </c>
      <c r="F1743" s="43" t="s">
        <v>1713</v>
      </c>
      <c r="G1743" t="s">
        <v>1697</v>
      </c>
    </row>
    <row r="1744" spans="1:7">
      <c r="A1744" s="647" t="s">
        <v>563</v>
      </c>
      <c r="B1744" s="141" t="s">
        <v>126</v>
      </c>
      <c r="C1744" s="56">
        <v>45938</v>
      </c>
      <c r="D1744" s="43">
        <v>334</v>
      </c>
      <c r="F1744" s="43" t="s">
        <v>1648</v>
      </c>
      <c r="G1744" t="s">
        <v>1697</v>
      </c>
    </row>
    <row r="1745" spans="1:7">
      <c r="A1745" s="304" t="s">
        <v>547</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390</v>
      </c>
      <c r="B1748" s="317" t="s">
        <v>215</v>
      </c>
      <c r="C1748" s="56">
        <v>45938</v>
      </c>
      <c r="D1748" s="43">
        <v>512</v>
      </c>
      <c r="F1748" s="43" t="s">
        <v>1648</v>
      </c>
      <c r="G1748" t="s">
        <v>1697</v>
      </c>
    </row>
    <row r="1749" spans="1:7">
      <c r="A1749" s="593" t="s">
        <v>512</v>
      </c>
      <c r="B1749" s="398" t="s">
        <v>1073</v>
      </c>
      <c r="C1749" s="56">
        <v>45939</v>
      </c>
      <c r="D1749" s="43">
        <v>270</v>
      </c>
      <c r="G1749" t="s">
        <v>1697</v>
      </c>
    </row>
    <row r="1750" spans="1:7">
      <c r="A1750" s="88" t="s">
        <v>1091</v>
      </c>
      <c r="B1750" s="398" t="s">
        <v>1073</v>
      </c>
      <c r="C1750" s="56">
        <v>45939</v>
      </c>
      <c r="D1750" s="43">
        <v>229</v>
      </c>
      <c r="G1750" t="s">
        <v>1697</v>
      </c>
    </row>
    <row r="1751" spans="1:7">
      <c r="A1751" s="683" t="s">
        <v>152</v>
      </c>
      <c r="B1751" s="683" t="s">
        <v>126</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580</v>
      </c>
      <c r="B1753" s="395" t="s">
        <v>126</v>
      </c>
      <c r="C1753" s="56">
        <v>45939</v>
      </c>
      <c r="F1753" s="618" t="s">
        <v>1217</v>
      </c>
      <c r="G1753" t="s">
        <v>1697</v>
      </c>
    </row>
    <row r="1754" spans="1:7">
      <c r="A1754" s="148" t="s">
        <v>547</v>
      </c>
      <c r="B1754" s="115" t="s">
        <v>1512</v>
      </c>
      <c r="C1754" s="56">
        <v>45939</v>
      </c>
      <c r="F1754" s="43" t="s">
        <v>1569</v>
      </c>
      <c r="G1754" t="s">
        <v>1697</v>
      </c>
    </row>
    <row r="1755" spans="1:7">
      <c r="A1755" s="134" t="s">
        <v>362</v>
      </c>
      <c r="B1755" s="247" t="s">
        <v>363</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390</v>
      </c>
      <c r="B1758" s="317" t="s">
        <v>215</v>
      </c>
      <c r="C1758" s="56">
        <v>45939</v>
      </c>
      <c r="D1758" s="43">
        <v>369</v>
      </c>
      <c r="G1758" t="s">
        <v>1697</v>
      </c>
    </row>
    <row r="1759" spans="1:7">
      <c r="A1759" s="115" t="s">
        <v>387</v>
      </c>
      <c r="B1759" s="317" t="s">
        <v>215</v>
      </c>
      <c r="C1759" s="56">
        <v>45939</v>
      </c>
      <c r="D1759" s="43">
        <v>725</v>
      </c>
      <c r="G1759" t="s">
        <v>1697</v>
      </c>
    </row>
    <row r="1760" spans="1:7">
      <c r="A1760" s="123" t="s">
        <v>512</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580</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367</v>
      </c>
      <c r="B1766" s="337" t="s">
        <v>1073</v>
      </c>
      <c r="C1766" s="56">
        <v>45940</v>
      </c>
      <c r="F1766" s="311" t="s">
        <v>1536</v>
      </c>
      <c r="G1766" t="s">
        <v>1697</v>
      </c>
    </row>
    <row r="1767" spans="1:7">
      <c r="A1767" s="315" t="s">
        <v>527</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663</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152</v>
      </c>
      <c r="B1772" s="141" t="s">
        <v>126</v>
      </c>
      <c r="C1772" s="56">
        <v>45943</v>
      </c>
      <c r="D1772" s="43">
        <v>828</v>
      </c>
      <c r="G1772" t="s">
        <v>1697</v>
      </c>
    </row>
    <row r="1773" spans="1:7">
      <c r="A1773" s="786" t="s">
        <v>582</v>
      </c>
      <c r="B1773" s="305" t="s">
        <v>126</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370</v>
      </c>
      <c r="B1776" s="525" t="s">
        <v>1073</v>
      </c>
      <c r="C1776" s="56">
        <v>45943</v>
      </c>
      <c r="D1776" s="43">
        <v>60</v>
      </c>
      <c r="G1776" t="s">
        <v>1697</v>
      </c>
    </row>
    <row r="1777" spans="1:7">
      <c r="A1777" s="123" t="s">
        <v>1091</v>
      </c>
      <c r="B1777" s="311" t="s">
        <v>1073</v>
      </c>
      <c r="C1777" s="56">
        <v>45944</v>
      </c>
      <c r="D1777" s="43">
        <v>163</v>
      </c>
      <c r="G1777" t="s">
        <v>1697</v>
      </c>
    </row>
    <row r="1778" spans="1:7">
      <c r="A1778" s="616" t="s">
        <v>663</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152</v>
      </c>
      <c r="B1781" s="306" t="s">
        <v>126</v>
      </c>
      <c r="C1781" s="56">
        <v>45944</v>
      </c>
      <c r="D1781" s="43">
        <v>150</v>
      </c>
      <c r="G1781" t="s">
        <v>1697</v>
      </c>
    </row>
    <row r="1782" spans="1:7">
      <c r="A1782" s="805" t="s">
        <v>582</v>
      </c>
      <c r="B1782" s="141" t="s">
        <v>126</v>
      </c>
      <c r="C1782" s="310">
        <v>45944</v>
      </c>
      <c r="D1782" s="43">
        <v>510</v>
      </c>
      <c r="F1782" s="43" t="s">
        <v>1724</v>
      </c>
      <c r="G1782" t="s">
        <v>1697</v>
      </c>
    </row>
    <row r="1783" spans="1:7">
      <c r="A1783" s="805" t="s">
        <v>586</v>
      </c>
      <c r="B1783" s="141" t="s">
        <v>126</v>
      </c>
      <c r="C1783" s="310">
        <v>45944</v>
      </c>
      <c r="D1783" s="43">
        <v>974</v>
      </c>
      <c r="F1783" s="43" t="s">
        <v>1725</v>
      </c>
      <c r="G1783" t="s">
        <v>1697</v>
      </c>
    </row>
    <row r="1784" spans="1:7">
      <c r="A1784" s="315" t="s">
        <v>1126</v>
      </c>
      <c r="B1784" s="315" t="s">
        <v>432</v>
      </c>
      <c r="C1784" s="56">
        <v>45944</v>
      </c>
      <c r="D1784" s="155">
        <v>1603</v>
      </c>
      <c r="F1784" s="43" t="s">
        <v>1726</v>
      </c>
      <c r="G1784" t="s">
        <v>1697</v>
      </c>
    </row>
    <row r="1785" spans="1:7">
      <c r="A1785" s="311" t="s">
        <v>1121</v>
      </c>
      <c r="B1785" s="311" t="s">
        <v>1073</v>
      </c>
      <c r="C1785" s="56">
        <v>45944</v>
      </c>
      <c r="D1785" s="43">
        <v>144</v>
      </c>
      <c r="G1785" t="s">
        <v>1697</v>
      </c>
    </row>
    <row r="1786" spans="1:7">
      <c r="A1786" s="315" t="s">
        <v>380</v>
      </c>
      <c r="B1786" s="315" t="s">
        <v>215</v>
      </c>
      <c r="C1786" s="56">
        <v>45944</v>
      </c>
      <c r="D1786" s="43">
        <v>927</v>
      </c>
      <c r="F1786" s="43" t="s">
        <v>1704</v>
      </c>
      <c r="G1786" t="s">
        <v>1697</v>
      </c>
    </row>
    <row r="1787" spans="1:7">
      <c r="A1787" s="247" t="s">
        <v>370</v>
      </c>
      <c r="B1787" s="311" t="s">
        <v>1073</v>
      </c>
      <c r="C1787" s="56">
        <v>45944</v>
      </c>
      <c r="D1787" s="43">
        <v>219</v>
      </c>
      <c r="G1787" t="s">
        <v>1697</v>
      </c>
    </row>
    <row r="1788" spans="1:7">
      <c r="A1788" s="123" t="s">
        <v>1091</v>
      </c>
      <c r="B1788" s="311" t="s">
        <v>1073</v>
      </c>
      <c r="C1788" s="56">
        <v>45945</v>
      </c>
      <c r="D1788" s="43">
        <v>535</v>
      </c>
      <c r="G1788" t="s">
        <v>1697</v>
      </c>
    </row>
    <row r="1789" spans="1:7">
      <c r="A1789" s="616" t="s">
        <v>663</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586</v>
      </c>
      <c r="B1791" s="315" t="s">
        <v>126</v>
      </c>
      <c r="C1791" s="56">
        <v>45945</v>
      </c>
      <c r="D1791" s="155">
        <v>1312</v>
      </c>
      <c r="F1791" s="43" t="s">
        <v>1729</v>
      </c>
      <c r="G1791" t="s">
        <v>1697</v>
      </c>
    </row>
    <row r="1792" spans="1:7">
      <c r="A1792" s="930" t="s">
        <v>991</v>
      </c>
      <c r="B1792" s="315" t="s">
        <v>126</v>
      </c>
      <c r="C1792" s="56">
        <v>45945</v>
      </c>
      <c r="D1792" s="155">
        <v>1239</v>
      </c>
      <c r="F1792" s="43" t="s">
        <v>1730</v>
      </c>
      <c r="G1792" t="s">
        <v>1697</v>
      </c>
    </row>
    <row r="1793" spans="1:7">
      <c r="A1793" s="315" t="s">
        <v>1126</v>
      </c>
      <c r="B1793" s="315" t="s">
        <v>432</v>
      </c>
      <c r="C1793" s="56">
        <v>45945</v>
      </c>
      <c r="D1793" s="43">
        <v>791</v>
      </c>
      <c r="F1793" s="43" t="s">
        <v>1731</v>
      </c>
      <c r="G1793" t="s">
        <v>1697</v>
      </c>
    </row>
    <row r="1794" spans="1:7">
      <c r="A1794" s="306" t="s">
        <v>362</v>
      </c>
      <c r="B1794" s="311" t="s">
        <v>1073</v>
      </c>
      <c r="C1794" s="56">
        <v>45945</v>
      </c>
      <c r="D1794" s="43">
        <v>986</v>
      </c>
      <c r="G1794" t="s">
        <v>1697</v>
      </c>
    </row>
    <row r="1795" spans="1:7">
      <c r="A1795" s="306" t="s">
        <v>383</v>
      </c>
      <c r="B1795" s="348" t="s">
        <v>1732</v>
      </c>
      <c r="C1795" s="56">
        <v>45945</v>
      </c>
      <c r="D1795" s="155">
        <v>1457</v>
      </c>
      <c r="F1795" s="43" t="s">
        <v>1733</v>
      </c>
      <c r="G1795" t="s">
        <v>1697</v>
      </c>
    </row>
    <row r="1796" spans="1:7">
      <c r="A1796" s="311" t="s">
        <v>380</v>
      </c>
      <c r="B1796" s="337" t="s">
        <v>215</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663</v>
      </c>
      <c r="B1799" s="141" t="s">
        <v>1688</v>
      </c>
      <c r="C1799" s="310">
        <v>45946</v>
      </c>
      <c r="D1799" s="43">
        <v>487</v>
      </c>
      <c r="F1799" s="43" t="s">
        <v>1735</v>
      </c>
      <c r="G1799" t="s">
        <v>1697</v>
      </c>
    </row>
    <row r="1800" spans="1:7">
      <c r="A1800" s="934" t="s">
        <v>586</v>
      </c>
      <c r="B1800" s="141" t="s">
        <v>126</v>
      </c>
      <c r="C1800" s="310">
        <v>45946</v>
      </c>
      <c r="D1800" s="43">
        <v>359</v>
      </c>
      <c r="F1800" s="43" t="s">
        <v>1736</v>
      </c>
      <c r="G1800" t="s">
        <v>1697</v>
      </c>
    </row>
    <row r="1801" spans="1:7">
      <c r="A1801" s="935" t="s">
        <v>991</v>
      </c>
      <c r="B1801" s="141" t="s">
        <v>126</v>
      </c>
      <c r="C1801" s="310">
        <v>45946</v>
      </c>
      <c r="D1801" s="155">
        <v>1220</v>
      </c>
      <c r="F1801" s="43" t="s">
        <v>1737</v>
      </c>
      <c r="G1801" t="s">
        <v>1697</v>
      </c>
    </row>
    <row r="1802" spans="1:7">
      <c r="A1802" s="305" t="s">
        <v>1126</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1073</v>
      </c>
      <c r="C1804" s="310">
        <v>45946</v>
      </c>
      <c r="D1804" s="43">
        <v>170</v>
      </c>
      <c r="G1804" t="s">
        <v>1697</v>
      </c>
    </row>
    <row r="1805" spans="1:7">
      <c r="A1805" s="141" t="s">
        <v>383</v>
      </c>
      <c r="B1805" s="141" t="s">
        <v>1732</v>
      </c>
      <c r="C1805" s="310">
        <v>45946</v>
      </c>
      <c r="D1805" s="155">
        <v>1142</v>
      </c>
      <c r="F1805" s="43" t="s">
        <v>1738</v>
      </c>
      <c r="G1805" t="s">
        <v>1697</v>
      </c>
    </row>
    <row r="1806" spans="1:7">
      <c r="A1806" s="304" t="s">
        <v>380</v>
      </c>
      <c r="B1806" s="304" t="s">
        <v>215</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663</v>
      </c>
      <c r="B1809" s="141" t="s">
        <v>1688</v>
      </c>
      <c r="C1809" s="56">
        <v>45947</v>
      </c>
      <c r="D1809" s="43">
        <v>123</v>
      </c>
      <c r="F1809" s="43" t="s">
        <v>1653</v>
      </c>
      <c r="G1809" t="s">
        <v>1697</v>
      </c>
    </row>
    <row r="1810" spans="1:7">
      <c r="A1810" s="683" t="s">
        <v>580</v>
      </c>
      <c r="B1810" s="683" t="s">
        <v>1073</v>
      </c>
      <c r="C1810" s="56">
        <v>45947</v>
      </c>
      <c r="F1810" s="43" t="s">
        <v>1741</v>
      </c>
      <c r="G1810" t="s">
        <v>1697</v>
      </c>
    </row>
    <row r="1811" spans="1:7">
      <c r="A1811" s="148" t="s">
        <v>1126</v>
      </c>
      <c r="B1811" s="115" t="s">
        <v>432</v>
      </c>
      <c r="C1811" s="56">
        <v>45947</v>
      </c>
      <c r="F1811" s="43" t="s">
        <v>1742</v>
      </c>
      <c r="G1811" t="s">
        <v>1697</v>
      </c>
    </row>
    <row r="1812" spans="1:7">
      <c r="A1812" s="618" t="s">
        <v>383</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515</v>
      </c>
      <c r="B1814" s="759" t="s">
        <v>1073</v>
      </c>
      <c r="C1814" s="56">
        <v>45950</v>
      </c>
      <c r="D1814" s="43">
        <v>153</v>
      </c>
      <c r="F1814" s="948"/>
      <c r="G1814" t="s">
        <v>1697</v>
      </c>
    </row>
    <row r="1815" spans="1:7">
      <c r="A1815" s="946" t="s">
        <v>663</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126</v>
      </c>
      <c r="C1817" s="56">
        <v>45950</v>
      </c>
      <c r="D1817" s="43">
        <v>853</v>
      </c>
      <c r="F1817" s="43" t="s">
        <v>1745</v>
      </c>
      <c r="G1817" t="s">
        <v>1697</v>
      </c>
    </row>
    <row r="1818" spans="1:7">
      <c r="A1818" s="947" t="s">
        <v>1126</v>
      </c>
      <c r="B1818" s="947" t="s">
        <v>432</v>
      </c>
      <c r="C1818" s="56">
        <v>45950</v>
      </c>
      <c r="D1818" s="155">
        <v>3343</v>
      </c>
      <c r="F1818" s="43" t="s">
        <v>1746</v>
      </c>
      <c r="G1818" t="s">
        <v>1697</v>
      </c>
    </row>
    <row r="1819" spans="1:7">
      <c r="A1819" s="949" t="s">
        <v>527</v>
      </c>
      <c r="B1819" s="950" t="s">
        <v>1073</v>
      </c>
      <c r="C1819" s="56">
        <v>45950</v>
      </c>
      <c r="D1819" s="43">
        <v>151</v>
      </c>
      <c r="G1819" t="s">
        <v>1697</v>
      </c>
    </row>
    <row r="1820" spans="1:7">
      <c r="A1820" s="759" t="s">
        <v>383</v>
      </c>
      <c r="B1820" s="759" t="s">
        <v>1732</v>
      </c>
      <c r="C1820" s="56">
        <v>45950</v>
      </c>
      <c r="D1820" s="155">
        <v>1186</v>
      </c>
      <c r="F1820" s="43" t="s">
        <v>1572</v>
      </c>
      <c r="G1820" t="s">
        <v>1697</v>
      </c>
    </row>
    <row r="1821" spans="1:7">
      <c r="A1821" s="947" t="s">
        <v>380</v>
      </c>
      <c r="B1821" s="947" t="s">
        <v>215</v>
      </c>
      <c r="C1821" s="56">
        <v>45950</v>
      </c>
      <c r="D1821" s="155">
        <v>1100</v>
      </c>
      <c r="G1821" t="s">
        <v>1697</v>
      </c>
    </row>
    <row r="1822" spans="1:7">
      <c r="A1822" s="965" t="s">
        <v>515</v>
      </c>
      <c r="B1822" s="958" t="s">
        <v>1073</v>
      </c>
      <c r="C1822" s="56">
        <v>45951</v>
      </c>
      <c r="D1822" s="155">
        <v>244</v>
      </c>
      <c r="G1822" t="s">
        <v>1697</v>
      </c>
    </row>
    <row r="1823" spans="1:7">
      <c r="A1823" s="88" t="s">
        <v>663</v>
      </c>
      <c r="B1823" s="953" t="s">
        <v>1688</v>
      </c>
      <c r="C1823" s="56">
        <v>45951</v>
      </c>
      <c r="D1823" s="43">
        <v>413</v>
      </c>
      <c r="F1823" s="43" t="s">
        <v>1166</v>
      </c>
      <c r="G1823" t="s">
        <v>1697</v>
      </c>
    </row>
    <row r="1824" spans="1:7">
      <c r="A1824" s="954" t="s">
        <v>586</v>
      </c>
      <c r="B1824" s="683" t="s">
        <v>126</v>
      </c>
      <c r="C1824" s="56">
        <v>45951</v>
      </c>
      <c r="D1824" s="43">
        <v>230</v>
      </c>
      <c r="F1824" s="43" t="s">
        <v>1747</v>
      </c>
      <c r="G1824" t="s">
        <v>1697</v>
      </c>
    </row>
    <row r="1825" spans="1:7">
      <c r="A1825" s="115" t="s">
        <v>1126</v>
      </c>
      <c r="B1825" s="115" t="s">
        <v>432</v>
      </c>
      <c r="C1825" s="56">
        <v>45951</v>
      </c>
      <c r="D1825" s="43">
        <v>714</v>
      </c>
      <c r="F1825" s="43" t="s">
        <v>1574</v>
      </c>
      <c r="G1825" t="s">
        <v>1697</v>
      </c>
    </row>
    <row r="1826" spans="1:7">
      <c r="A1826" s="956" t="s">
        <v>993</v>
      </c>
      <c r="B1826" s="957" t="s">
        <v>126</v>
      </c>
      <c r="C1826" s="56">
        <v>45951</v>
      </c>
      <c r="D1826" s="155">
        <v>1007</v>
      </c>
      <c r="F1826" s="43" t="s">
        <v>1748</v>
      </c>
      <c r="G1826" t="s">
        <v>1697</v>
      </c>
    </row>
    <row r="1827" spans="1:7">
      <c r="A1827" s="169" t="s">
        <v>592</v>
      </c>
      <c r="B1827" s="43" t="s">
        <v>126</v>
      </c>
      <c r="C1827" s="56">
        <v>45951</v>
      </c>
      <c r="D1827" s="155">
        <v>1182</v>
      </c>
      <c r="F1827" s="43" t="s">
        <v>1749</v>
      </c>
      <c r="G1827" t="s">
        <v>1697</v>
      </c>
    </row>
    <row r="1828" spans="1:7">
      <c r="A1828" s="322" t="s">
        <v>527</v>
      </c>
      <c r="B1828" s="958" t="s">
        <v>1073</v>
      </c>
      <c r="C1828" s="56">
        <v>45951</v>
      </c>
      <c r="D1828" s="43">
        <v>149</v>
      </c>
      <c r="G1828" t="s">
        <v>1697</v>
      </c>
    </row>
    <row r="1829" spans="1:7">
      <c r="A1829" s="733" t="s">
        <v>383</v>
      </c>
      <c r="B1829" s="115" t="s">
        <v>1732</v>
      </c>
      <c r="C1829" s="56">
        <v>45951</v>
      </c>
      <c r="D1829" s="155">
        <v>1564</v>
      </c>
      <c r="F1829" s="43" t="s">
        <v>1750</v>
      </c>
      <c r="G1829" t="s">
        <v>1697</v>
      </c>
    </row>
    <row r="1830" spans="1:7">
      <c r="A1830" s="43" t="s">
        <v>380</v>
      </c>
      <c r="B1830" s="141" t="s">
        <v>215</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78</v>
      </c>
      <c r="B1832" s="398" t="s">
        <v>1073</v>
      </c>
      <c r="C1832" s="56">
        <v>45952</v>
      </c>
      <c r="D1832" s="43">
        <v>168</v>
      </c>
      <c r="G1832" t="s">
        <v>1697</v>
      </c>
    </row>
    <row r="1833" spans="1:7">
      <c r="A1833" s="88" t="s">
        <v>663</v>
      </c>
      <c r="B1833" s="953" t="s">
        <v>1688</v>
      </c>
      <c r="C1833" s="56">
        <v>45952</v>
      </c>
      <c r="D1833" s="43">
        <v>190</v>
      </c>
      <c r="G1833" t="s">
        <v>1697</v>
      </c>
    </row>
    <row r="1834" spans="1:7">
      <c r="A1834" s="805" t="s">
        <v>1126</v>
      </c>
      <c r="B1834" s="805" t="s">
        <v>432</v>
      </c>
      <c r="C1834" s="56">
        <v>45952</v>
      </c>
      <c r="D1834" s="155">
        <v>2013</v>
      </c>
      <c r="F1834" s="320" t="s">
        <v>1752</v>
      </c>
      <c r="G1834" t="s">
        <v>1697</v>
      </c>
    </row>
    <row r="1835" spans="1:7">
      <c r="A1835" s="805" t="s">
        <v>592</v>
      </c>
      <c r="B1835" s="805" t="s">
        <v>126</v>
      </c>
      <c r="C1835" s="56">
        <v>45952</v>
      </c>
      <c r="D1835" s="155">
        <v>1604</v>
      </c>
      <c r="F1835" s="43" t="s">
        <v>1753</v>
      </c>
      <c r="G1835" t="s">
        <v>1697</v>
      </c>
    </row>
    <row r="1836" spans="1:7">
      <c r="A1836" s="956" t="s">
        <v>993</v>
      </c>
      <c r="B1836" s="395" t="s">
        <v>126</v>
      </c>
      <c r="C1836" s="56">
        <v>45952</v>
      </c>
      <c r="D1836" s="155">
        <v>1672</v>
      </c>
      <c r="F1836" s="43" t="s">
        <v>1754</v>
      </c>
      <c r="G1836" t="s">
        <v>1697</v>
      </c>
    </row>
    <row r="1837" spans="1:7">
      <c r="A1837" s="931" t="s">
        <v>527</v>
      </c>
      <c r="B1837" s="966" t="s">
        <v>1073</v>
      </c>
      <c r="C1837" s="56">
        <v>45952</v>
      </c>
      <c r="F1837" s="306" t="s">
        <v>1755</v>
      </c>
      <c r="G1837" t="s">
        <v>1697</v>
      </c>
    </row>
    <row r="1838" spans="1:7">
      <c r="A1838" s="618" t="s">
        <v>383</v>
      </c>
      <c r="B1838" s="161" t="s">
        <v>1732</v>
      </c>
      <c r="C1838" s="56">
        <v>45952</v>
      </c>
      <c r="D1838" s="155">
        <v>1012</v>
      </c>
      <c r="F1838" s="43" t="s">
        <v>1756</v>
      </c>
      <c r="G1838" t="s">
        <v>1697</v>
      </c>
    </row>
    <row r="1839" spans="1:7">
      <c r="A1839" s="43" t="s">
        <v>380</v>
      </c>
      <c r="B1839" s="318" t="s">
        <v>215</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515</v>
      </c>
      <c r="B1842" s="973" t="s">
        <v>1073</v>
      </c>
      <c r="C1842" s="56">
        <v>45953</v>
      </c>
      <c r="D1842" s="43">
        <v>237</v>
      </c>
      <c r="G1842" t="s">
        <v>1697</v>
      </c>
    </row>
    <row r="1843" spans="1:7">
      <c r="A1843" s="331" t="s">
        <v>663</v>
      </c>
      <c r="B1843" s="247" t="s">
        <v>1688</v>
      </c>
      <c r="C1843" s="310">
        <v>45953</v>
      </c>
      <c r="D1843" s="43">
        <v>844</v>
      </c>
      <c r="F1843" s="43" t="s">
        <v>1758</v>
      </c>
      <c r="G1843" t="s">
        <v>1697</v>
      </c>
    </row>
    <row r="1844" spans="1:7">
      <c r="A1844" s="331" t="s">
        <v>663</v>
      </c>
      <c r="B1844" s="247" t="s">
        <v>1759</v>
      </c>
      <c r="C1844" s="310">
        <v>45953</v>
      </c>
      <c r="D1844" s="43">
        <v>350</v>
      </c>
      <c r="G1844" t="s">
        <v>1697</v>
      </c>
    </row>
    <row r="1845" spans="1:7">
      <c r="A1845" s="141" t="s">
        <v>1126</v>
      </c>
      <c r="B1845" s="304" t="s">
        <v>432</v>
      </c>
      <c r="C1845" s="56">
        <v>45953</v>
      </c>
      <c r="D1845" s="155">
        <v>1500</v>
      </c>
      <c r="F1845" s="43" t="s">
        <v>1760</v>
      </c>
      <c r="G1845" t="s">
        <v>1697</v>
      </c>
    </row>
    <row r="1846" spans="1:7">
      <c r="A1846" s="141" t="s">
        <v>592</v>
      </c>
      <c r="B1846" s="141" t="s">
        <v>126</v>
      </c>
      <c r="C1846" s="56">
        <v>45953</v>
      </c>
      <c r="D1846" s="155">
        <v>1268</v>
      </c>
      <c r="F1846" s="43" t="s">
        <v>1761</v>
      </c>
      <c r="G1846" t="s">
        <v>1697</v>
      </c>
    </row>
    <row r="1847" spans="1:7">
      <c r="A1847" s="967" t="s">
        <v>993</v>
      </c>
      <c r="B1847" s="395" t="s">
        <v>126</v>
      </c>
      <c r="C1847" s="56">
        <v>45953</v>
      </c>
      <c r="D1847" s="155">
        <v>1544</v>
      </c>
      <c r="F1847" s="43" t="s">
        <v>1762</v>
      </c>
      <c r="G1847" t="s">
        <v>1697</v>
      </c>
    </row>
    <row r="1848" spans="1:7">
      <c r="A1848" s="169" t="s">
        <v>547</v>
      </c>
      <c r="B1848" s="398" t="s">
        <v>1073</v>
      </c>
      <c r="C1848" s="56">
        <v>45953</v>
      </c>
      <c r="F1848" s="311" t="s">
        <v>1569</v>
      </c>
      <c r="G1848" t="s">
        <v>1697</v>
      </c>
    </row>
    <row r="1849" spans="1:7">
      <c r="A1849" s="931" t="s">
        <v>527</v>
      </c>
      <c r="B1849" s="966" t="s">
        <v>1073</v>
      </c>
      <c r="C1849" s="56">
        <v>45953</v>
      </c>
      <c r="F1849" s="306" t="s">
        <v>1350</v>
      </c>
      <c r="G1849" t="s">
        <v>1697</v>
      </c>
    </row>
    <row r="1850" spans="1:7">
      <c r="A1850" s="618" t="s">
        <v>383</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78</v>
      </c>
      <c r="B1853" s="973" t="s">
        <v>1073</v>
      </c>
      <c r="C1853" s="56">
        <v>45954</v>
      </c>
      <c r="D1853" s="43">
        <v>34</v>
      </c>
      <c r="G1853" t="s">
        <v>1697</v>
      </c>
    </row>
    <row r="1854" spans="1:7">
      <c r="A1854" s="88" t="s">
        <v>663</v>
      </c>
      <c r="B1854" s="247" t="s">
        <v>1688</v>
      </c>
      <c r="C1854" s="56">
        <v>45954</v>
      </c>
      <c r="D1854" s="43">
        <v>142</v>
      </c>
      <c r="F1854" s="43" t="s">
        <v>1765</v>
      </c>
      <c r="G1854" t="s">
        <v>1697</v>
      </c>
    </row>
    <row r="1855" spans="1:7">
      <c r="A1855" s="88" t="s">
        <v>663</v>
      </c>
      <c r="B1855" s="247" t="s">
        <v>1759</v>
      </c>
      <c r="C1855" s="56">
        <v>45954</v>
      </c>
      <c r="D1855" s="43">
        <v>164</v>
      </c>
      <c r="F1855" s="43" t="s">
        <v>1766</v>
      </c>
      <c r="G1855" t="s">
        <v>1697</v>
      </c>
    </row>
    <row r="1856" spans="1:7">
      <c r="A1856" s="141" t="s">
        <v>1126</v>
      </c>
      <c r="B1856" s="304" t="s">
        <v>432</v>
      </c>
      <c r="C1856" s="56">
        <v>45954</v>
      </c>
      <c r="D1856" s="155">
        <v>1933</v>
      </c>
      <c r="G1856" t="s">
        <v>1697</v>
      </c>
    </row>
    <row r="1857" spans="1:7">
      <c r="A1857" s="931" t="s">
        <v>527</v>
      </c>
      <c r="B1857" s="966" t="s">
        <v>1073</v>
      </c>
      <c r="C1857" s="56">
        <v>45954</v>
      </c>
      <c r="F1857" s="43" t="s">
        <v>1767</v>
      </c>
      <c r="G1857" t="s">
        <v>1697</v>
      </c>
    </row>
    <row r="1858" spans="1:7">
      <c r="A1858" s="618" t="s">
        <v>381</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78</v>
      </c>
      <c r="B1860" s="398" t="s">
        <v>1073</v>
      </c>
      <c r="C1860" s="56">
        <v>45957</v>
      </c>
      <c r="D1860" s="43">
        <v>188</v>
      </c>
      <c r="G1860" t="s">
        <v>1697</v>
      </c>
    </row>
    <row r="1861" spans="1:7">
      <c r="A1861" s="88" t="s">
        <v>663</v>
      </c>
      <c r="B1861" s="247" t="s">
        <v>1688</v>
      </c>
      <c r="C1861" s="56">
        <v>45957</v>
      </c>
      <c r="F1861" s="43" t="s">
        <v>1166</v>
      </c>
      <c r="G1861" t="s">
        <v>1697</v>
      </c>
    </row>
    <row r="1862" spans="1:7">
      <c r="A1862" s="88" t="s">
        <v>663</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432</v>
      </c>
      <c r="C1865" s="56">
        <v>45957</v>
      </c>
      <c r="D1865" s="43">
        <v>820</v>
      </c>
      <c r="F1865" s="43" t="s">
        <v>1772</v>
      </c>
      <c r="G1865" t="s">
        <v>1697</v>
      </c>
    </row>
    <row r="1866" spans="1:7">
      <c r="A1866" s="141" t="s">
        <v>993</v>
      </c>
      <c r="B1866" s="141" t="s">
        <v>126</v>
      </c>
      <c r="C1866" s="56">
        <v>45957</v>
      </c>
      <c r="D1866" s="43">
        <v>587</v>
      </c>
      <c r="F1866" s="43" t="s">
        <v>1773</v>
      </c>
      <c r="G1866" t="s">
        <v>1697</v>
      </c>
    </row>
    <row r="1867" spans="1:7">
      <c r="A1867" s="967" t="s">
        <v>592</v>
      </c>
      <c r="B1867" s="395" t="s">
        <v>126</v>
      </c>
      <c r="C1867" s="56">
        <v>45957</v>
      </c>
      <c r="D1867" s="155">
        <v>1310</v>
      </c>
      <c r="F1867" s="43" t="s">
        <v>1774</v>
      </c>
      <c r="G1867" t="s">
        <v>1697</v>
      </c>
    </row>
    <row r="1868" spans="1:7">
      <c r="A1868" s="169" t="s">
        <v>547</v>
      </c>
      <c r="B1868" s="169" t="s">
        <v>126</v>
      </c>
      <c r="C1868" s="56">
        <v>45957</v>
      </c>
      <c r="D1868" s="43">
        <v>270</v>
      </c>
      <c r="G1868" t="s">
        <v>1697</v>
      </c>
    </row>
    <row r="1869" spans="1:7">
      <c r="A1869" s="931" t="s">
        <v>267</v>
      </c>
      <c r="B1869" s="966" t="s">
        <v>1073</v>
      </c>
      <c r="C1869" s="56">
        <v>45957</v>
      </c>
      <c r="F1869" s="320" t="s">
        <v>1596</v>
      </c>
      <c r="G1869" t="s">
        <v>1697</v>
      </c>
    </row>
    <row r="1870" spans="1:7">
      <c r="A1870" s="618" t="s">
        <v>381</v>
      </c>
      <c r="B1870" s="161" t="s">
        <v>1732</v>
      </c>
      <c r="C1870" s="56">
        <v>45957</v>
      </c>
      <c r="D1870" s="155">
        <v>1323</v>
      </c>
      <c r="F1870" s="43" t="s">
        <v>1775</v>
      </c>
      <c r="G1870" t="s">
        <v>1697</v>
      </c>
    </row>
    <row r="1871" spans="1:7">
      <c r="A1871" s="43" t="s">
        <v>380</v>
      </c>
      <c r="B1871" s="318" t="s">
        <v>215</v>
      </c>
      <c r="C1871" s="56">
        <v>45957</v>
      </c>
      <c r="F1871" s="320" t="s">
        <v>1596</v>
      </c>
      <c r="G1871" t="s">
        <v>1697</v>
      </c>
    </row>
    <row r="1872" spans="1:7">
      <c r="A1872" s="593" t="s">
        <v>1091</v>
      </c>
      <c r="B1872" s="398" t="s">
        <v>1073</v>
      </c>
      <c r="C1872" s="56">
        <v>45958</v>
      </c>
      <c r="F1872" s="320" t="s">
        <v>1776</v>
      </c>
      <c r="G1872" t="s">
        <v>1697</v>
      </c>
    </row>
    <row r="1873" spans="1:7">
      <c r="A1873" s="88" t="s">
        <v>78</v>
      </c>
      <c r="B1873" s="398" t="s">
        <v>1073</v>
      </c>
      <c r="C1873" s="56">
        <v>45958</v>
      </c>
      <c r="D1873" s="43">
        <v>140</v>
      </c>
      <c r="F1873" s="320"/>
      <c r="G1873" t="s">
        <v>1697</v>
      </c>
    </row>
    <row r="1874" spans="1:7">
      <c r="A1874" s="88" t="s">
        <v>663</v>
      </c>
      <c r="B1874" s="247" t="s">
        <v>1688</v>
      </c>
      <c r="C1874" s="56">
        <v>45958</v>
      </c>
      <c r="F1874" s="320" t="s">
        <v>1350</v>
      </c>
      <c r="G1874" t="s">
        <v>1697</v>
      </c>
    </row>
    <row r="1875" spans="1:7">
      <c r="A1875" s="88" t="s">
        <v>663</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432</v>
      </c>
      <c r="C1878" s="56">
        <v>45958</v>
      </c>
      <c r="D1878" s="155">
        <v>2077</v>
      </c>
      <c r="G1878" t="s">
        <v>1697</v>
      </c>
    </row>
    <row r="1879" spans="1:7">
      <c r="A1879" s="141" t="s">
        <v>584</v>
      </c>
      <c r="B1879" s="141" t="s">
        <v>126</v>
      </c>
      <c r="C1879" s="56">
        <v>45958</v>
      </c>
      <c r="D1879" s="155">
        <v>1509</v>
      </c>
      <c r="F1879" s="43" t="s">
        <v>1779</v>
      </c>
      <c r="G1879" t="s">
        <v>1697</v>
      </c>
    </row>
    <row r="1880" spans="1:7">
      <c r="A1880" s="967" t="s">
        <v>578</v>
      </c>
      <c r="B1880" s="395" t="s">
        <v>126</v>
      </c>
      <c r="C1880" s="56">
        <v>45958</v>
      </c>
      <c r="D1880" s="155">
        <v>1678</v>
      </c>
      <c r="F1880" s="43" t="s">
        <v>1780</v>
      </c>
      <c r="G1880" t="s">
        <v>1697</v>
      </c>
    </row>
    <row r="1881" spans="1:7">
      <c r="A1881" s="967" t="s">
        <v>993</v>
      </c>
      <c r="B1881" s="395" t="s">
        <v>126</v>
      </c>
      <c r="C1881" s="56">
        <v>45958</v>
      </c>
      <c r="D1881" s="155">
        <v>115</v>
      </c>
      <c r="F1881" s="43" t="s">
        <v>1662</v>
      </c>
      <c r="G1881" t="s">
        <v>1697</v>
      </c>
    </row>
    <row r="1882" spans="1:7">
      <c r="A1882" s="169" t="s">
        <v>547</v>
      </c>
      <c r="B1882" s="169" t="s">
        <v>1073</v>
      </c>
      <c r="C1882" s="56">
        <v>45958</v>
      </c>
      <c r="D1882" s="43">
        <v>60</v>
      </c>
      <c r="E1882" s="139">
        <v>886</v>
      </c>
      <c r="F1882" s="43" t="s">
        <v>1781</v>
      </c>
      <c r="G1882" t="s">
        <v>1697</v>
      </c>
    </row>
    <row r="1883" spans="1:7">
      <c r="A1883" s="618" t="s">
        <v>381</v>
      </c>
      <c r="B1883" s="161" t="s">
        <v>1732</v>
      </c>
      <c r="C1883" s="56">
        <v>45958</v>
      </c>
      <c r="D1883" s="155">
        <v>1516</v>
      </c>
      <c r="F1883" s="43" t="s">
        <v>1782</v>
      </c>
      <c r="G1883" t="s">
        <v>1697</v>
      </c>
    </row>
    <row r="1884" spans="1:7">
      <c r="A1884" s="43" t="s">
        <v>380</v>
      </c>
      <c r="B1884" s="318" t="s">
        <v>215</v>
      </c>
      <c r="C1884" s="56">
        <v>45958</v>
      </c>
      <c r="D1884" s="155">
        <v>1224</v>
      </c>
      <c r="G1884" t="s">
        <v>1697</v>
      </c>
    </row>
    <row r="1885" spans="1:7">
      <c r="A1885" s="43" t="s">
        <v>380</v>
      </c>
      <c r="B1885" s="655" t="s">
        <v>215</v>
      </c>
      <c r="C1885" s="56">
        <v>45958</v>
      </c>
      <c r="D1885" s="155">
        <v>423</v>
      </c>
      <c r="G1885" t="s">
        <v>1697</v>
      </c>
    </row>
    <row r="1886" spans="1:7">
      <c r="A1886" s="88" t="s">
        <v>512</v>
      </c>
      <c r="B1886" s="398" t="s">
        <v>1073</v>
      </c>
      <c r="C1886" s="56">
        <v>45959</v>
      </c>
      <c r="D1886" s="43">
        <v>171</v>
      </c>
      <c r="G1886" t="s">
        <v>1697</v>
      </c>
    </row>
    <row r="1887" spans="1:7">
      <c r="A1887" s="88" t="s">
        <v>663</v>
      </c>
      <c r="B1887" s="247" t="s">
        <v>1688</v>
      </c>
      <c r="C1887" s="56">
        <v>45959</v>
      </c>
      <c r="F1887" s="43" t="s">
        <v>1783</v>
      </c>
      <c r="G1887" t="s">
        <v>1697</v>
      </c>
    </row>
    <row r="1888" spans="1:7">
      <c r="A1888" s="88" t="s">
        <v>663</v>
      </c>
      <c r="B1888" s="247" t="s">
        <v>1784</v>
      </c>
      <c r="C1888" s="56">
        <v>45959</v>
      </c>
      <c r="D1888" s="155">
        <v>1147</v>
      </c>
      <c r="F1888" s="43" t="s">
        <v>1785</v>
      </c>
      <c r="G1888" t="s">
        <v>1697</v>
      </c>
    </row>
    <row r="1889" spans="1:7">
      <c r="A1889" s="88" t="s">
        <v>663</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432</v>
      </c>
      <c r="C1892" s="56">
        <v>45959</v>
      </c>
      <c r="D1892" s="155">
        <v>1096</v>
      </c>
      <c r="F1892" s="43" t="s">
        <v>1787</v>
      </c>
      <c r="G1892" t="s">
        <v>1697</v>
      </c>
    </row>
    <row r="1893" spans="1:7">
      <c r="A1893" s="756" t="s">
        <v>584</v>
      </c>
      <c r="B1893" s="655" t="s">
        <v>126</v>
      </c>
      <c r="C1893" s="56">
        <v>45959</v>
      </c>
      <c r="D1893" s="155">
        <v>1087</v>
      </c>
      <c r="F1893" s="43" t="s">
        <v>1788</v>
      </c>
      <c r="G1893" t="s">
        <v>1697</v>
      </c>
    </row>
    <row r="1894" spans="1:7">
      <c r="A1894" s="980" t="s">
        <v>381</v>
      </c>
      <c r="B1894" s="161" t="s">
        <v>1732</v>
      </c>
      <c r="C1894" s="56">
        <v>45959</v>
      </c>
      <c r="D1894" s="43">
        <v>790</v>
      </c>
      <c r="F1894" s="43" t="s">
        <v>1789</v>
      </c>
      <c r="G1894" t="s">
        <v>1697</v>
      </c>
    </row>
    <row r="1895" spans="1:7">
      <c r="A1895" s="43" t="s">
        <v>380</v>
      </c>
      <c r="B1895" s="655" t="s">
        <v>215</v>
      </c>
      <c r="C1895" s="56">
        <v>45959</v>
      </c>
      <c r="D1895" s="43">
        <v>343</v>
      </c>
      <c r="G1895" t="s">
        <v>1697</v>
      </c>
    </row>
    <row r="1896" spans="1:7">
      <c r="A1896" s="69" t="s">
        <v>376</v>
      </c>
      <c r="B1896" s="43" t="s">
        <v>215</v>
      </c>
      <c r="C1896" s="56">
        <v>45959</v>
      </c>
      <c r="D1896" s="155">
        <v>3179</v>
      </c>
      <c r="G1896" t="s">
        <v>1697</v>
      </c>
    </row>
    <row r="1897" spans="1:7">
      <c r="A1897" s="311" t="s">
        <v>362</v>
      </c>
      <c r="B1897" s="311" t="s">
        <v>1073</v>
      </c>
      <c r="C1897" s="56">
        <v>45959</v>
      </c>
      <c r="F1897" s="43" t="s">
        <v>1790</v>
      </c>
      <c r="G1897" t="s">
        <v>1697</v>
      </c>
    </row>
    <row r="1898" spans="1:7">
      <c r="A1898" s="315" t="s">
        <v>527</v>
      </c>
      <c r="B1898" s="315" t="s">
        <v>1073</v>
      </c>
      <c r="C1898" s="56">
        <v>45959</v>
      </c>
      <c r="E1898" s="321">
        <v>5475</v>
      </c>
      <c r="F1898" s="43" t="s">
        <v>1791</v>
      </c>
      <c r="G1898" t="s">
        <v>1697</v>
      </c>
    </row>
    <row r="1899" spans="1:7">
      <c r="A1899" s="88" t="s">
        <v>663</v>
      </c>
      <c r="B1899" s="247" t="s">
        <v>1688</v>
      </c>
      <c r="C1899" s="56">
        <v>45960</v>
      </c>
      <c r="F1899" s="320" t="s">
        <v>1792</v>
      </c>
      <c r="G1899" t="s">
        <v>1697</v>
      </c>
    </row>
    <row r="1900" spans="1:7">
      <c r="A1900" s="88" t="s">
        <v>663</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432</v>
      </c>
      <c r="C1903" s="56">
        <v>45960</v>
      </c>
      <c r="F1903" s="141" t="s">
        <v>1796</v>
      </c>
      <c r="G1903" t="s">
        <v>1697</v>
      </c>
    </row>
    <row r="1904" spans="1:7">
      <c r="A1904" s="306" t="s">
        <v>584</v>
      </c>
      <c r="B1904" s="318" t="s">
        <v>126</v>
      </c>
      <c r="C1904" s="56">
        <v>45960</v>
      </c>
      <c r="D1904" s="43">
        <v>777</v>
      </c>
      <c r="F1904" s="43" t="s">
        <v>1797</v>
      </c>
      <c r="G1904" t="s">
        <v>1697</v>
      </c>
    </row>
    <row r="1905" spans="1:7">
      <c r="A1905" s="43" t="s">
        <v>578</v>
      </c>
      <c r="B1905" s="994" t="s">
        <v>126</v>
      </c>
      <c r="C1905" s="56">
        <v>45960</v>
      </c>
      <c r="D1905" s="43">
        <v>394</v>
      </c>
      <c r="E1905" s="321">
        <v>1275</v>
      </c>
      <c r="F1905" s="43" t="s">
        <v>1798</v>
      </c>
      <c r="G1905" t="s">
        <v>1697</v>
      </c>
    </row>
    <row r="1906" spans="1:7">
      <c r="A1906" s="995" t="s">
        <v>619</v>
      </c>
      <c r="B1906" s="169" t="s">
        <v>126</v>
      </c>
      <c r="C1906" s="56">
        <v>45960</v>
      </c>
      <c r="D1906" s="43">
        <v>978</v>
      </c>
      <c r="G1906" t="s">
        <v>1697</v>
      </c>
    </row>
    <row r="1907" spans="1:7">
      <c r="A1907" s="169" t="s">
        <v>428</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582</v>
      </c>
      <c r="B1909" s="169" t="s">
        <v>126</v>
      </c>
      <c r="C1909" s="56">
        <v>45960</v>
      </c>
      <c r="D1909" s="139"/>
      <c r="E1909" s="43"/>
      <c r="F1909" s="154" t="s">
        <v>1799</v>
      </c>
      <c r="G1909" t="s">
        <v>1697</v>
      </c>
    </row>
    <row r="1910" spans="1:7">
      <c r="A1910" s="43" t="s">
        <v>380</v>
      </c>
      <c r="B1910" s="318" t="s">
        <v>215</v>
      </c>
      <c r="C1910" s="56">
        <v>45960</v>
      </c>
      <c r="E1910" s="253"/>
      <c r="F1910" s="615" t="s">
        <v>1387</v>
      </c>
      <c r="G1910" t="s">
        <v>1697</v>
      </c>
    </row>
    <row r="1911" spans="1:7">
      <c r="A1911" s="618" t="s">
        <v>381</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362</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663</v>
      </c>
      <c r="B1915" s="247" t="s">
        <v>1688</v>
      </c>
      <c r="C1915" s="56">
        <v>45961</v>
      </c>
      <c r="F1915" s="320" t="s">
        <v>1373</v>
      </c>
      <c r="G1915" t="s">
        <v>1697</v>
      </c>
    </row>
    <row r="1916" spans="1:7">
      <c r="A1916" s="88" t="s">
        <v>663</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432</v>
      </c>
      <c r="C1919" s="56">
        <v>45961</v>
      </c>
      <c r="E1919" s="321">
        <v>1428</v>
      </c>
      <c r="F1919" s="69"/>
      <c r="G1919" t="s">
        <v>1697</v>
      </c>
    </row>
    <row r="1920" spans="1:7">
      <c r="A1920" s="141" t="s">
        <v>584</v>
      </c>
      <c r="B1920" s="141" t="s">
        <v>126</v>
      </c>
      <c r="C1920" s="56">
        <v>45961</v>
      </c>
      <c r="F1920" s="69" t="s">
        <v>1804</v>
      </c>
      <c r="G1920" t="s">
        <v>1697</v>
      </c>
    </row>
    <row r="1921" spans="1:7">
      <c r="A1921" s="43" t="s">
        <v>584</v>
      </c>
      <c r="B1921" s="395" t="s">
        <v>1073</v>
      </c>
      <c r="C1921" s="56">
        <v>45961</v>
      </c>
      <c r="E1921" s="321">
        <v>1862</v>
      </c>
      <c r="F1921" s="618" t="s">
        <v>1520</v>
      </c>
      <c r="G1921" t="s">
        <v>1697</v>
      </c>
    </row>
    <row r="1922" spans="1:7">
      <c r="A1922" s="43" t="s">
        <v>541</v>
      </c>
      <c r="B1922" s="169" t="s">
        <v>1073</v>
      </c>
      <c r="C1922" s="56">
        <v>45961</v>
      </c>
      <c r="D1922" s="43">
        <v>60</v>
      </c>
      <c r="G1922" t="s">
        <v>1697</v>
      </c>
    </row>
    <row r="1923" spans="1:7">
      <c r="A1923" s="618" t="s">
        <v>381</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663</v>
      </c>
      <c r="B1927" s="315" t="s">
        <v>1784</v>
      </c>
      <c r="C1927" s="56">
        <v>45964</v>
      </c>
      <c r="F1927" s="320" t="s">
        <v>1457</v>
      </c>
      <c r="G1927" t="s">
        <v>1807</v>
      </c>
    </row>
    <row r="1928" spans="1:7">
      <c r="A1928" s="304" t="s">
        <v>619</v>
      </c>
      <c r="B1928" s="349" t="s">
        <v>126</v>
      </c>
      <c r="C1928" s="56">
        <v>45964</v>
      </c>
      <c r="D1928" s="155">
        <v>1420</v>
      </c>
      <c r="F1928" s="43" t="s">
        <v>1519</v>
      </c>
      <c r="G1928" t="s">
        <v>1807</v>
      </c>
    </row>
    <row r="1929" spans="1:7">
      <c r="A1929" s="346" t="s">
        <v>592</v>
      </c>
      <c r="B1929" s="349" t="s">
        <v>126</v>
      </c>
      <c r="C1929" s="56">
        <v>45964</v>
      </c>
      <c r="D1929" s="43">
        <v>701</v>
      </c>
      <c r="F1929" s="43" t="s">
        <v>1640</v>
      </c>
      <c r="G1929" t="s">
        <v>1807</v>
      </c>
    </row>
    <row r="1930" spans="1:7">
      <c r="A1930" s="141" t="s">
        <v>590</v>
      </c>
      <c r="B1930" s="304" t="s">
        <v>126</v>
      </c>
      <c r="C1930" s="56">
        <v>45964</v>
      </c>
      <c r="D1930" s="43">
        <v>579</v>
      </c>
      <c r="F1930" s="43" t="s">
        <v>1808</v>
      </c>
      <c r="G1930" t="s">
        <v>1807</v>
      </c>
    </row>
    <row r="1931" spans="1:7">
      <c r="A1931" s="304" t="s">
        <v>1128</v>
      </c>
      <c r="B1931" s="304" t="s">
        <v>1809</v>
      </c>
      <c r="C1931" s="56">
        <v>45964</v>
      </c>
      <c r="D1931" s="43">
        <v>365</v>
      </c>
      <c r="G1931" t="s">
        <v>1807</v>
      </c>
    </row>
    <row r="1932" spans="1:7">
      <c r="A1932" s="304" t="s">
        <v>428</v>
      </c>
      <c r="B1932" s="304" t="s">
        <v>1073</v>
      </c>
      <c r="C1932" s="56">
        <v>45964</v>
      </c>
      <c r="D1932" s="43">
        <v>259</v>
      </c>
      <c r="G1932" t="s">
        <v>1807</v>
      </c>
    </row>
    <row r="1933" spans="1:7">
      <c r="A1933" s="141" t="s">
        <v>946</v>
      </c>
      <c r="B1933" s="318" t="s">
        <v>1732</v>
      </c>
      <c r="C1933" s="56">
        <v>45964</v>
      </c>
      <c r="D1933" s="43">
        <v>463</v>
      </c>
      <c r="G1933" t="s">
        <v>1807</v>
      </c>
    </row>
    <row r="1934" spans="1:7">
      <c r="A1934" s="305" t="s">
        <v>376</v>
      </c>
      <c r="B1934" s="304" t="s">
        <v>215</v>
      </c>
      <c r="C1934" s="56">
        <v>45964</v>
      </c>
      <c r="D1934" s="43">
        <v>882</v>
      </c>
      <c r="F1934" s="43" t="s">
        <v>1810</v>
      </c>
      <c r="G1934" t="s">
        <v>1807</v>
      </c>
    </row>
    <row r="1935" spans="1:7">
      <c r="A1935" s="141" t="s">
        <v>362</v>
      </c>
      <c r="B1935" s="349" t="s">
        <v>1073</v>
      </c>
      <c r="C1935" s="56">
        <v>45964</v>
      </c>
      <c r="F1935" s="43" t="s">
        <v>1543</v>
      </c>
      <c r="G1935" t="s">
        <v>1807</v>
      </c>
    </row>
    <row r="1936" spans="1:7">
      <c r="A1936" s="141" t="s">
        <v>362</v>
      </c>
      <c r="B1936" s="349" t="s">
        <v>1811</v>
      </c>
      <c r="C1936" s="56">
        <v>45964</v>
      </c>
      <c r="E1936" s="321">
        <v>3846</v>
      </c>
      <c r="F1936" s="43" t="s">
        <v>1812</v>
      </c>
      <c r="G1936" t="s">
        <v>1807</v>
      </c>
    </row>
    <row r="1937" spans="1:7">
      <c r="A1937" s="141" t="s">
        <v>362</v>
      </c>
      <c r="B1937" s="349" t="s">
        <v>363</v>
      </c>
      <c r="C1937" s="56">
        <v>45964</v>
      </c>
      <c r="F1937" s="923" t="s">
        <v>1813</v>
      </c>
      <c r="G1937" t="s">
        <v>1807</v>
      </c>
    </row>
    <row r="1938" spans="1:7">
      <c r="A1938" s="141" t="s">
        <v>394</v>
      </c>
      <c r="B1938" s="1003" t="s">
        <v>1073</v>
      </c>
      <c r="C1938" s="56">
        <v>45964</v>
      </c>
      <c r="D1938" s="43">
        <v>207</v>
      </c>
      <c r="G1938" t="s">
        <v>1807</v>
      </c>
    </row>
    <row r="1939" spans="1:7">
      <c r="A1939" s="141" t="s">
        <v>449</v>
      </c>
      <c r="B1939" s="304" t="s">
        <v>126</v>
      </c>
      <c r="C1939" s="56">
        <v>45964</v>
      </c>
      <c r="D1939" s="155">
        <v>3266</v>
      </c>
      <c r="F1939" s="115" t="s">
        <v>1814</v>
      </c>
      <c r="G1939" t="s">
        <v>1807</v>
      </c>
    </row>
    <row r="1940" spans="1:7">
      <c r="A1940" s="88" t="s">
        <v>1091</v>
      </c>
      <c r="B1940" s="398" t="s">
        <v>1073</v>
      </c>
      <c r="C1940" s="56">
        <v>45965</v>
      </c>
      <c r="F1940" s="925" t="s">
        <v>1802</v>
      </c>
      <c r="G1940" t="s">
        <v>1807</v>
      </c>
    </row>
    <row r="1941" spans="1:7">
      <c r="A1941" s="88" t="s">
        <v>663</v>
      </c>
      <c r="B1941" s="953" t="s">
        <v>1784</v>
      </c>
      <c r="C1941" s="56">
        <v>45965</v>
      </c>
      <c r="F1941" s="925" t="s">
        <v>1457</v>
      </c>
      <c r="G1941" t="s">
        <v>1807</v>
      </c>
    </row>
    <row r="1942" spans="1:7">
      <c r="A1942" s="148" t="s">
        <v>518</v>
      </c>
      <c r="B1942" s="148" t="s">
        <v>1598</v>
      </c>
      <c r="C1942" s="56">
        <v>45965</v>
      </c>
      <c r="D1942" s="43">
        <v>363</v>
      </c>
      <c r="G1942" t="s">
        <v>1807</v>
      </c>
    </row>
    <row r="1943" spans="1:7">
      <c r="A1943" s="148" t="s">
        <v>518</v>
      </c>
      <c r="B1943" s="148" t="s">
        <v>226</v>
      </c>
      <c r="C1943" s="56">
        <v>45965</v>
      </c>
      <c r="D1943" s="43">
        <v>778</v>
      </c>
      <c r="G1943" t="s">
        <v>1807</v>
      </c>
    </row>
    <row r="1944" spans="1:7">
      <c r="A1944" s="148" t="s">
        <v>518</v>
      </c>
      <c r="B1944" s="43" t="s">
        <v>1688</v>
      </c>
      <c r="C1944" s="56">
        <v>45965</v>
      </c>
      <c r="D1944" s="43">
        <v>550</v>
      </c>
      <c r="G1944" t="s">
        <v>1807</v>
      </c>
    </row>
    <row r="1945" spans="1:7">
      <c r="A1945" s="967" t="s">
        <v>590</v>
      </c>
      <c r="B1945" s="43" t="s">
        <v>126</v>
      </c>
      <c r="C1945" s="56">
        <v>45965</v>
      </c>
      <c r="D1945" s="155">
        <v>1120</v>
      </c>
      <c r="F1945" s="43" t="s">
        <v>1815</v>
      </c>
      <c r="G1945" t="s">
        <v>1807</v>
      </c>
    </row>
    <row r="1946" spans="1:7">
      <c r="A1946" s="141" t="s">
        <v>619</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1073</v>
      </c>
      <c r="C1948" s="56">
        <v>45965</v>
      </c>
      <c r="D1948" s="43">
        <v>270</v>
      </c>
      <c r="G1948" t="s">
        <v>1807</v>
      </c>
    </row>
    <row r="1949" spans="1:7">
      <c r="A1949" s="618" t="s">
        <v>946</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376</v>
      </c>
      <c r="B1951" s="43" t="s">
        <v>215</v>
      </c>
      <c r="C1951" s="56">
        <v>45965</v>
      </c>
      <c r="D1951" s="155">
        <v>1072</v>
      </c>
      <c r="F1951" s="43" t="s">
        <v>1818</v>
      </c>
      <c r="G1951" t="s">
        <v>1807</v>
      </c>
    </row>
    <row r="1952" spans="1:7">
      <c r="A1952" s="1005" t="s">
        <v>383</v>
      </c>
      <c r="B1952" s="756" t="s">
        <v>1732</v>
      </c>
      <c r="C1952" s="56">
        <v>45965</v>
      </c>
      <c r="F1952" s="923" t="s">
        <v>1231</v>
      </c>
      <c r="G1952" t="s">
        <v>1807</v>
      </c>
    </row>
    <row r="1953" spans="1:7">
      <c r="A1953" s="371" t="s">
        <v>543</v>
      </c>
      <c r="B1953" s="115" t="s">
        <v>1073</v>
      </c>
      <c r="C1953" s="56">
        <v>45965</v>
      </c>
      <c r="E1953" s="201"/>
      <c r="F1953" s="923" t="s">
        <v>1514</v>
      </c>
      <c r="G1953" t="s">
        <v>1807</v>
      </c>
    </row>
    <row r="1954" spans="1:7">
      <c r="A1954" s="247" t="s">
        <v>449</v>
      </c>
      <c r="B1954" s="43" t="s">
        <v>126</v>
      </c>
      <c r="C1954" s="56">
        <v>45965</v>
      </c>
      <c r="D1954" s="321">
        <v>3910</v>
      </c>
      <c r="E1954" s="43"/>
      <c r="F1954" s="154" t="s">
        <v>1819</v>
      </c>
      <c r="G1954" t="s">
        <v>1807</v>
      </c>
    </row>
    <row r="1955" spans="1:7">
      <c r="A1955" s="247" t="s">
        <v>308</v>
      </c>
      <c r="B1955" s="43" t="s">
        <v>126</v>
      </c>
      <c r="C1955" s="56">
        <v>45965</v>
      </c>
      <c r="D1955" s="139">
        <v>372</v>
      </c>
      <c r="E1955" s="43"/>
      <c r="F1955" s="154"/>
      <c r="G1955" t="s">
        <v>1807</v>
      </c>
    </row>
    <row r="1956" spans="1:7">
      <c r="A1956" s="305" t="s">
        <v>518</v>
      </c>
      <c r="B1956" s="305" t="s">
        <v>1598</v>
      </c>
      <c r="C1956" s="56">
        <v>45966</v>
      </c>
      <c r="D1956" s="155">
        <v>1113</v>
      </c>
      <c r="E1956" s="253"/>
      <c r="F1956" s="169"/>
      <c r="G1956" t="s">
        <v>1807</v>
      </c>
    </row>
    <row r="1957" spans="1:7">
      <c r="A1957" s="311" t="s">
        <v>518</v>
      </c>
      <c r="B1957" s="311" t="s">
        <v>226</v>
      </c>
      <c r="C1957" s="56">
        <v>45966</v>
      </c>
      <c r="D1957" s="43">
        <v>885</v>
      </c>
      <c r="G1957" t="s">
        <v>1807</v>
      </c>
    </row>
    <row r="1958" spans="1:7">
      <c r="A1958" s="141" t="s">
        <v>590</v>
      </c>
      <c r="B1958" s="141" t="s">
        <v>126</v>
      </c>
      <c r="C1958" s="56">
        <v>45966</v>
      </c>
      <c r="D1958" s="155">
        <v>1488</v>
      </c>
      <c r="F1958" s="43" t="s">
        <v>1820</v>
      </c>
      <c r="G1958" t="s">
        <v>1807</v>
      </c>
    </row>
    <row r="1959" spans="1:7">
      <c r="A1959" s="304" t="s">
        <v>619</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1073</v>
      </c>
      <c r="C1961" s="56">
        <v>45966</v>
      </c>
      <c r="D1961" s="43">
        <v>829</v>
      </c>
      <c r="G1961" t="s">
        <v>1807</v>
      </c>
    </row>
    <row r="1962" spans="1:7">
      <c r="A1962" s="304" t="s">
        <v>622</v>
      </c>
      <c r="B1962" s="304" t="s">
        <v>126</v>
      </c>
      <c r="C1962" s="56">
        <v>45966</v>
      </c>
      <c r="D1962" s="155">
        <v>1031</v>
      </c>
      <c r="G1962" t="s">
        <v>1807</v>
      </c>
    </row>
    <row r="1963" spans="1:7">
      <c r="A1963" s="141" t="s">
        <v>946</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376</v>
      </c>
      <c r="B1965" s="304" t="s">
        <v>215</v>
      </c>
      <c r="C1965" s="56">
        <v>45966</v>
      </c>
      <c r="D1965" s="155">
        <v>1034</v>
      </c>
      <c r="G1965" t="s">
        <v>1807</v>
      </c>
    </row>
    <row r="1966" spans="1:7">
      <c r="A1966" s="311" t="s">
        <v>370</v>
      </c>
      <c r="B1966" s="1006" t="s">
        <v>1512</v>
      </c>
      <c r="C1966" s="56">
        <v>45966</v>
      </c>
      <c r="D1966" s="43">
        <v>150</v>
      </c>
      <c r="G1966" t="s">
        <v>1807</v>
      </c>
    </row>
    <row r="1967" spans="1:7">
      <c r="A1967" s="247" t="s">
        <v>362</v>
      </c>
      <c r="B1967" s="157" t="s">
        <v>1811</v>
      </c>
      <c r="C1967" s="56">
        <v>45966</v>
      </c>
      <c r="E1967" s="1011">
        <v>13112</v>
      </c>
      <c r="F1967" s="115" t="s">
        <v>1821</v>
      </c>
      <c r="G1967" t="s">
        <v>1807</v>
      </c>
    </row>
    <row r="1968" spans="1:7">
      <c r="A1968" s="247" t="s">
        <v>449</v>
      </c>
      <c r="B1968" s="304" t="s">
        <v>126</v>
      </c>
      <c r="C1968" s="56">
        <v>45966</v>
      </c>
      <c r="D1968" s="139">
        <v>346</v>
      </c>
      <c r="E1968" s="155"/>
      <c r="F1968" s="43" t="s">
        <v>1514</v>
      </c>
      <c r="G1968" t="s">
        <v>1807</v>
      </c>
    </row>
    <row r="1969" spans="1:7">
      <c r="A1969" s="371" t="s">
        <v>308</v>
      </c>
      <c r="B1969" s="304" t="s">
        <v>126</v>
      </c>
      <c r="C1969" s="56">
        <v>45966</v>
      </c>
      <c r="D1969" s="139">
        <v>656</v>
      </c>
      <c r="E1969" s="155"/>
      <c r="G1969" t="s">
        <v>1807</v>
      </c>
    </row>
    <row r="1970" spans="1:7">
      <c r="A1970" s="371" t="s">
        <v>440</v>
      </c>
      <c r="B1970" s="304" t="s">
        <v>126</v>
      </c>
      <c r="C1970" s="56">
        <v>45966</v>
      </c>
      <c r="D1970" s="321">
        <v>2985</v>
      </c>
      <c r="E1970" s="155"/>
      <c r="F1970" s="43" t="s">
        <v>1822</v>
      </c>
      <c r="G1970" t="s">
        <v>1807</v>
      </c>
    </row>
    <row r="1971" spans="1:7">
      <c r="A1971" s="148" t="s">
        <v>518</v>
      </c>
      <c r="B1971" s="148" t="s">
        <v>1598</v>
      </c>
      <c r="C1971" s="56">
        <v>45967</v>
      </c>
      <c r="D1971" s="139"/>
      <c r="E1971" s="43"/>
      <c r="F1971" s="141" t="s">
        <v>1823</v>
      </c>
      <c r="G1971" t="s">
        <v>1807</v>
      </c>
    </row>
    <row r="1972" spans="1:7">
      <c r="A1972" s="148" t="s">
        <v>518</v>
      </c>
      <c r="B1972" s="148" t="s">
        <v>1824</v>
      </c>
      <c r="C1972" s="56">
        <v>45967</v>
      </c>
      <c r="D1972" s="43">
        <v>760</v>
      </c>
      <c r="E1972" s="253"/>
      <c r="F1972" s="169"/>
      <c r="G1972" t="s">
        <v>1807</v>
      </c>
    </row>
    <row r="1973" spans="1:7">
      <c r="A1973" s="967" t="s">
        <v>590</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376</v>
      </c>
      <c r="B1978" s="43" t="s">
        <v>215</v>
      </c>
      <c r="C1978" s="56">
        <v>45967</v>
      </c>
      <c r="D1978" s="43">
        <v>209</v>
      </c>
      <c r="G1978" t="s">
        <v>1807</v>
      </c>
    </row>
    <row r="1979" spans="1:7">
      <c r="A1979" s="618" t="s">
        <v>392</v>
      </c>
      <c r="B1979" s="756" t="s">
        <v>1732</v>
      </c>
      <c r="C1979" s="56">
        <v>45967</v>
      </c>
      <c r="D1979" s="155">
        <v>1063</v>
      </c>
      <c r="G1979" t="s">
        <v>1807</v>
      </c>
    </row>
    <row r="1980" spans="1:7">
      <c r="A1980" s="733" t="s">
        <v>440</v>
      </c>
      <c r="B1980" s="43" t="s">
        <v>126</v>
      </c>
      <c r="C1980" s="56">
        <v>45967</v>
      </c>
      <c r="D1980" s="155">
        <v>2373</v>
      </c>
      <c r="F1980" s="43" t="s">
        <v>1828</v>
      </c>
      <c r="G1980" t="s">
        <v>1807</v>
      </c>
    </row>
    <row r="1981" spans="1:7">
      <c r="A1981" s="306" t="s">
        <v>518</v>
      </c>
      <c r="B1981" s="306" t="s">
        <v>1598</v>
      </c>
      <c r="C1981" s="56">
        <v>45968</v>
      </c>
      <c r="D1981" s="43">
        <v>923</v>
      </c>
      <c r="G1981" t="s">
        <v>1807</v>
      </c>
    </row>
    <row r="1982" spans="1:7">
      <c r="A1982" s="141" t="s">
        <v>518</v>
      </c>
      <c r="B1982" s="551" t="s">
        <v>1784</v>
      </c>
      <c r="C1982" s="56">
        <v>45968</v>
      </c>
      <c r="D1982" s="155">
        <v>3052</v>
      </c>
      <c r="G1982" t="s">
        <v>1807</v>
      </c>
    </row>
    <row r="1983" spans="1:7">
      <c r="A1983" s="141" t="s">
        <v>665</v>
      </c>
      <c r="B1983" s="346" t="s">
        <v>1759</v>
      </c>
      <c r="C1983" s="56">
        <v>45968</v>
      </c>
      <c r="D1983" s="43">
        <v>451</v>
      </c>
      <c r="G1983" t="s">
        <v>1807</v>
      </c>
    </row>
    <row r="1984" spans="1:7">
      <c r="A1984" s="304" t="s">
        <v>428</v>
      </c>
      <c r="B1984" s="141" t="s">
        <v>1816</v>
      </c>
      <c r="C1984" s="56">
        <v>45968</v>
      </c>
      <c r="G1984" t="s">
        <v>1807</v>
      </c>
    </row>
    <row r="1985" spans="1:7">
      <c r="A1985" s="141" t="s">
        <v>392</v>
      </c>
      <c r="B1985" s="304" t="s">
        <v>1073</v>
      </c>
      <c r="C1985" s="56">
        <v>45968</v>
      </c>
      <c r="D1985" s="43">
        <v>350</v>
      </c>
      <c r="G1985" t="s">
        <v>1807</v>
      </c>
    </row>
    <row r="1986" spans="1:7">
      <c r="A1986" s="141" t="s">
        <v>392</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381</v>
      </c>
      <c r="B1988" s="756" t="s">
        <v>1732</v>
      </c>
      <c r="C1988" s="56">
        <v>45968</v>
      </c>
      <c r="F1988" s="311" t="s">
        <v>1457</v>
      </c>
      <c r="G1988" t="s">
        <v>1807</v>
      </c>
    </row>
    <row r="1989" spans="1:7">
      <c r="A1989" s="247" t="s">
        <v>390</v>
      </c>
      <c r="B1989" s="43" t="s">
        <v>215</v>
      </c>
      <c r="C1989" s="56">
        <v>45968</v>
      </c>
      <c r="D1989" s="43">
        <v>569</v>
      </c>
      <c r="G1989" t="s">
        <v>1807</v>
      </c>
    </row>
    <row r="1990" spans="1:7">
      <c r="A1990" s="247" t="s">
        <v>467</v>
      </c>
      <c r="B1990" s="43" t="s">
        <v>126</v>
      </c>
      <c r="C1990" s="56">
        <v>45968</v>
      </c>
      <c r="D1990" s="155">
        <v>2948</v>
      </c>
      <c r="G1990" t="s">
        <v>1807</v>
      </c>
    </row>
    <row r="1991" spans="1:7">
      <c r="A1991" s="953" t="s">
        <v>663</v>
      </c>
      <c r="B1991" s="346" t="s">
        <v>1759</v>
      </c>
      <c r="C1991" s="56">
        <v>45971</v>
      </c>
      <c r="D1991" s="155">
        <v>560</v>
      </c>
      <c r="G1991" t="s">
        <v>1807</v>
      </c>
    </row>
    <row r="1992" spans="1:7">
      <c r="A1992" s="311" t="s">
        <v>428</v>
      </c>
      <c r="B1992" s="311" t="s">
        <v>1073</v>
      </c>
      <c r="C1992" s="56">
        <v>45971</v>
      </c>
      <c r="D1992" s="43">
        <v>558</v>
      </c>
      <c r="G1992" t="s">
        <v>1807</v>
      </c>
    </row>
    <row r="1993" spans="1:7">
      <c r="A1993" s="311" t="s">
        <v>428</v>
      </c>
      <c r="B1993" s="311" t="s">
        <v>432</v>
      </c>
      <c r="C1993" s="56">
        <v>45971</v>
      </c>
      <c r="F1993" s="43" t="s">
        <v>1522</v>
      </c>
      <c r="G1993" t="s">
        <v>1807</v>
      </c>
    </row>
    <row r="1994" spans="1:7">
      <c r="A1994" s="315" t="s">
        <v>622</v>
      </c>
      <c r="B1994" s="315" t="s">
        <v>126</v>
      </c>
      <c r="C1994" s="56">
        <v>45971</v>
      </c>
      <c r="D1994" s="155">
        <v>1351</v>
      </c>
      <c r="G1994" t="s">
        <v>1807</v>
      </c>
    </row>
    <row r="1995" spans="1:7">
      <c r="A1995" s="315" t="s">
        <v>592</v>
      </c>
      <c r="B1995" s="315" t="s">
        <v>126</v>
      </c>
      <c r="C1995" s="56">
        <v>45971</v>
      </c>
      <c r="D1995" s="43">
        <v>138</v>
      </c>
      <c r="F1995" s="43" t="s">
        <v>1829</v>
      </c>
      <c r="G1995" t="s">
        <v>1807</v>
      </c>
    </row>
    <row r="1996" spans="1:7">
      <c r="A1996" s="315" t="s">
        <v>619</v>
      </c>
      <c r="B1996" s="315" t="s">
        <v>126</v>
      </c>
      <c r="C1996" s="56">
        <v>45971</v>
      </c>
      <c r="D1996" s="43">
        <v>632</v>
      </c>
      <c r="F1996" s="43" t="s">
        <v>1543</v>
      </c>
      <c r="G1996" t="s">
        <v>1807</v>
      </c>
    </row>
    <row r="1997" spans="1:7">
      <c r="A1997" s="315" t="s">
        <v>1129</v>
      </c>
      <c r="B1997" s="315" t="s">
        <v>1830</v>
      </c>
      <c r="C1997" s="56">
        <v>45971</v>
      </c>
      <c r="D1997" s="43">
        <v>748</v>
      </c>
      <c r="G1997" t="s">
        <v>1807</v>
      </c>
    </row>
    <row r="1998" spans="1:7">
      <c r="A1998" s="141" t="s">
        <v>376</v>
      </c>
      <c r="B1998" s="802" t="s">
        <v>215</v>
      </c>
      <c r="C1998" s="56">
        <v>45971</v>
      </c>
      <c r="D1998" s="43">
        <v>96</v>
      </c>
      <c r="G1998" t="s">
        <v>1807</v>
      </c>
    </row>
    <row r="1999" spans="1:7">
      <c r="A1999" s="304" t="s">
        <v>222</v>
      </c>
      <c r="B1999" s="349" t="s">
        <v>1806</v>
      </c>
      <c r="C1999" s="56">
        <v>45971</v>
      </c>
      <c r="D1999" s="43">
        <v>562</v>
      </c>
      <c r="G1999" t="s">
        <v>1807</v>
      </c>
    </row>
    <row r="2000" spans="1:7">
      <c r="A2000" s="141" t="s">
        <v>378</v>
      </c>
      <c r="B2000" s="802" t="s">
        <v>215</v>
      </c>
      <c r="C2000" s="56">
        <v>45971</v>
      </c>
      <c r="D2000" s="43">
        <v>435</v>
      </c>
      <c r="F2000" s="43" t="s">
        <v>1831</v>
      </c>
      <c r="G2000" t="s">
        <v>1807</v>
      </c>
    </row>
    <row r="2001" spans="1:7">
      <c r="A2001" s="1012" t="s">
        <v>467</v>
      </c>
      <c r="B2001" s="311" t="s">
        <v>126</v>
      </c>
      <c r="C2001" s="56">
        <v>45971</v>
      </c>
      <c r="D2001" s="155">
        <v>4084</v>
      </c>
      <c r="G2001" t="s">
        <v>1807</v>
      </c>
    </row>
    <row r="2002" spans="1:7">
      <c r="A2002" s="141" t="s">
        <v>619</v>
      </c>
      <c r="B2002" s="306" t="s">
        <v>1512</v>
      </c>
      <c r="C2002" s="56">
        <v>45972</v>
      </c>
      <c r="E2002" s="321">
        <v>5569</v>
      </c>
      <c r="F2002" s="43" t="s">
        <v>1832</v>
      </c>
      <c r="G2002" t="s">
        <v>1807</v>
      </c>
    </row>
    <row r="2003" spans="1:7">
      <c r="A2003" s="304" t="s">
        <v>1129</v>
      </c>
      <c r="B2003" s="311" t="s">
        <v>435</v>
      </c>
      <c r="C2003" s="56">
        <v>45972</v>
      </c>
      <c r="D2003" s="155">
        <v>1062</v>
      </c>
      <c r="F2003" s="43" t="s">
        <v>1833</v>
      </c>
      <c r="G2003" t="s">
        <v>1807</v>
      </c>
    </row>
    <row r="2004" spans="1:7">
      <c r="A2004" s="141" t="s">
        <v>383</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413</v>
      </c>
      <c r="B2008" s="43" t="s">
        <v>126</v>
      </c>
      <c r="C2008" s="56">
        <v>45973</v>
      </c>
      <c r="D2008" s="155">
        <v>1580</v>
      </c>
      <c r="F2008" s="43" t="s">
        <v>1652</v>
      </c>
      <c r="G2008" t="s">
        <v>1807</v>
      </c>
    </row>
    <row r="2009" spans="1:7">
      <c r="A2009" s="43" t="s">
        <v>622</v>
      </c>
      <c r="B2009" s="115" t="s">
        <v>126</v>
      </c>
      <c r="C2009" s="56">
        <v>45973</v>
      </c>
      <c r="D2009" s="43">
        <v>890</v>
      </c>
      <c r="G2009" t="s">
        <v>1807</v>
      </c>
    </row>
    <row r="2010" spans="1:7">
      <c r="A2010" s="43" t="s">
        <v>622</v>
      </c>
      <c r="B2010" s="115" t="s">
        <v>432</v>
      </c>
      <c r="C2010" s="56">
        <v>45973</v>
      </c>
      <c r="F2010" s="43" t="s">
        <v>1514</v>
      </c>
      <c r="G2010" t="s">
        <v>1807</v>
      </c>
    </row>
    <row r="2011" spans="1:7">
      <c r="A2011" s="43" t="s">
        <v>588</v>
      </c>
      <c r="B2011" s="43" t="s">
        <v>126</v>
      </c>
      <c r="C2011" s="56">
        <v>45973</v>
      </c>
      <c r="D2011" s="43">
        <v>877</v>
      </c>
      <c r="F2011" s="43" t="s">
        <v>1837</v>
      </c>
      <c r="G2011" t="s">
        <v>1807</v>
      </c>
    </row>
    <row r="2012" spans="1:7">
      <c r="A2012" s="43" t="s">
        <v>1130</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381</v>
      </c>
      <c r="B2014" s="43" t="s">
        <v>1732</v>
      </c>
      <c r="C2014" s="56">
        <v>45973</v>
      </c>
      <c r="F2014" s="311" t="s">
        <v>1838</v>
      </c>
      <c r="G2014" t="s">
        <v>1807</v>
      </c>
    </row>
    <row r="2015" spans="1:7">
      <c r="A2015" s="618" t="s">
        <v>406</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467</v>
      </c>
      <c r="B2017" s="43" t="s">
        <v>126</v>
      </c>
      <c r="C2017" s="56">
        <v>45973</v>
      </c>
      <c r="D2017" s="43">
        <v>242</v>
      </c>
      <c r="G2017" t="s">
        <v>1807</v>
      </c>
    </row>
    <row r="2018" spans="1:7">
      <c r="A2018" s="43" t="s">
        <v>459</v>
      </c>
      <c r="B2018" s="43" t="s">
        <v>126</v>
      </c>
      <c r="C2018" s="56">
        <v>45973</v>
      </c>
      <c r="D2018" s="155">
        <v>1264</v>
      </c>
      <c r="G2018" t="s">
        <v>1807</v>
      </c>
    </row>
    <row r="2019" spans="1:7">
      <c r="A2019" s="43" t="s">
        <v>472</v>
      </c>
      <c r="B2019" s="43" t="s">
        <v>126</v>
      </c>
      <c r="C2019" s="56">
        <v>45973</v>
      </c>
      <c r="D2019" s="155">
        <v>3678</v>
      </c>
      <c r="G2019" t="s">
        <v>1807</v>
      </c>
    </row>
    <row r="2020" spans="1:7">
      <c r="A2020" s="43" t="s">
        <v>428</v>
      </c>
      <c r="B2020" s="43" t="s">
        <v>1512</v>
      </c>
      <c r="C2020" s="56">
        <v>45974</v>
      </c>
      <c r="F2020" s="43" t="s">
        <v>1580</v>
      </c>
      <c r="G2020" t="s">
        <v>1807</v>
      </c>
    </row>
    <row r="2021" spans="1:7">
      <c r="A2021" s="43" t="s">
        <v>413</v>
      </c>
      <c r="B2021" s="43" t="s">
        <v>126</v>
      </c>
      <c r="C2021" s="56">
        <v>45974</v>
      </c>
      <c r="D2021" s="155">
        <v>1258</v>
      </c>
      <c r="F2021" s="43" t="s">
        <v>1840</v>
      </c>
      <c r="G2021" t="s">
        <v>1807</v>
      </c>
    </row>
    <row r="2022" spans="1:7">
      <c r="A2022" s="43" t="s">
        <v>588</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378</v>
      </c>
      <c r="B2026" s="1063" t="s">
        <v>215</v>
      </c>
      <c r="C2026" s="56">
        <v>45974</v>
      </c>
      <c r="D2026" s="155">
        <v>1123</v>
      </c>
      <c r="F2026" s="43" t="s">
        <v>1843</v>
      </c>
      <c r="G2026" t="s">
        <v>1807</v>
      </c>
    </row>
    <row r="2027" spans="1:7">
      <c r="A2027" s="618" t="s">
        <v>406</v>
      </c>
      <c r="B2027" s="43" t="s">
        <v>1732</v>
      </c>
      <c r="C2027" s="56">
        <v>45974</v>
      </c>
      <c r="D2027" s="155">
        <v>2912</v>
      </c>
      <c r="G2027" t="s">
        <v>1807</v>
      </c>
    </row>
    <row r="2028" spans="1:7">
      <c r="A2028" s="618" t="s">
        <v>367</v>
      </c>
      <c r="B2028" s="43" t="s">
        <v>1512</v>
      </c>
      <c r="C2028" s="56">
        <v>45974</v>
      </c>
      <c r="F2028" s="43" t="s">
        <v>1234</v>
      </c>
      <c r="G2028" t="s">
        <v>1807</v>
      </c>
    </row>
    <row r="2029" spans="1:7">
      <c r="A2029" s="43" t="s">
        <v>472</v>
      </c>
      <c r="B2029" s="43" t="s">
        <v>126</v>
      </c>
      <c r="C2029" s="56">
        <v>45974</v>
      </c>
      <c r="D2029" s="155">
        <v>3382</v>
      </c>
      <c r="G2029" t="s">
        <v>1807</v>
      </c>
    </row>
    <row r="2030" spans="1:7">
      <c r="A2030" s="43" t="s">
        <v>459</v>
      </c>
      <c r="B2030" s="43" t="s">
        <v>126</v>
      </c>
      <c r="C2030" s="56">
        <v>45974</v>
      </c>
      <c r="D2030" s="155">
        <v>1281</v>
      </c>
      <c r="G2030" t="s">
        <v>1807</v>
      </c>
    </row>
    <row r="2031" spans="1:7">
      <c r="A2031" s="247" t="s">
        <v>502</v>
      </c>
      <c r="B2031" s="43" t="s">
        <v>126</v>
      </c>
      <c r="C2031" s="56">
        <v>45974</v>
      </c>
      <c r="D2031" s="43">
        <v>424</v>
      </c>
      <c r="G2031" t="s">
        <v>1807</v>
      </c>
    </row>
    <row r="2032" spans="1:7">
      <c r="A2032" s="247" t="s">
        <v>474</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592</v>
      </c>
      <c r="B2034" s="304" t="s">
        <v>1512</v>
      </c>
      <c r="C2034" s="56">
        <v>45975</v>
      </c>
      <c r="D2034" s="139"/>
      <c r="E2034" s="43">
        <v>565</v>
      </c>
      <c r="F2034" s="141"/>
      <c r="G2034" t="s">
        <v>1807</v>
      </c>
    </row>
    <row r="2035" spans="1:7">
      <c r="A2035" s="304" t="s">
        <v>1131</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406</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1132</v>
      </c>
      <c r="B2041" s="304" t="s">
        <v>432</v>
      </c>
      <c r="C2041" s="56">
        <v>45978</v>
      </c>
      <c r="D2041" s="155">
        <v>1505</v>
      </c>
      <c r="G2041" t="s">
        <v>1807</v>
      </c>
    </row>
    <row r="2042" spans="1:7">
      <c r="A2042" s="304" t="s">
        <v>597</v>
      </c>
      <c r="B2042" s="304" t="s">
        <v>126</v>
      </c>
      <c r="C2042" s="56">
        <v>45978</v>
      </c>
      <c r="D2042" s="155">
        <v>1471</v>
      </c>
      <c r="F2042" s="43" t="s">
        <v>1156</v>
      </c>
      <c r="G2042" t="s">
        <v>1807</v>
      </c>
    </row>
    <row r="2043" spans="1:7">
      <c r="A2043" s="305" t="s">
        <v>1131</v>
      </c>
      <c r="B2043" s="304" t="s">
        <v>435</v>
      </c>
      <c r="C2043" s="56">
        <v>45978</v>
      </c>
      <c r="D2043" s="43">
        <v>907</v>
      </c>
      <c r="F2043" s="43" t="s">
        <v>1200</v>
      </c>
      <c r="G2043" t="s">
        <v>1807</v>
      </c>
    </row>
    <row r="2044" spans="1:7">
      <c r="A2044" s="141" t="s">
        <v>594</v>
      </c>
      <c r="B2044" s="349" t="s">
        <v>126</v>
      </c>
      <c r="C2044" s="56">
        <v>45978</v>
      </c>
      <c r="D2044" s="43">
        <v>762</v>
      </c>
      <c r="G2044" t="s">
        <v>1807</v>
      </c>
    </row>
    <row r="2045" spans="1:7">
      <c r="A2045" s="141" t="s">
        <v>588</v>
      </c>
      <c r="B2045" s="349" t="s">
        <v>126</v>
      </c>
      <c r="C2045" s="56">
        <v>45978</v>
      </c>
      <c r="D2045" s="43">
        <v>956</v>
      </c>
      <c r="F2045" s="43" t="s">
        <v>1847</v>
      </c>
      <c r="G2045" t="s">
        <v>1807</v>
      </c>
    </row>
    <row r="2046" spans="1:7">
      <c r="A2046" s="305" t="s">
        <v>267</v>
      </c>
      <c r="B2046" s="318" t="s">
        <v>1073</v>
      </c>
      <c r="C2046" s="56">
        <v>45978</v>
      </c>
      <c r="D2046" s="43">
        <v>176</v>
      </c>
      <c r="G2046" t="s">
        <v>1807</v>
      </c>
    </row>
    <row r="2047" spans="1:7">
      <c r="A2047" s="141" t="s">
        <v>267</v>
      </c>
      <c r="B2047" s="349" t="s">
        <v>1073</v>
      </c>
      <c r="C2047" s="56">
        <v>45978</v>
      </c>
      <c r="D2047" s="43">
        <v>270</v>
      </c>
      <c r="G2047" t="s">
        <v>1807</v>
      </c>
    </row>
    <row r="2048" spans="1:7">
      <c r="A2048" s="141" t="s">
        <v>222</v>
      </c>
      <c r="B2048" s="349" t="s">
        <v>1842</v>
      </c>
      <c r="C2048" s="56">
        <v>45978</v>
      </c>
      <c r="D2048" s="43">
        <v>420</v>
      </c>
      <c r="G2048" t="s">
        <v>1807</v>
      </c>
    </row>
    <row r="2049" spans="1:7">
      <c r="A2049" s="304" t="s">
        <v>406</v>
      </c>
      <c r="B2049" s="304" t="s">
        <v>1732</v>
      </c>
      <c r="C2049" s="56">
        <v>45978</v>
      </c>
      <c r="D2049" s="155">
        <v>1449</v>
      </c>
      <c r="G2049" t="s">
        <v>1807</v>
      </c>
    </row>
    <row r="2050" spans="1:7">
      <c r="A2050" s="141" t="s">
        <v>469</v>
      </c>
      <c r="B2050" s="141" t="s">
        <v>126</v>
      </c>
      <c r="C2050" s="56">
        <v>45978</v>
      </c>
      <c r="D2050" s="155">
        <v>5466</v>
      </c>
      <c r="G2050" t="s">
        <v>1807</v>
      </c>
    </row>
    <row r="2051" spans="1:7">
      <c r="A2051" s="304" t="s">
        <v>459</v>
      </c>
      <c r="B2051" s="304" t="s">
        <v>126</v>
      </c>
      <c r="C2051" s="56">
        <v>45978</v>
      </c>
      <c r="D2051" s="155">
        <v>1662</v>
      </c>
      <c r="G2051" t="s">
        <v>1807</v>
      </c>
    </row>
    <row r="2052" spans="1:7">
      <c r="A2052" s="304" t="s">
        <v>474</v>
      </c>
      <c r="B2052" s="304" t="s">
        <v>126</v>
      </c>
      <c r="C2052" s="56">
        <v>45978</v>
      </c>
      <c r="D2052" s="155">
        <v>1498</v>
      </c>
      <c r="G2052" t="s">
        <v>1807</v>
      </c>
    </row>
    <row r="2053" spans="1:7">
      <c r="A2053" s="304" t="s">
        <v>663</v>
      </c>
      <c r="B2053" s="304" t="s">
        <v>1759</v>
      </c>
      <c r="C2053" s="56">
        <v>45979</v>
      </c>
      <c r="D2053" s="155">
        <v>17</v>
      </c>
      <c r="G2053" t="s">
        <v>1807</v>
      </c>
    </row>
    <row r="2054" spans="1:7">
      <c r="A2054" s="304" t="s">
        <v>1133</v>
      </c>
      <c r="B2054" s="304" t="s">
        <v>1759</v>
      </c>
      <c r="C2054" s="56">
        <v>45979</v>
      </c>
      <c r="D2054" s="155">
        <v>12</v>
      </c>
      <c r="G2054" t="s">
        <v>1807</v>
      </c>
    </row>
    <row r="2055" spans="1:7">
      <c r="A2055" s="43" t="s">
        <v>622</v>
      </c>
      <c r="B2055" s="43" t="s">
        <v>1512</v>
      </c>
      <c r="C2055" s="56">
        <v>45979</v>
      </c>
      <c r="E2055" s="321">
        <v>3272</v>
      </c>
      <c r="F2055" s="43" t="s">
        <v>1848</v>
      </c>
      <c r="G2055" t="s">
        <v>1807</v>
      </c>
    </row>
    <row r="2056" spans="1:7">
      <c r="A2056" s="43" t="s">
        <v>1132</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1131</v>
      </c>
      <c r="B2058" s="43" t="s">
        <v>435</v>
      </c>
      <c r="C2058" s="56">
        <v>45979</v>
      </c>
      <c r="F2058" s="43" t="s">
        <v>1850</v>
      </c>
      <c r="G2058" t="s">
        <v>1807</v>
      </c>
    </row>
    <row r="2059" spans="1:7">
      <c r="A2059" t="s">
        <v>594</v>
      </c>
      <c r="B2059" s="43" t="s">
        <v>126</v>
      </c>
      <c r="C2059" s="56">
        <v>45979</v>
      </c>
      <c r="D2059" s="155">
        <v>1530</v>
      </c>
      <c r="F2059" s="43" t="s">
        <v>1851</v>
      </c>
      <c r="G2059" t="s">
        <v>1807</v>
      </c>
    </row>
    <row r="2060" spans="1:7">
      <c r="A2060" s="733" t="s">
        <v>373</v>
      </c>
      <c r="B2060" s="318" t="s">
        <v>1073</v>
      </c>
      <c r="C2060" s="56">
        <v>45979</v>
      </c>
      <c r="D2060" s="43">
        <v>136</v>
      </c>
      <c r="F2060" s="69"/>
      <c r="G2060" t="s">
        <v>1807</v>
      </c>
    </row>
    <row r="2061" spans="1:7">
      <c r="A2061" s="69" t="s">
        <v>267</v>
      </c>
      <c r="B2061" s="43" t="s">
        <v>1512</v>
      </c>
      <c r="C2061" s="56">
        <v>45979</v>
      </c>
      <c r="D2061" s="43">
        <v>120</v>
      </c>
      <c r="F2061" s="69"/>
      <c r="G2061" t="s">
        <v>1807</v>
      </c>
    </row>
    <row r="2062" spans="1:7">
      <c r="A2062" s="618" t="s">
        <v>378</v>
      </c>
      <c r="B2062" s="655" t="s">
        <v>215</v>
      </c>
      <c r="C2062" s="56">
        <v>45979</v>
      </c>
      <c r="D2062" s="155">
        <v>1917</v>
      </c>
      <c r="F2062" s="69"/>
      <c r="G2062" t="s">
        <v>1807</v>
      </c>
    </row>
    <row r="2063" spans="1:7">
      <c r="A2063" s="43" t="s">
        <v>407</v>
      </c>
      <c r="B2063" s="43" t="s">
        <v>1732</v>
      </c>
      <c r="C2063" s="56">
        <v>45979</v>
      </c>
      <c r="D2063" s="155">
        <v>2351</v>
      </c>
      <c r="F2063" s="69"/>
      <c r="G2063" t="s">
        <v>1807</v>
      </c>
    </row>
    <row r="2064" spans="1:7">
      <c r="A2064" s="69" t="s">
        <v>459</v>
      </c>
      <c r="B2064" s="43" t="s">
        <v>126</v>
      </c>
      <c r="C2064" s="56">
        <v>45979</v>
      </c>
      <c r="D2064" s="155">
        <v>2684</v>
      </c>
      <c r="F2064" s="69"/>
      <c r="G2064" t="s">
        <v>1807</v>
      </c>
    </row>
    <row r="2065" spans="1:7">
      <c r="A2065" s="148" t="s">
        <v>474</v>
      </c>
      <c r="B2065" s="115" t="s">
        <v>126</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592</v>
      </c>
      <c r="B2067" s="141" t="s">
        <v>1512</v>
      </c>
      <c r="C2067" s="56">
        <v>45980</v>
      </c>
      <c r="E2067" s="321">
        <v>2996</v>
      </c>
      <c r="F2067" s="69" t="s">
        <v>1853</v>
      </c>
      <c r="G2067" t="s">
        <v>1807</v>
      </c>
    </row>
    <row r="2068" spans="1:7">
      <c r="A2068" s="304" t="s">
        <v>1132</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1131</v>
      </c>
      <c r="B2070" s="304" t="s">
        <v>435</v>
      </c>
      <c r="C2070" s="56">
        <v>45980</v>
      </c>
      <c r="D2070" s="139"/>
      <c r="E2070" s="43"/>
      <c r="F2070" s="69" t="s">
        <v>1804</v>
      </c>
      <c r="G2070" t="s">
        <v>1807</v>
      </c>
    </row>
    <row r="2071" spans="1:7">
      <c r="A2071" s="311" t="s">
        <v>594</v>
      </c>
      <c r="B2071" s="307" t="s">
        <v>126</v>
      </c>
      <c r="C2071" s="56">
        <v>45980</v>
      </c>
      <c r="D2071" s="43">
        <v>954</v>
      </c>
      <c r="E2071" s="253"/>
      <c r="F2071" s="91" t="s">
        <v>1856</v>
      </c>
      <c r="G2071" t="s">
        <v>1807</v>
      </c>
    </row>
    <row r="2072" spans="1:7">
      <c r="A2072" s="733" t="s">
        <v>373</v>
      </c>
      <c r="B2072" s="318" t="s">
        <v>1073</v>
      </c>
      <c r="C2072" s="56">
        <v>45980</v>
      </c>
      <c r="D2072" s="43">
        <v>170</v>
      </c>
      <c r="F2072" s="69"/>
      <c r="G2072" t="s">
        <v>1807</v>
      </c>
    </row>
    <row r="2073" spans="1:7">
      <c r="A2073" s="141" t="s">
        <v>267</v>
      </c>
      <c r="B2073" s="304" t="s">
        <v>1512</v>
      </c>
      <c r="C2073" s="56">
        <v>45980</v>
      </c>
      <c r="D2073" s="43">
        <v>550</v>
      </c>
      <c r="F2073" s="69"/>
      <c r="G2073" t="s">
        <v>1807</v>
      </c>
    </row>
    <row r="2074" spans="1:7">
      <c r="A2074" s="304" t="s">
        <v>407</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594</v>
      </c>
      <c r="B2077" s="141" t="s">
        <v>126</v>
      </c>
      <c r="C2077" s="56">
        <v>45981</v>
      </c>
      <c r="D2077" s="155">
        <v>1603</v>
      </c>
      <c r="F2077" s="91" t="s">
        <v>1858</v>
      </c>
      <c r="G2077" t="s">
        <v>1807</v>
      </c>
    </row>
    <row r="2078" spans="1:7">
      <c r="A2078" s="304" t="s">
        <v>1132</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592</v>
      </c>
      <c r="B2080" s="141" t="s">
        <v>1512</v>
      </c>
      <c r="C2080" s="56">
        <v>45981</v>
      </c>
      <c r="E2080" s="139">
        <v>728</v>
      </c>
      <c r="F2080" s="69"/>
      <c r="G2080" t="s">
        <v>1807</v>
      </c>
    </row>
    <row r="2081" spans="1:7">
      <c r="A2081" s="306" t="s">
        <v>205</v>
      </c>
      <c r="B2081" s="318" t="s">
        <v>1073</v>
      </c>
      <c r="C2081" s="56">
        <v>45981</v>
      </c>
      <c r="D2081" s="43">
        <v>195</v>
      </c>
      <c r="F2081" s="69" t="s">
        <v>1861</v>
      </c>
      <c r="G2081" t="s">
        <v>1807</v>
      </c>
    </row>
    <row r="2082" spans="1:7">
      <c r="A2082" s="141" t="s">
        <v>267</v>
      </c>
      <c r="B2082" s="304" t="s">
        <v>1512</v>
      </c>
      <c r="C2082" s="56">
        <v>45981</v>
      </c>
      <c r="F2082" s="69" t="s">
        <v>1862</v>
      </c>
      <c r="G2082" t="s">
        <v>1807</v>
      </c>
    </row>
    <row r="2083" spans="1:7">
      <c r="A2083" s="304" t="s">
        <v>378</v>
      </c>
      <c r="B2083" s="1003" t="s">
        <v>215</v>
      </c>
      <c r="C2083" s="56">
        <v>45981</v>
      </c>
      <c r="D2083" s="43">
        <v>272</v>
      </c>
      <c r="F2083" s="69"/>
      <c r="G2083" t="s">
        <v>1807</v>
      </c>
    </row>
    <row r="2084" spans="1:7">
      <c r="A2084" s="43" t="s">
        <v>406</v>
      </c>
      <c r="B2084" s="43" t="s">
        <v>1732</v>
      </c>
      <c r="C2084" s="56">
        <v>45982</v>
      </c>
      <c r="E2084" s="253"/>
      <c r="F2084" s="311" t="s">
        <v>1863</v>
      </c>
      <c r="G2084" t="s">
        <v>1807</v>
      </c>
    </row>
    <row r="2085" spans="1:7">
      <c r="A2085" s="304" t="s">
        <v>407</v>
      </c>
      <c r="B2085" s="304" t="s">
        <v>1732</v>
      </c>
      <c r="C2085" s="56">
        <v>45981</v>
      </c>
      <c r="D2085" s="155">
        <v>2139</v>
      </c>
      <c r="F2085" s="69"/>
      <c r="G2085" t="s">
        <v>1807</v>
      </c>
    </row>
    <row r="2086" spans="1:7">
      <c r="A2086" s="348" t="s">
        <v>469</v>
      </c>
      <c r="B2086" s="357" t="s">
        <v>126</v>
      </c>
      <c r="C2086" s="56">
        <v>45981</v>
      </c>
      <c r="D2086" s="155">
        <v>2252</v>
      </c>
      <c r="F2086" s="69"/>
      <c r="G2086" t="s">
        <v>1807</v>
      </c>
    </row>
    <row r="2087" spans="1:7">
      <c r="A2087" s="318" t="s">
        <v>474</v>
      </c>
      <c r="B2087" s="387" t="s">
        <v>126</v>
      </c>
      <c r="C2087" s="56">
        <v>45981</v>
      </c>
      <c r="D2087" s="1083">
        <v>1027</v>
      </c>
      <c r="F2087" s="69"/>
      <c r="G2087" t="s">
        <v>1807</v>
      </c>
    </row>
    <row r="2088" spans="1:7">
      <c r="A2088" s="348" t="s">
        <v>477</v>
      </c>
      <c r="B2088" s="357" t="s">
        <v>126</v>
      </c>
      <c r="C2088" s="56">
        <v>45981</v>
      </c>
      <c r="D2088" s="155">
        <v>1420</v>
      </c>
      <c r="F2088" s="69"/>
      <c r="G2088" t="s">
        <v>1807</v>
      </c>
    </row>
    <row r="2089" spans="1:7">
      <c r="A2089" s="318" t="s">
        <v>480</v>
      </c>
      <c r="B2089" s="387" t="s">
        <v>126</v>
      </c>
      <c r="C2089" s="56">
        <v>45981</v>
      </c>
      <c r="D2089" s="155">
        <v>2376</v>
      </c>
      <c r="F2089" s="69"/>
      <c r="G2089" t="s">
        <v>1807</v>
      </c>
    </row>
    <row r="2090" spans="1:7">
      <c r="A2090" s="348" t="s">
        <v>502</v>
      </c>
      <c r="B2090" s="307" t="s">
        <v>126</v>
      </c>
      <c r="C2090" s="56">
        <v>45981</v>
      </c>
      <c r="D2090" s="43">
        <v>313</v>
      </c>
      <c r="G2090" t="s">
        <v>1807</v>
      </c>
    </row>
    <row r="2091" spans="1:7">
      <c r="A2091" s="43" t="s">
        <v>84</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432</v>
      </c>
      <c r="C2093" s="56">
        <v>45982</v>
      </c>
      <c r="D2093" s="43">
        <v>375</v>
      </c>
      <c r="E2093" s="201"/>
      <c r="F2093" s="148"/>
      <c r="G2093" t="s">
        <v>1807</v>
      </c>
    </row>
    <row r="2094" spans="1:7">
      <c r="A2094" s="306" t="s">
        <v>373</v>
      </c>
      <c r="B2094" s="318" t="s">
        <v>1073</v>
      </c>
      <c r="C2094" s="56">
        <v>45982</v>
      </c>
      <c r="D2094" s="139">
        <v>15</v>
      </c>
      <c r="E2094" s="155">
        <v>1159</v>
      </c>
      <c r="F2094" s="1082" t="s">
        <v>1865</v>
      </c>
      <c r="G2094" t="s">
        <v>1807</v>
      </c>
    </row>
    <row r="2095" spans="1:7">
      <c r="A2095" s="43" t="s">
        <v>407</v>
      </c>
      <c r="B2095" s="43" t="s">
        <v>1732</v>
      </c>
      <c r="C2095" s="56">
        <v>45982</v>
      </c>
      <c r="D2095" s="43">
        <v>789</v>
      </c>
      <c r="E2095" s="253"/>
      <c r="F2095" s="91" t="s">
        <v>1866</v>
      </c>
      <c r="G2095" t="s">
        <v>1807</v>
      </c>
    </row>
    <row r="2096" spans="1:7">
      <c r="A2096" s="43" t="s">
        <v>409</v>
      </c>
      <c r="B2096" s="43" t="s">
        <v>1732</v>
      </c>
      <c r="C2096" s="56">
        <v>45982</v>
      </c>
      <c r="D2096" s="155">
        <v>1281</v>
      </c>
      <c r="E2096" s="253"/>
      <c r="F2096" s="91" t="s">
        <v>1867</v>
      </c>
      <c r="G2096" t="s">
        <v>1807</v>
      </c>
    </row>
    <row r="2097" spans="1:7">
      <c r="A2097" s="334" t="s">
        <v>459</v>
      </c>
      <c r="B2097" s="165" t="s">
        <v>126</v>
      </c>
      <c r="C2097" s="56">
        <v>45982</v>
      </c>
      <c r="D2097" s="43">
        <v>51</v>
      </c>
      <c r="F2097" s="69"/>
      <c r="G2097" t="s">
        <v>1807</v>
      </c>
    </row>
    <row r="2098" spans="1:7">
      <c r="A2098" s="404" t="s">
        <v>502</v>
      </c>
      <c r="B2098" s="173" t="s">
        <v>126</v>
      </c>
      <c r="C2098" s="56">
        <v>45982</v>
      </c>
      <c r="D2098" s="155">
        <v>3007</v>
      </c>
      <c r="F2098" s="69"/>
      <c r="G2098" t="s">
        <v>1807</v>
      </c>
    </row>
    <row r="2099" spans="1:7">
      <c r="A2099" s="404" t="s">
        <v>474</v>
      </c>
      <c r="B2099" s="173" t="s">
        <v>126</v>
      </c>
      <c r="C2099" s="56">
        <v>45982</v>
      </c>
      <c r="D2099" s="43">
        <v>490</v>
      </c>
      <c r="F2099" s="69"/>
      <c r="G2099" t="s">
        <v>1807</v>
      </c>
    </row>
    <row r="2100" spans="1:7">
      <c r="A2100" s="404" t="s">
        <v>477</v>
      </c>
      <c r="B2100" s="173" t="s">
        <v>126</v>
      </c>
      <c r="C2100" s="56">
        <v>45982</v>
      </c>
      <c r="D2100" s="155">
        <v>3043</v>
      </c>
      <c r="F2100" s="69"/>
      <c r="G2100" t="s">
        <v>1807</v>
      </c>
    </row>
    <row r="2101" spans="1:7">
      <c r="A2101" s="404" t="s">
        <v>480</v>
      </c>
      <c r="B2101" s="173" t="s">
        <v>126</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84</v>
      </c>
      <c r="B2104" s="43" t="s">
        <v>1512</v>
      </c>
      <c r="C2104" s="56">
        <v>45985</v>
      </c>
      <c r="F2104" s="337" t="s">
        <v>1868</v>
      </c>
      <c r="G2104" t="s">
        <v>1807</v>
      </c>
    </row>
    <row r="2105" spans="1:7">
      <c r="A2105" s="148" t="s">
        <v>512</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1132</v>
      </c>
      <c r="B2110" s="161" t="s">
        <v>432</v>
      </c>
      <c r="C2110" s="310">
        <v>45985</v>
      </c>
      <c r="D2110" s="155">
        <v>2805</v>
      </c>
      <c r="F2110" s="69"/>
      <c r="G2110" t="s">
        <v>1807</v>
      </c>
    </row>
    <row r="2111" spans="1:7">
      <c r="A2111" s="43" t="s">
        <v>594</v>
      </c>
      <c r="B2111" s="1093" t="s">
        <v>126</v>
      </c>
      <c r="C2111" s="56">
        <v>45985</v>
      </c>
      <c r="D2111" s="43">
        <v>805</v>
      </c>
      <c r="F2111" s="69" t="s">
        <v>1871</v>
      </c>
      <c r="G2111" t="s">
        <v>1807</v>
      </c>
    </row>
    <row r="2112" spans="1:7">
      <c r="A2112" s="43" t="s">
        <v>597</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611</v>
      </c>
      <c r="B2114" s="169" t="s">
        <v>1073</v>
      </c>
      <c r="C2114" s="56">
        <v>45985</v>
      </c>
      <c r="D2114" s="43">
        <v>286</v>
      </c>
      <c r="E2114" s="201"/>
      <c r="F2114" s="148"/>
      <c r="G2114" t="s">
        <v>1807</v>
      </c>
    </row>
    <row r="2115" spans="1:7">
      <c r="A2115" s="43" t="s">
        <v>588</v>
      </c>
      <c r="B2115" s="43" t="s">
        <v>1073</v>
      </c>
      <c r="C2115" s="56">
        <v>45985</v>
      </c>
      <c r="D2115" s="139"/>
      <c r="E2115" s="43">
        <v>734</v>
      </c>
      <c r="F2115" s="69"/>
      <c r="G2115" t="s">
        <v>1807</v>
      </c>
    </row>
    <row r="2116" spans="1:7">
      <c r="A2116" s="43" t="s">
        <v>413</v>
      </c>
      <c r="B2116" s="43" t="s">
        <v>1073</v>
      </c>
      <c r="C2116" s="56">
        <v>45985</v>
      </c>
      <c r="D2116" s="139"/>
      <c r="E2116" s="43">
        <v>719</v>
      </c>
      <c r="F2116" s="69"/>
      <c r="G2116" t="s">
        <v>1807</v>
      </c>
    </row>
    <row r="2117" spans="1:7">
      <c r="A2117" s="306" t="s">
        <v>378</v>
      </c>
      <c r="B2117" s="318" t="s">
        <v>215</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392</v>
      </c>
      <c r="B2119" s="247" t="s">
        <v>1732</v>
      </c>
      <c r="C2119" s="56">
        <v>45985</v>
      </c>
      <c r="D2119" s="139"/>
      <c r="E2119" s="43"/>
      <c r="F2119" s="1092" t="s">
        <v>1875</v>
      </c>
      <c r="G2119" t="s">
        <v>1807</v>
      </c>
    </row>
    <row r="2120" spans="1:7">
      <c r="A2120" s="43" t="s">
        <v>381</v>
      </c>
      <c r="B2120" s="247" t="s">
        <v>1732</v>
      </c>
      <c r="C2120" s="56">
        <v>45985</v>
      </c>
      <c r="D2120" s="139"/>
      <c r="E2120" s="43"/>
      <c r="F2120" s="1092" t="s">
        <v>1876</v>
      </c>
      <c r="G2120" t="s">
        <v>1807</v>
      </c>
    </row>
    <row r="2121" spans="1:7">
      <c r="A2121" s="43" t="s">
        <v>403</v>
      </c>
      <c r="B2121" s="43" t="s">
        <v>1732</v>
      </c>
      <c r="C2121" s="56">
        <v>45985</v>
      </c>
      <c r="D2121" s="155">
        <v>1655</v>
      </c>
      <c r="E2121" s="253"/>
      <c r="F2121" s="91" t="s">
        <v>1877</v>
      </c>
      <c r="G2121" t="s">
        <v>1807</v>
      </c>
    </row>
    <row r="2122" spans="1:7">
      <c r="A2122" s="148" t="s">
        <v>512</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611</v>
      </c>
      <c r="B2126" s="805" t="s">
        <v>1073</v>
      </c>
      <c r="C2126" s="56">
        <v>45986</v>
      </c>
      <c r="D2126" s="43">
        <v>357</v>
      </c>
      <c r="F2126" s="43" t="s">
        <v>1200</v>
      </c>
      <c r="G2126" t="s">
        <v>1807</v>
      </c>
    </row>
    <row r="2127" spans="1:7">
      <c r="A2127" s="43" t="s">
        <v>1132</v>
      </c>
      <c r="B2127" s="43" t="s">
        <v>432</v>
      </c>
      <c r="C2127" s="56">
        <v>45986</v>
      </c>
      <c r="D2127" s="155">
        <v>1397</v>
      </c>
      <c r="G2127" t="s">
        <v>1807</v>
      </c>
    </row>
    <row r="2128" spans="1:7">
      <c r="A2128" s="43" t="s">
        <v>600</v>
      </c>
      <c r="B2128" s="43" t="s">
        <v>126</v>
      </c>
      <c r="C2128" s="56">
        <v>45986</v>
      </c>
      <c r="D2128" s="155">
        <v>1100</v>
      </c>
      <c r="G2128" t="s">
        <v>1807</v>
      </c>
    </row>
    <row r="2129" spans="1:7">
      <c r="A2129" s="43" t="s">
        <v>597</v>
      </c>
      <c r="B2129" s="43" t="s">
        <v>126</v>
      </c>
      <c r="C2129" s="56">
        <v>45986</v>
      </c>
      <c r="D2129" s="155">
        <v>1360</v>
      </c>
      <c r="F2129" s="43" t="s">
        <v>1879</v>
      </c>
      <c r="G2129" t="s">
        <v>1807</v>
      </c>
    </row>
    <row r="2130" spans="1:7">
      <c r="A2130" s="43" t="s">
        <v>1135</v>
      </c>
      <c r="B2130" s="43" t="s">
        <v>435</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392</v>
      </c>
      <c r="B2132" s="247" t="s">
        <v>1732</v>
      </c>
      <c r="C2132" s="56">
        <v>45986</v>
      </c>
      <c r="D2132" s="139"/>
      <c r="E2132" s="43"/>
      <c r="F2132" s="756" t="s">
        <v>1880</v>
      </c>
      <c r="G2132" t="s">
        <v>1807</v>
      </c>
    </row>
    <row r="2133" spans="1:7">
      <c r="A2133" s="43" t="s">
        <v>381</v>
      </c>
      <c r="B2133" s="247" t="s">
        <v>1732</v>
      </c>
      <c r="C2133" s="56">
        <v>45986</v>
      </c>
      <c r="D2133" s="139"/>
      <c r="E2133" s="43"/>
      <c r="F2133" s="756" t="s">
        <v>1880</v>
      </c>
      <c r="G2133" t="s">
        <v>1807</v>
      </c>
    </row>
    <row r="2134" spans="1:7">
      <c r="A2134" s="43" t="s">
        <v>409</v>
      </c>
      <c r="B2134" s="43" t="s">
        <v>1732</v>
      </c>
      <c r="C2134" s="56">
        <v>45986</v>
      </c>
      <c r="D2134" s="321">
        <v>2568</v>
      </c>
      <c r="E2134" s="43"/>
      <c r="G2134" t="s">
        <v>1807</v>
      </c>
    </row>
    <row r="2135" spans="1:7">
      <c r="A2135" s="43" t="s">
        <v>403</v>
      </c>
      <c r="B2135" s="43" t="s">
        <v>1732</v>
      </c>
      <c r="C2135" s="56">
        <v>45986</v>
      </c>
      <c r="D2135" s="155">
        <v>2537</v>
      </c>
      <c r="E2135" s="253"/>
      <c r="F2135" s="169"/>
      <c r="G2135" t="s">
        <v>1807</v>
      </c>
    </row>
    <row r="2136" spans="1:7">
      <c r="A2136" s="334" t="s">
        <v>461</v>
      </c>
      <c r="B2136" s="165" t="s">
        <v>126</v>
      </c>
      <c r="C2136" s="56">
        <v>45986</v>
      </c>
      <c r="D2136" s="155">
        <v>2382</v>
      </c>
      <c r="G2136" t="s">
        <v>1807</v>
      </c>
    </row>
    <row r="2137" spans="1:7">
      <c r="A2137" s="404" t="s">
        <v>440</v>
      </c>
      <c r="B2137" s="173" t="s">
        <v>126</v>
      </c>
      <c r="C2137" s="56">
        <v>45986</v>
      </c>
      <c r="D2137" s="43">
        <v>996</v>
      </c>
      <c r="G2137" t="s">
        <v>1807</v>
      </c>
    </row>
    <row r="2138" spans="1:7">
      <c r="A2138" s="404" t="s">
        <v>483</v>
      </c>
      <c r="B2138" s="173" t="s">
        <v>126</v>
      </c>
      <c r="C2138" s="56">
        <v>45986</v>
      </c>
      <c r="D2138" s="155">
        <v>3634</v>
      </c>
      <c r="G2138" t="s">
        <v>1807</v>
      </c>
    </row>
    <row r="2139" spans="1:7">
      <c r="A2139" s="69" t="s">
        <v>480</v>
      </c>
      <c r="B2139" s="173" t="s">
        <v>126</v>
      </c>
      <c r="C2139" s="56">
        <v>45986</v>
      </c>
      <c r="D2139" s="155">
        <v>3311</v>
      </c>
      <c r="G2139" t="s">
        <v>1807</v>
      </c>
    </row>
    <row r="2140" spans="1:7">
      <c r="A2140" s="69" t="s">
        <v>308</v>
      </c>
      <c r="B2140" s="173" t="s">
        <v>126</v>
      </c>
      <c r="C2140" s="56">
        <v>45986</v>
      </c>
      <c r="D2140" s="155">
        <v>1175</v>
      </c>
      <c r="G2140" t="s">
        <v>1807</v>
      </c>
    </row>
    <row r="2141" spans="1:7">
      <c r="A2141" s="247" t="s">
        <v>477</v>
      </c>
      <c r="B2141" s="173" t="s">
        <v>126</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512</v>
      </c>
      <c r="B2145" s="311" t="s">
        <v>1073</v>
      </c>
      <c r="C2145" s="56">
        <v>45987</v>
      </c>
      <c r="F2145" s="782" t="s">
        <v>1350</v>
      </c>
      <c r="G2145" t="s">
        <v>1807</v>
      </c>
    </row>
    <row r="2146" spans="1:7">
      <c r="A2146" s="805" t="s">
        <v>611</v>
      </c>
      <c r="B2146" s="805" t="s">
        <v>1073</v>
      </c>
      <c r="C2146" s="56">
        <v>45987</v>
      </c>
      <c r="D2146" s="43">
        <v>331</v>
      </c>
      <c r="E2146" s="321">
        <v>1063</v>
      </c>
      <c r="F2146" s="43" t="s">
        <v>1881</v>
      </c>
      <c r="G2146" t="s">
        <v>1807</v>
      </c>
    </row>
    <row r="2147" spans="1:7">
      <c r="A2147" s="1094" t="s">
        <v>597</v>
      </c>
      <c r="B2147" s="304" t="s">
        <v>126</v>
      </c>
      <c r="C2147" s="56">
        <v>45987</v>
      </c>
      <c r="D2147" s="155">
        <v>1024</v>
      </c>
      <c r="F2147" s="43" t="s">
        <v>1882</v>
      </c>
      <c r="G2147" t="s">
        <v>1807</v>
      </c>
    </row>
    <row r="2148" spans="1:7">
      <c r="A2148" s="306" t="s">
        <v>600</v>
      </c>
      <c r="B2148" s="305" t="s">
        <v>126</v>
      </c>
      <c r="C2148" s="56">
        <v>45987</v>
      </c>
      <c r="D2148" s="43">
        <v>855</v>
      </c>
      <c r="F2148" s="43" t="s">
        <v>1883</v>
      </c>
      <c r="G2148" t="s">
        <v>1807</v>
      </c>
    </row>
    <row r="2149" spans="1:7">
      <c r="A2149" s="311" t="s">
        <v>1136</v>
      </c>
      <c r="B2149" s="311" t="s">
        <v>432</v>
      </c>
      <c r="C2149" s="56">
        <v>45987</v>
      </c>
      <c r="D2149" s="43">
        <v>955</v>
      </c>
      <c r="E2149" s="201"/>
      <c r="F2149" s="115" t="s">
        <v>1884</v>
      </c>
      <c r="G2149" t="s">
        <v>1807</v>
      </c>
    </row>
    <row r="2150" spans="1:7">
      <c r="A2150" s="315" t="s">
        <v>1137</v>
      </c>
      <c r="B2150" s="315" t="s">
        <v>435</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392</v>
      </c>
      <c r="B2152" s="141" t="s">
        <v>1732</v>
      </c>
      <c r="C2152" s="56">
        <v>45987</v>
      </c>
      <c r="D2152" s="139"/>
      <c r="E2152" s="43"/>
      <c r="F2152" s="756" t="s">
        <v>1880</v>
      </c>
      <c r="G2152" t="s">
        <v>1807</v>
      </c>
    </row>
    <row r="2153" spans="1:7">
      <c r="A2153" s="305" t="s">
        <v>381</v>
      </c>
      <c r="B2153" s="305" t="s">
        <v>1732</v>
      </c>
      <c r="C2153" s="336">
        <v>45987</v>
      </c>
      <c r="D2153" s="139"/>
      <c r="E2153" s="43"/>
      <c r="F2153" s="756" t="s">
        <v>1880</v>
      </c>
      <c r="G2153" t="s">
        <v>1807</v>
      </c>
    </row>
    <row r="2154" spans="1:7">
      <c r="A2154" s="141" t="s">
        <v>376</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378</v>
      </c>
      <c r="B2156" s="141" t="s">
        <v>215</v>
      </c>
      <c r="C2156" s="56">
        <v>45987</v>
      </c>
      <c r="D2156" s="423"/>
      <c r="E2156" s="43"/>
      <c r="F2156" s="141" t="s">
        <v>1880</v>
      </c>
      <c r="G2156" t="s">
        <v>1807</v>
      </c>
    </row>
    <row r="2157" spans="1:7">
      <c r="A2157" s="141" t="s">
        <v>367</v>
      </c>
      <c r="B2157" s="141" t="s">
        <v>1886</v>
      </c>
      <c r="C2157" s="56">
        <v>45987</v>
      </c>
      <c r="D2157" s="161"/>
      <c r="E2157" s="1095">
        <v>4668</v>
      </c>
      <c r="F2157" s="169" t="s">
        <v>1887</v>
      </c>
      <c r="G2157" t="s">
        <v>1807</v>
      </c>
    </row>
    <row r="2158" spans="1:7">
      <c r="A2158" s="247" t="s">
        <v>449</v>
      </c>
      <c r="B2158" s="315" t="s">
        <v>1512</v>
      </c>
      <c r="C2158" s="56">
        <v>45987</v>
      </c>
      <c r="E2158" s="139">
        <v>794</v>
      </c>
      <c r="G2158" t="s">
        <v>1807</v>
      </c>
    </row>
    <row r="2159" spans="1:7">
      <c r="A2159" s="141" t="s">
        <v>308</v>
      </c>
      <c r="B2159" s="141" t="s">
        <v>126</v>
      </c>
      <c r="C2159" s="56">
        <v>45987</v>
      </c>
      <c r="D2159" s="161"/>
      <c r="E2159" s="321">
        <v>2338</v>
      </c>
      <c r="F2159" s="43" t="s">
        <v>1888</v>
      </c>
      <c r="G2159" t="s">
        <v>1807</v>
      </c>
    </row>
    <row r="2160" spans="1:7">
      <c r="A2160" s="306" t="s">
        <v>443</v>
      </c>
      <c r="B2160" s="311" t="s">
        <v>1073</v>
      </c>
      <c r="C2160" s="56">
        <v>45987</v>
      </c>
      <c r="E2160" s="139">
        <v>175</v>
      </c>
      <c r="G2160" t="s">
        <v>1807</v>
      </c>
    </row>
    <row r="2161" spans="1:7">
      <c r="A2161" s="306" t="s">
        <v>443</v>
      </c>
      <c r="B2161" s="315" t="s">
        <v>126</v>
      </c>
      <c r="C2161" s="56">
        <v>45987</v>
      </c>
      <c r="E2161" s="321">
        <v>2455</v>
      </c>
      <c r="F2161" s="43" t="s">
        <v>1889</v>
      </c>
      <c r="G2161" t="s">
        <v>1807</v>
      </c>
    </row>
    <row r="2162" spans="1:7">
      <c r="A2162" s="306" t="s">
        <v>445</v>
      </c>
      <c r="B2162" s="315" t="s">
        <v>1073</v>
      </c>
      <c r="C2162" s="56">
        <v>45987</v>
      </c>
      <c r="E2162" s="139">
        <v>376</v>
      </c>
      <c r="G2162" t="s">
        <v>1807</v>
      </c>
    </row>
    <row r="2163" spans="1:7">
      <c r="A2163" s="306" t="s">
        <v>445</v>
      </c>
      <c r="B2163" s="737" t="s">
        <v>126</v>
      </c>
      <c r="C2163" s="56">
        <v>45987</v>
      </c>
      <c r="E2163" s="139">
        <v>404</v>
      </c>
      <c r="F2163" s="43" t="s">
        <v>1890</v>
      </c>
      <c r="G2163" t="s">
        <v>1807</v>
      </c>
    </row>
    <row r="2164" spans="1:7">
      <c r="A2164" s="311" t="s">
        <v>447</v>
      </c>
      <c r="B2164" s="311" t="s">
        <v>1073</v>
      </c>
      <c r="C2164" s="56">
        <v>45987</v>
      </c>
      <c r="E2164" s="321">
        <v>1264</v>
      </c>
      <c r="G2164" t="s">
        <v>1807</v>
      </c>
    </row>
    <row r="2165" spans="1:7">
      <c r="A2165" s="315" t="s">
        <v>452</v>
      </c>
      <c r="B2165" s="315" t="s">
        <v>1073</v>
      </c>
      <c r="C2165" s="56">
        <v>45987</v>
      </c>
      <c r="E2165" s="321">
        <v>1520</v>
      </c>
      <c r="G2165" t="s">
        <v>1807</v>
      </c>
    </row>
    <row r="2166" spans="1:7">
      <c r="A2166" s="315" t="s">
        <v>453</v>
      </c>
      <c r="B2166" s="315" t="s">
        <v>1512</v>
      </c>
      <c r="C2166" s="56">
        <v>45987</v>
      </c>
      <c r="E2166" s="321">
        <v>1739</v>
      </c>
      <c r="G2166" t="s">
        <v>1807</v>
      </c>
    </row>
    <row r="2167" spans="1:7">
      <c r="A2167" s="315" t="s">
        <v>455</v>
      </c>
      <c r="B2167" s="315" t="s">
        <v>1073</v>
      </c>
      <c r="C2167" s="56">
        <v>45987</v>
      </c>
      <c r="E2167" s="321">
        <v>1584</v>
      </c>
      <c r="G2167" t="s">
        <v>1807</v>
      </c>
    </row>
    <row r="2168" spans="1:7">
      <c r="A2168" s="315" t="s">
        <v>457</v>
      </c>
      <c r="B2168" s="315" t="s">
        <v>1073</v>
      </c>
      <c r="C2168" s="56">
        <v>45987</v>
      </c>
      <c r="E2168" s="321">
        <v>1140</v>
      </c>
      <c r="G2168" t="s">
        <v>1807</v>
      </c>
    </row>
    <row r="2169" spans="1:7">
      <c r="A2169" s="315" t="s">
        <v>458</v>
      </c>
      <c r="B2169" s="315" t="s">
        <v>1073</v>
      </c>
      <c r="C2169" s="56">
        <v>45987</v>
      </c>
      <c r="E2169" s="139">
        <v>692</v>
      </c>
      <c r="G2169" t="s">
        <v>1807</v>
      </c>
    </row>
    <row r="2170" spans="1:7">
      <c r="C2170" s="56">
        <v>45988</v>
      </c>
      <c r="G2170" t="s">
        <v>1807</v>
      </c>
    </row>
    <row r="2171" spans="1:7">
      <c r="A2171" s="247" t="s">
        <v>594</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518</v>
      </c>
      <c r="B2174" s="306" t="s">
        <v>1598</v>
      </c>
      <c r="C2174" s="56">
        <v>45992</v>
      </c>
      <c r="D2174" s="43">
        <v>602</v>
      </c>
      <c r="F2174" s="43" t="s">
        <v>1893</v>
      </c>
      <c r="G2174" t="s">
        <v>1892</v>
      </c>
    </row>
    <row r="2175" spans="1:7">
      <c r="A2175" s="306" t="s">
        <v>518</v>
      </c>
      <c r="B2175" s="306" t="s">
        <v>1688</v>
      </c>
      <c r="C2175" s="56">
        <v>45992</v>
      </c>
      <c r="F2175" s="337" t="s">
        <v>1894</v>
      </c>
      <c r="G2175" t="s">
        <v>1892</v>
      </c>
    </row>
    <row r="2176" spans="1:7">
      <c r="A2176" s="805" t="s">
        <v>597</v>
      </c>
      <c r="B2176" s="805" t="s">
        <v>126</v>
      </c>
      <c r="C2176" s="56">
        <v>45992</v>
      </c>
      <c r="D2176" s="155">
        <v>1610</v>
      </c>
      <c r="F2176" s="43" t="s">
        <v>1895</v>
      </c>
      <c r="G2176" t="s">
        <v>1892</v>
      </c>
    </row>
    <row r="2177" spans="1:7">
      <c r="A2177" s="1094" t="s">
        <v>600</v>
      </c>
      <c r="B2177" s="304" t="s">
        <v>126</v>
      </c>
      <c r="C2177" s="56">
        <v>45992</v>
      </c>
      <c r="D2177" s="155">
        <v>1622</v>
      </c>
      <c r="F2177" s="43" t="s">
        <v>1896</v>
      </c>
      <c r="G2177" t="s">
        <v>1892</v>
      </c>
    </row>
    <row r="2178" spans="1:7">
      <c r="A2178" s="141" t="s">
        <v>1136</v>
      </c>
      <c r="B2178" s="304" t="s">
        <v>432</v>
      </c>
      <c r="C2178" s="56">
        <v>45992</v>
      </c>
      <c r="D2178" s="155">
        <v>1765</v>
      </c>
      <c r="G2178" t="s">
        <v>1892</v>
      </c>
    </row>
    <row r="2179" spans="1:7">
      <c r="A2179" s="304" t="s">
        <v>1135</v>
      </c>
      <c r="B2179" s="304" t="s">
        <v>435</v>
      </c>
      <c r="C2179" s="56">
        <v>45992</v>
      </c>
      <c r="D2179" s="43">
        <v>600</v>
      </c>
      <c r="G2179" t="s">
        <v>1892</v>
      </c>
    </row>
    <row r="2180" spans="1:7">
      <c r="A2180" s="141" t="s">
        <v>403</v>
      </c>
      <c r="B2180" s="141" t="s">
        <v>1732</v>
      </c>
      <c r="C2180" s="56">
        <v>45992</v>
      </c>
      <c r="D2180" s="155">
        <v>2113</v>
      </c>
      <c r="F2180" s="43" t="s">
        <v>1897</v>
      </c>
      <c r="G2180" t="s">
        <v>1892</v>
      </c>
    </row>
    <row r="2181" spans="1:7">
      <c r="A2181" s="141" t="s">
        <v>308</v>
      </c>
      <c r="B2181" s="387" t="s">
        <v>126</v>
      </c>
      <c r="C2181" s="56">
        <v>45992</v>
      </c>
      <c r="D2181" s="155">
        <v>1515</v>
      </c>
      <c r="F2181" s="43" t="s">
        <v>1543</v>
      </c>
      <c r="G2181" t="s">
        <v>1892</v>
      </c>
    </row>
    <row r="2182" spans="1:7">
      <c r="A2182" s="348" t="s">
        <v>483</v>
      </c>
      <c r="B2182" s="357" t="s">
        <v>126</v>
      </c>
      <c r="C2182" s="56">
        <v>45992</v>
      </c>
      <c r="D2182" s="155">
        <v>3376</v>
      </c>
      <c r="G2182" t="s">
        <v>1892</v>
      </c>
    </row>
    <row r="2183" spans="1:7">
      <c r="A2183" s="317" t="s">
        <v>461</v>
      </c>
      <c r="B2183" s="308" t="s">
        <v>126</v>
      </c>
      <c r="C2183" s="56">
        <v>45992</v>
      </c>
      <c r="D2183" s="155">
        <v>3084</v>
      </c>
      <c r="G2183" t="s">
        <v>1892</v>
      </c>
    </row>
    <row r="2184" spans="1:7">
      <c r="A2184" s="311" t="s">
        <v>499</v>
      </c>
      <c r="B2184" s="311" t="s">
        <v>126</v>
      </c>
      <c r="C2184" s="56">
        <v>45992</v>
      </c>
      <c r="D2184" s="155">
        <v>1829</v>
      </c>
      <c r="G2184" t="s">
        <v>1892</v>
      </c>
    </row>
    <row r="2185" spans="1:7">
      <c r="A2185" s="247" t="s">
        <v>464</v>
      </c>
      <c r="B2185" s="759" t="s">
        <v>126</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518</v>
      </c>
      <c r="B2188" s="306" t="s">
        <v>1598</v>
      </c>
      <c r="C2188" s="56">
        <v>45993</v>
      </c>
      <c r="D2188" s="43">
        <v>581</v>
      </c>
      <c r="G2188" t="s">
        <v>1892</v>
      </c>
    </row>
    <row r="2189" spans="1:7">
      <c r="A2189" s="311" t="s">
        <v>518</v>
      </c>
      <c r="B2189" s="311" t="s">
        <v>1688</v>
      </c>
      <c r="C2189" s="56">
        <v>45993</v>
      </c>
      <c r="D2189" s="43">
        <v>488</v>
      </c>
      <c r="F2189" s="43" t="s">
        <v>1899</v>
      </c>
      <c r="G2189" t="s">
        <v>1892</v>
      </c>
    </row>
    <row r="2190" spans="1:7">
      <c r="A2190" s="141" t="s">
        <v>1135</v>
      </c>
      <c r="B2190" s="141" t="s">
        <v>435</v>
      </c>
      <c r="C2190" s="56">
        <v>45993</v>
      </c>
      <c r="D2190" s="43">
        <v>610</v>
      </c>
      <c r="F2190" s="43" t="s">
        <v>1900</v>
      </c>
      <c r="G2190" t="s">
        <v>1892</v>
      </c>
    </row>
    <row r="2191" spans="1:7">
      <c r="A2191" s="1094" t="s">
        <v>600</v>
      </c>
      <c r="B2191" s="304" t="s">
        <v>126</v>
      </c>
      <c r="C2191" s="56">
        <v>45993</v>
      </c>
      <c r="D2191" s="155">
        <v>1131</v>
      </c>
      <c r="F2191" s="43" t="s">
        <v>1901</v>
      </c>
      <c r="G2191" t="s">
        <v>1892</v>
      </c>
    </row>
    <row r="2192" spans="1:7">
      <c r="A2192" s="141" t="s">
        <v>1136</v>
      </c>
      <c r="B2192" s="304" t="s">
        <v>432</v>
      </c>
      <c r="C2192" s="56">
        <v>45993</v>
      </c>
      <c r="D2192" s="155">
        <v>1153</v>
      </c>
      <c r="F2192" s="43" t="s">
        <v>1902</v>
      </c>
      <c r="G2192" t="s">
        <v>1892</v>
      </c>
    </row>
    <row r="2193" spans="1:7">
      <c r="A2193" s="304" t="s">
        <v>590</v>
      </c>
      <c r="B2193" s="304" t="s">
        <v>1073</v>
      </c>
      <c r="C2193" s="56">
        <v>45993</v>
      </c>
      <c r="D2193" s="43">
        <v>175</v>
      </c>
      <c r="G2193" t="s">
        <v>1892</v>
      </c>
    </row>
    <row r="2194" spans="1:7">
      <c r="A2194" s="311" t="s">
        <v>464</v>
      </c>
      <c r="B2194" s="311" t="s">
        <v>126</v>
      </c>
      <c r="C2194" s="56">
        <v>45993</v>
      </c>
      <c r="D2194" s="155">
        <v>2916</v>
      </c>
      <c r="G2194" t="s">
        <v>1892</v>
      </c>
    </row>
    <row r="2195" spans="1:7">
      <c r="A2195" s="315" t="s">
        <v>499</v>
      </c>
      <c r="B2195" s="315" t="s">
        <v>126</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518</v>
      </c>
      <c r="B2198" s="950" t="s">
        <v>1598</v>
      </c>
      <c r="C2198" s="56">
        <v>45994</v>
      </c>
      <c r="D2198" s="155">
        <v>1029</v>
      </c>
      <c r="F2198" s="43" t="s">
        <v>1904</v>
      </c>
      <c r="G2198" t="s">
        <v>1892</v>
      </c>
    </row>
    <row r="2199" spans="1:7">
      <c r="A2199" s="950" t="s">
        <v>518</v>
      </c>
      <c r="B2199" s="950" t="s">
        <v>1688</v>
      </c>
      <c r="C2199" s="56">
        <v>45994</v>
      </c>
      <c r="F2199" s="337" t="s">
        <v>1905</v>
      </c>
      <c r="G2199" t="s">
        <v>1892</v>
      </c>
    </row>
    <row r="2200" spans="1:7">
      <c r="A2200" s="759" t="s">
        <v>518</v>
      </c>
      <c r="B2200" s="759" t="s">
        <v>1824</v>
      </c>
      <c r="C2200" s="56">
        <v>45994</v>
      </c>
      <c r="D2200" s="43">
        <v>100</v>
      </c>
      <c r="G2200" t="s">
        <v>1892</v>
      </c>
    </row>
    <row r="2201" spans="1:7">
      <c r="A2201" s="756" t="s">
        <v>1135</v>
      </c>
      <c r="B2201" s="756" t="s">
        <v>435</v>
      </c>
      <c r="C2201" s="56">
        <v>45994</v>
      </c>
      <c r="D2201" s="43">
        <v>974</v>
      </c>
      <c r="G2201" t="s">
        <v>1892</v>
      </c>
    </row>
    <row r="2202" spans="1:7">
      <c r="A2202" s="1094" t="s">
        <v>569</v>
      </c>
      <c r="B2202" s="1128" t="s">
        <v>138</v>
      </c>
      <c r="C2202" s="56">
        <v>45994</v>
      </c>
      <c r="D2202" s="43">
        <v>466</v>
      </c>
      <c r="F2202" s="43" t="s">
        <v>1906</v>
      </c>
      <c r="G2202" t="s">
        <v>1892</v>
      </c>
    </row>
    <row r="2203" spans="1:7">
      <c r="A2203" s="756" t="s">
        <v>1136</v>
      </c>
      <c r="B2203" s="1128" t="s">
        <v>432</v>
      </c>
      <c r="C2203" s="56">
        <v>45994</v>
      </c>
      <c r="D2203" s="43">
        <v>383</v>
      </c>
      <c r="G2203" t="s">
        <v>1892</v>
      </c>
    </row>
    <row r="2204" spans="1:7">
      <c r="A2204" s="756" t="s">
        <v>575</v>
      </c>
      <c r="B2204" s="1128" t="s">
        <v>126</v>
      </c>
      <c r="C2204" s="56">
        <v>45994</v>
      </c>
      <c r="D2204" s="155">
        <v>1379</v>
      </c>
      <c r="F2204" s="43" t="s">
        <v>1907</v>
      </c>
      <c r="G2204" t="s">
        <v>1892</v>
      </c>
    </row>
    <row r="2205" spans="1:7">
      <c r="A2205" s="756" t="s">
        <v>403</v>
      </c>
      <c r="B2205" s="756" t="s">
        <v>1732</v>
      </c>
      <c r="C2205" s="56">
        <v>45994</v>
      </c>
      <c r="D2205" s="155">
        <v>1677</v>
      </c>
      <c r="G2205" t="s">
        <v>1892</v>
      </c>
    </row>
    <row r="2206" spans="1:7">
      <c r="A2206" s="1129" t="s">
        <v>464</v>
      </c>
      <c r="B2206" s="1130" t="s">
        <v>126</v>
      </c>
      <c r="C2206" s="56">
        <v>45994</v>
      </c>
      <c r="D2206" s="155">
        <v>2430</v>
      </c>
      <c r="G2206" t="s">
        <v>1892</v>
      </c>
    </row>
    <row r="2207" spans="1:7">
      <c r="A2207" s="759" t="s">
        <v>499</v>
      </c>
      <c r="B2207" s="759" t="s">
        <v>126</v>
      </c>
      <c r="C2207" s="56">
        <v>45994</v>
      </c>
      <c r="D2207" s="43">
        <v>694</v>
      </c>
      <c r="G2207" t="s">
        <v>1892</v>
      </c>
    </row>
    <row r="2208" spans="1:7">
      <c r="A2208" s="1129" t="s">
        <v>313</v>
      </c>
      <c r="B2208" s="1130" t="s">
        <v>126</v>
      </c>
      <c r="C2208" s="56">
        <v>45994</v>
      </c>
      <c r="D2208" s="43">
        <v>243</v>
      </c>
      <c r="G2208" t="s">
        <v>1892</v>
      </c>
    </row>
    <row r="2209" spans="1:7">
      <c r="A2209" s="306" t="s">
        <v>1138</v>
      </c>
      <c r="B2209" s="306" t="s">
        <v>1759</v>
      </c>
      <c r="C2209" s="56">
        <v>45995</v>
      </c>
      <c r="D2209" s="43">
        <v>272</v>
      </c>
      <c r="F2209" s="43" t="s">
        <v>1908</v>
      </c>
      <c r="G2209" t="s">
        <v>1892</v>
      </c>
    </row>
    <row r="2210" spans="1:7">
      <c r="A2210" s="306" t="s">
        <v>518</v>
      </c>
      <c r="B2210" s="306" t="s">
        <v>1759</v>
      </c>
      <c r="C2210" s="56">
        <v>45995</v>
      </c>
      <c r="D2210" s="43">
        <v>285</v>
      </c>
      <c r="G2210" t="s">
        <v>1892</v>
      </c>
    </row>
    <row r="2211" spans="1:7">
      <c r="A2211" s="311" t="s">
        <v>518</v>
      </c>
      <c r="B2211" s="311" t="s">
        <v>1598</v>
      </c>
      <c r="C2211" s="56">
        <v>45995</v>
      </c>
      <c r="D2211" s="43">
        <v>756</v>
      </c>
      <c r="G2211" t="s">
        <v>1892</v>
      </c>
    </row>
    <row r="2212" spans="1:7">
      <c r="A2212" s="315" t="s">
        <v>518</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569</v>
      </c>
      <c r="B2214" s="311" t="s">
        <v>138</v>
      </c>
      <c r="C2214" s="56">
        <v>45995</v>
      </c>
      <c r="D2214" s="43">
        <v>195</v>
      </c>
      <c r="F2214" s="43" t="s">
        <v>1911</v>
      </c>
      <c r="G2214" t="s">
        <v>1892</v>
      </c>
    </row>
    <row r="2215" spans="1:7">
      <c r="A2215" s="315" t="s">
        <v>1136</v>
      </c>
      <c r="B2215" s="315" t="s">
        <v>432</v>
      </c>
      <c r="C2215" s="56">
        <v>45995</v>
      </c>
      <c r="D2215" s="43">
        <v>490</v>
      </c>
      <c r="F2215" s="43" t="s">
        <v>1912</v>
      </c>
      <c r="G2215" t="s">
        <v>1892</v>
      </c>
    </row>
    <row r="2216" spans="1:7">
      <c r="A2216" s="315" t="s">
        <v>575</v>
      </c>
      <c r="B2216" s="315" t="s">
        <v>1913</v>
      </c>
      <c r="C2216" s="56">
        <v>45995</v>
      </c>
      <c r="D2216" s="155">
        <v>1154</v>
      </c>
      <c r="F2216" s="43" t="s">
        <v>1914</v>
      </c>
      <c r="G2216" t="s">
        <v>1892</v>
      </c>
    </row>
    <row r="2217" spans="1:7">
      <c r="A2217" s="1094" t="s">
        <v>569</v>
      </c>
      <c r="B2217" s="1128" t="s">
        <v>138</v>
      </c>
      <c r="C2217" s="56">
        <v>45995</v>
      </c>
      <c r="D2217" s="155">
        <v>150</v>
      </c>
      <c r="F2217" s="43" t="s">
        <v>1915</v>
      </c>
      <c r="G2217" t="s">
        <v>1892</v>
      </c>
    </row>
    <row r="2218" spans="1:7">
      <c r="A2218" s="141" t="s">
        <v>403</v>
      </c>
      <c r="B2218" s="141" t="s">
        <v>1732</v>
      </c>
      <c r="C2218" s="56">
        <v>45995</v>
      </c>
      <c r="D2218" s="155">
        <v>1316</v>
      </c>
      <c r="G2218" t="s">
        <v>1892</v>
      </c>
    </row>
    <row r="2219" spans="1:7">
      <c r="A2219" s="141" t="s">
        <v>409</v>
      </c>
      <c r="B2219" s="141" t="s">
        <v>1732</v>
      </c>
      <c r="C2219" s="56">
        <v>45995</v>
      </c>
      <c r="D2219" s="43">
        <v>489</v>
      </c>
      <c r="G2219" t="s">
        <v>1892</v>
      </c>
    </row>
    <row r="2220" spans="1:7">
      <c r="A2220" s="141" t="s">
        <v>308</v>
      </c>
      <c r="B2220" s="306" t="s">
        <v>126</v>
      </c>
      <c r="C2220" s="56">
        <v>45995</v>
      </c>
      <c r="E2220" s="139">
        <v>644</v>
      </c>
      <c r="F2220" s="43" t="s">
        <v>1916</v>
      </c>
      <c r="G2220" t="s">
        <v>1892</v>
      </c>
    </row>
    <row r="2221" spans="1:7">
      <c r="A2221" s="304" t="s">
        <v>469</v>
      </c>
      <c r="B2221" s="311" t="s">
        <v>1073</v>
      </c>
      <c r="C2221" s="56">
        <v>45995</v>
      </c>
      <c r="D2221" s="43">
        <v>64</v>
      </c>
      <c r="F2221" s="43" t="s">
        <v>1917</v>
      </c>
      <c r="G2221" t="s">
        <v>1892</v>
      </c>
    </row>
    <row r="2222" spans="1:7">
      <c r="A2222" s="247" t="s">
        <v>477</v>
      </c>
      <c r="B2222" s="1130" t="s">
        <v>126</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518</v>
      </c>
      <c r="B2224" s="950" t="s">
        <v>1759</v>
      </c>
      <c r="C2224" s="56">
        <v>45996</v>
      </c>
      <c r="D2224" s="43">
        <v>710</v>
      </c>
      <c r="G2224" t="s">
        <v>1892</v>
      </c>
    </row>
    <row r="2225" spans="1:7">
      <c r="A2225" s="950" t="s">
        <v>518</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3" t="s">
        <v>435</v>
      </c>
      <c r="C2227" s="56">
        <v>45996</v>
      </c>
      <c r="D2227" s="43">
        <v>385</v>
      </c>
      <c r="F2227" s="43" t="s">
        <v>1920</v>
      </c>
      <c r="G2227" t="s">
        <v>1892</v>
      </c>
    </row>
    <row r="2228" spans="1:7">
      <c r="A2228" s="647" t="s">
        <v>594</v>
      </c>
      <c r="B2228" s="1134" t="s">
        <v>1512</v>
      </c>
      <c r="C2228" s="56">
        <v>45996</v>
      </c>
      <c r="E2228" s="139">
        <v>446</v>
      </c>
      <c r="F2228" s="756"/>
      <c r="G2228" t="s">
        <v>1892</v>
      </c>
    </row>
    <row r="2229" spans="1:7">
      <c r="A2229" s="647" t="s">
        <v>600</v>
      </c>
      <c r="B2229" s="1134" t="s">
        <v>1512</v>
      </c>
      <c r="C2229" s="56">
        <v>45996</v>
      </c>
      <c r="E2229" s="139">
        <v>422</v>
      </c>
      <c r="F2229" s="1128"/>
      <c r="G2229" t="s">
        <v>1892</v>
      </c>
    </row>
    <row r="2230" spans="1:7">
      <c r="A2230" s="647" t="s">
        <v>600</v>
      </c>
      <c r="B2230" s="1134" t="s">
        <v>1512</v>
      </c>
      <c r="C2230" s="56">
        <v>45996</v>
      </c>
      <c r="F2230" s="311" t="s">
        <v>1373</v>
      </c>
      <c r="G2230" t="s">
        <v>1892</v>
      </c>
    </row>
    <row r="2231" spans="1:7">
      <c r="A2231" s="1128" t="s">
        <v>1136</v>
      </c>
      <c r="B2231" s="1134" t="s">
        <v>432</v>
      </c>
      <c r="C2231" s="56">
        <v>45996</v>
      </c>
      <c r="F2231" s="311" t="s">
        <v>1921</v>
      </c>
      <c r="G2231" t="s">
        <v>1892</v>
      </c>
    </row>
    <row r="2232" spans="1:7">
      <c r="A2232" s="756" t="s">
        <v>409</v>
      </c>
      <c r="B2232" s="756" t="s">
        <v>1732</v>
      </c>
      <c r="C2232" s="56">
        <v>45996</v>
      </c>
      <c r="D2232" s="155">
        <v>2020</v>
      </c>
      <c r="G2232" t="s">
        <v>1892</v>
      </c>
    </row>
    <row r="2233" spans="1:7">
      <c r="A2233" s="317" t="s">
        <v>1140</v>
      </c>
      <c r="B2233" s="1130" t="s">
        <v>126</v>
      </c>
      <c r="C2233" s="56">
        <v>45996</v>
      </c>
      <c r="E2233" s="139">
        <v>636</v>
      </c>
      <c r="F2233" s="950"/>
      <c r="G2233" t="s">
        <v>1892</v>
      </c>
    </row>
    <row r="2234" spans="1:7">
      <c r="A2234" s="311" t="s">
        <v>472</v>
      </c>
      <c r="B2234" s="759" t="s">
        <v>126</v>
      </c>
      <c r="C2234" s="56">
        <v>45996</v>
      </c>
      <c r="F2234" s="759" t="s">
        <v>1922</v>
      </c>
      <c r="G2234" t="s">
        <v>1892</v>
      </c>
    </row>
    <row r="2235" spans="1:7">
      <c r="A2235" s="148" t="s">
        <v>1138</v>
      </c>
      <c r="B2235" s="148" t="s">
        <v>1759</v>
      </c>
      <c r="C2235" s="56">
        <v>45999</v>
      </c>
      <c r="F2235" s="43" t="s">
        <v>1350</v>
      </c>
      <c r="G2235" t="s">
        <v>1892</v>
      </c>
    </row>
    <row r="2236" spans="1:7">
      <c r="A2236" s="148" t="s">
        <v>518</v>
      </c>
      <c r="B2236" s="148" t="s">
        <v>1759</v>
      </c>
      <c r="C2236" s="56">
        <v>45999</v>
      </c>
      <c r="F2236" s="759" t="s">
        <v>1350</v>
      </c>
      <c r="G2236" t="s">
        <v>1892</v>
      </c>
    </row>
    <row r="2237" spans="1:7">
      <c r="A2237" s="148" t="s">
        <v>518</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1" t="s">
        <v>435</v>
      </c>
      <c r="C2239" s="56">
        <v>45999</v>
      </c>
      <c r="D2239" s="43">
        <v>640</v>
      </c>
      <c r="F2239" s="43" t="s">
        <v>1924</v>
      </c>
      <c r="G2239" t="s">
        <v>1892</v>
      </c>
    </row>
    <row r="2240" spans="1:7">
      <c r="A2240" s="1140" t="s">
        <v>597</v>
      </c>
      <c r="B2240" s="1141" t="s">
        <v>1512</v>
      </c>
      <c r="C2240" s="56">
        <v>45999</v>
      </c>
      <c r="F2240" s="311" t="s">
        <v>1925</v>
      </c>
      <c r="G2240" t="s">
        <v>1892</v>
      </c>
    </row>
    <row r="2241" spans="1:7">
      <c r="A2241" s="1094" t="s">
        <v>569</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575</v>
      </c>
      <c r="B2243" s="1141" t="s">
        <v>126</v>
      </c>
      <c r="C2243" s="56">
        <v>45999</v>
      </c>
      <c r="D2243" s="139"/>
      <c r="E2243" s="43"/>
      <c r="F2243" s="141" t="s">
        <v>1373</v>
      </c>
      <c r="G2243" t="s">
        <v>1892</v>
      </c>
    </row>
    <row r="2244" spans="1:7">
      <c r="A2244" s="247" t="s">
        <v>1136</v>
      </c>
      <c r="B2244" s="1141" t="s">
        <v>1512</v>
      </c>
      <c r="C2244" s="56">
        <v>45999</v>
      </c>
      <c r="D2244" s="139"/>
      <c r="E2244" s="43"/>
      <c r="F2244" s="311" t="s">
        <v>1928</v>
      </c>
      <c r="G2244" t="s">
        <v>1892</v>
      </c>
    </row>
    <row r="2245" spans="1:7">
      <c r="A2245" s="43" t="s">
        <v>409</v>
      </c>
      <c r="B2245" s="43" t="s">
        <v>1732</v>
      </c>
      <c r="C2245" s="56">
        <v>45999</v>
      </c>
      <c r="D2245" s="139">
        <v>428</v>
      </c>
      <c r="E2245" s="43"/>
      <c r="F2245" s="43" t="s">
        <v>1929</v>
      </c>
      <c r="G2245" t="s">
        <v>1892</v>
      </c>
    </row>
    <row r="2246" spans="1:7">
      <c r="A2246" s="404" t="s">
        <v>492</v>
      </c>
      <c r="B2246" s="173" t="s">
        <v>126</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518</v>
      </c>
      <c r="B2248" s="148" t="s">
        <v>1759</v>
      </c>
      <c r="C2248" s="56">
        <v>46000</v>
      </c>
      <c r="F2248" s="311" t="s">
        <v>1350</v>
      </c>
      <c r="G2248" t="s">
        <v>1892</v>
      </c>
    </row>
    <row r="2249" spans="1:7">
      <c r="A2249" s="148" t="s">
        <v>518</v>
      </c>
      <c r="B2249" s="148" t="s">
        <v>1598</v>
      </c>
      <c r="C2249" s="56">
        <v>46000</v>
      </c>
      <c r="D2249" s="43">
        <v>442</v>
      </c>
      <c r="F2249" s="43" t="s">
        <v>1931</v>
      </c>
      <c r="G2249" t="s">
        <v>1892</v>
      </c>
    </row>
    <row r="2250" spans="1:7">
      <c r="A2250" s="148" t="s">
        <v>518</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575</v>
      </c>
      <c r="B2254" s="43" t="s">
        <v>1512</v>
      </c>
      <c r="C2254" s="310">
        <v>46000</v>
      </c>
      <c r="E2254" s="139">
        <v>540</v>
      </c>
      <c r="G2254" t="s">
        <v>1892</v>
      </c>
    </row>
    <row r="2255" spans="1:7">
      <c r="A2255" s="805" t="s">
        <v>566</v>
      </c>
      <c r="B2255" s="247" t="s">
        <v>138</v>
      </c>
      <c r="C2255" s="310">
        <v>46000</v>
      </c>
      <c r="D2255" s="155">
        <v>1500</v>
      </c>
      <c r="F2255" s="43" t="s">
        <v>1934</v>
      </c>
      <c r="G2255" t="s">
        <v>1892</v>
      </c>
    </row>
    <row r="2256" spans="1:7">
      <c r="A2256" s="1140" t="s">
        <v>1141</v>
      </c>
      <c r="B2256" s="43" t="s">
        <v>1512</v>
      </c>
      <c r="C2256" s="310">
        <v>46000</v>
      </c>
      <c r="E2256" s="321">
        <v>3493</v>
      </c>
      <c r="G2256" t="s">
        <v>1892</v>
      </c>
    </row>
    <row r="2257" spans="1:7">
      <c r="A2257" s="169" t="s">
        <v>397</v>
      </c>
      <c r="B2257" s="169" t="s">
        <v>1732</v>
      </c>
      <c r="C2257" s="56">
        <v>46000</v>
      </c>
      <c r="D2257" s="155">
        <v>1640</v>
      </c>
      <c r="F2257" s="43" t="s">
        <v>1935</v>
      </c>
      <c r="G2257" t="s">
        <v>1892</v>
      </c>
    </row>
    <row r="2258" spans="1:7">
      <c r="A2258" s="404" t="s">
        <v>486</v>
      </c>
      <c r="B2258" s="173" t="s">
        <v>126</v>
      </c>
      <c r="C2258" s="56">
        <v>46000</v>
      </c>
      <c r="D2258" s="155">
        <v>1980</v>
      </c>
      <c r="F2258" s="43" t="s">
        <v>1936</v>
      </c>
      <c r="G2258" t="s">
        <v>1892</v>
      </c>
    </row>
    <row r="2259" spans="1:7">
      <c r="A2259" s="404" t="s">
        <v>492</v>
      </c>
      <c r="B2259" s="173" t="s">
        <v>126</v>
      </c>
      <c r="C2259" s="56">
        <v>46000</v>
      </c>
      <c r="D2259" s="155">
        <v>3343</v>
      </c>
      <c r="G2259" t="s">
        <v>1892</v>
      </c>
    </row>
    <row r="2260" spans="1:7">
      <c r="A2260" s="161" t="s">
        <v>440</v>
      </c>
      <c r="B2260" s="139" t="s">
        <v>126</v>
      </c>
      <c r="C2260" s="56">
        <v>46000</v>
      </c>
      <c r="D2260" s="155">
        <v>2203</v>
      </c>
      <c r="F2260" s="43" t="s">
        <v>1154</v>
      </c>
      <c r="G2260" t="s">
        <v>1892</v>
      </c>
    </row>
    <row r="2261" spans="1:7">
      <c r="A2261" s="955" t="s">
        <v>316</v>
      </c>
      <c r="B2261" s="139" t="s">
        <v>126</v>
      </c>
      <c r="C2261" s="56">
        <v>46000</v>
      </c>
      <c r="D2261" s="155">
        <v>1111</v>
      </c>
      <c r="G2261" t="s">
        <v>1892</v>
      </c>
    </row>
    <row r="2262" spans="1:7">
      <c r="A2262" s="404" t="s">
        <v>495</v>
      </c>
      <c r="B2262" s="173" t="s">
        <v>126</v>
      </c>
      <c r="C2262" s="56">
        <v>46000</v>
      </c>
      <c r="D2262" s="155">
        <v>1743</v>
      </c>
      <c r="G2262" t="s">
        <v>1892</v>
      </c>
    </row>
    <row r="2263" spans="1:7">
      <c r="A2263" s="950" t="s">
        <v>1138</v>
      </c>
      <c r="B2263" s="950" t="s">
        <v>1759</v>
      </c>
      <c r="C2263" s="56">
        <v>46001</v>
      </c>
      <c r="D2263" s="43">
        <v>542</v>
      </c>
      <c r="F2263" s="43" t="s">
        <v>1937</v>
      </c>
      <c r="G2263" t="s">
        <v>1892</v>
      </c>
    </row>
    <row r="2264" spans="1:7">
      <c r="A2264" s="950" t="s">
        <v>518</v>
      </c>
      <c r="B2264" s="950" t="s">
        <v>1759</v>
      </c>
      <c r="C2264" s="56">
        <v>46001</v>
      </c>
      <c r="F2264" s="782" t="s">
        <v>1350</v>
      </c>
      <c r="G2264" t="s">
        <v>1892</v>
      </c>
    </row>
    <row r="2265" spans="1:7">
      <c r="A2265" s="759" t="s">
        <v>518</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566</v>
      </c>
      <c r="B2269" s="759" t="s">
        <v>138</v>
      </c>
      <c r="C2269" s="56">
        <v>46001</v>
      </c>
      <c r="D2269" s="155">
        <v>1084</v>
      </c>
      <c r="F2269" s="43" t="s">
        <v>1940</v>
      </c>
      <c r="G2269" t="s">
        <v>1892</v>
      </c>
    </row>
    <row r="2270" spans="1:7">
      <c r="A2270" s="930" t="s">
        <v>597</v>
      </c>
      <c r="B2270" s="947" t="s">
        <v>1512</v>
      </c>
      <c r="C2270" s="56">
        <v>46001</v>
      </c>
      <c r="E2270" s="321">
        <v>1685</v>
      </c>
      <c r="G2270" t="s">
        <v>1892</v>
      </c>
    </row>
    <row r="2271" spans="1:7">
      <c r="A2271" s="756" t="s">
        <v>397</v>
      </c>
      <c r="B2271" s="756" t="s">
        <v>1732</v>
      </c>
      <c r="C2271" s="56">
        <v>46001</v>
      </c>
      <c r="D2271" s="155">
        <v>1177</v>
      </c>
      <c r="F2271" s="43" t="s">
        <v>1941</v>
      </c>
      <c r="G2271" t="s">
        <v>1892</v>
      </c>
    </row>
    <row r="2272" spans="1:7">
      <c r="A2272" s="756" t="s">
        <v>400</v>
      </c>
      <c r="B2272" s="756" t="s">
        <v>1732</v>
      </c>
      <c r="C2272" s="56">
        <v>46001</v>
      </c>
      <c r="D2272" s="43">
        <v>817</v>
      </c>
      <c r="F2272" s="43" t="s">
        <v>1942</v>
      </c>
      <c r="G2272" t="s">
        <v>1892</v>
      </c>
    </row>
    <row r="2273" spans="1:7">
      <c r="A2273" s="756" t="s">
        <v>486</v>
      </c>
      <c r="B2273" s="756" t="s">
        <v>126</v>
      </c>
      <c r="C2273" s="56">
        <v>46001</v>
      </c>
      <c r="D2273" s="155">
        <v>1251</v>
      </c>
      <c r="G2273" t="s">
        <v>1892</v>
      </c>
    </row>
    <row r="2274" spans="1:7">
      <c r="A2274" s="1144" t="s">
        <v>492</v>
      </c>
      <c r="B2274" s="1128" t="s">
        <v>126</v>
      </c>
      <c r="C2274" s="56">
        <v>46001</v>
      </c>
      <c r="D2274" s="43">
        <v>931</v>
      </c>
      <c r="G2274" t="s">
        <v>1892</v>
      </c>
    </row>
    <row r="2275" spans="1:7">
      <c r="A2275" s="756" t="s">
        <v>495</v>
      </c>
      <c r="B2275" s="1003" t="s">
        <v>126</v>
      </c>
      <c r="C2275" s="56">
        <v>46001</v>
      </c>
      <c r="D2275" s="43">
        <v>522</v>
      </c>
      <c r="G2275" t="s">
        <v>1892</v>
      </c>
    </row>
    <row r="2276" spans="1:7">
      <c r="A2276" s="756" t="s">
        <v>499</v>
      </c>
      <c r="B2276" s="731" t="s">
        <v>126</v>
      </c>
      <c r="C2276" s="56">
        <v>46001</v>
      </c>
      <c r="D2276" s="43">
        <v>91</v>
      </c>
      <c r="G2276" t="s">
        <v>1892</v>
      </c>
    </row>
    <row r="2277" spans="1:7">
      <c r="A2277" s="756" t="s">
        <v>440</v>
      </c>
      <c r="B2277" s="1063" t="s">
        <v>126</v>
      </c>
      <c r="C2277" s="56">
        <v>46001</v>
      </c>
      <c r="E2277" s="321">
        <v>3674</v>
      </c>
      <c r="F2277" s="43" t="s">
        <v>1943</v>
      </c>
      <c r="G2277" t="s">
        <v>1892</v>
      </c>
    </row>
    <row r="2278" spans="1:7">
      <c r="A2278" s="756" t="s">
        <v>316</v>
      </c>
      <c r="B2278" s="731" t="s">
        <v>126</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518</v>
      </c>
      <c r="B2281" s="148" t="s">
        <v>1759</v>
      </c>
      <c r="C2281" s="56">
        <v>46002</v>
      </c>
      <c r="F2281" s="782" t="s">
        <v>1350</v>
      </c>
      <c r="G2281" t="s">
        <v>1892</v>
      </c>
    </row>
    <row r="2282" spans="1:7">
      <c r="A2282" s="148" t="s">
        <v>518</v>
      </c>
      <c r="B2282" s="148" t="s">
        <v>1598</v>
      </c>
      <c r="C2282" s="56">
        <v>46002</v>
      </c>
      <c r="F2282" s="311" t="s">
        <v>1946</v>
      </c>
      <c r="G2282" t="s">
        <v>1892</v>
      </c>
    </row>
    <row r="2283" spans="1:7">
      <c r="A2283" s="148" t="s">
        <v>518</v>
      </c>
      <c r="B2283" s="173" t="s">
        <v>1784</v>
      </c>
      <c r="C2283" s="56">
        <v>46002</v>
      </c>
      <c r="F2283" s="311" t="s">
        <v>1947</v>
      </c>
      <c r="G2283" t="s">
        <v>1892</v>
      </c>
    </row>
    <row r="2284" spans="1:7">
      <c r="A2284" s="247" t="s">
        <v>1139</v>
      </c>
      <c r="B2284" s="1141" t="s">
        <v>435</v>
      </c>
      <c r="C2284" s="56">
        <v>46002</v>
      </c>
      <c r="D2284" s="43">
        <v>520</v>
      </c>
      <c r="G2284" t="s">
        <v>1892</v>
      </c>
    </row>
    <row r="2285" spans="1:7">
      <c r="A2285" s="1145" t="s">
        <v>560</v>
      </c>
      <c r="B2285" s="1141" t="s">
        <v>138</v>
      </c>
      <c r="C2285" s="56">
        <v>46002</v>
      </c>
      <c r="D2285" s="155">
        <v>1351</v>
      </c>
      <c r="F2285" s="43" t="s">
        <v>1948</v>
      </c>
      <c r="G2285" t="s">
        <v>1892</v>
      </c>
    </row>
    <row r="2286" spans="1:7">
      <c r="A2286" s="43" t="s">
        <v>400</v>
      </c>
      <c r="B2286" s="43" t="s">
        <v>1732</v>
      </c>
      <c r="C2286" s="56">
        <v>46002</v>
      </c>
      <c r="D2286" s="155">
        <v>1820</v>
      </c>
      <c r="F2286" s="759" t="s">
        <v>1949</v>
      </c>
      <c r="G2286" t="s">
        <v>1892</v>
      </c>
    </row>
    <row r="2287" spans="1:7">
      <c r="A2287" s="1146" t="s">
        <v>486</v>
      </c>
      <c r="B2287" s="69" t="s">
        <v>126</v>
      </c>
      <c r="C2287" s="56">
        <v>46002</v>
      </c>
      <c r="D2287" s="155">
        <v>3172</v>
      </c>
      <c r="G2287" t="s">
        <v>1892</v>
      </c>
    </row>
    <row r="2288" spans="1:7">
      <c r="A2288" s="1146" t="s">
        <v>474</v>
      </c>
      <c r="B2288" s="69" t="s">
        <v>126</v>
      </c>
      <c r="C2288" s="56">
        <v>46002</v>
      </c>
      <c r="D2288" s="43">
        <v>242</v>
      </c>
      <c r="F2288" s="43" t="s">
        <v>1950</v>
      </c>
      <c r="G2288" t="s">
        <v>1892</v>
      </c>
    </row>
    <row r="2289" spans="1:7">
      <c r="A2289" s="395" t="s">
        <v>495</v>
      </c>
      <c r="B2289" s="43" t="s">
        <v>126</v>
      </c>
      <c r="C2289" s="56">
        <v>46002</v>
      </c>
      <c r="D2289" s="155">
        <v>1194</v>
      </c>
      <c r="G2289" t="s">
        <v>1892</v>
      </c>
    </row>
    <row r="2290" spans="1:7">
      <c r="A2290" s="1147" t="s">
        <v>316</v>
      </c>
      <c r="B2290" s="115" t="s">
        <v>126</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3" t="s">
        <v>1951</v>
      </c>
      <c r="G2292" t="s">
        <v>1892</v>
      </c>
    </row>
    <row r="2293" spans="1:7">
      <c r="A2293" s="950" t="s">
        <v>518</v>
      </c>
      <c r="B2293" s="950" t="s">
        <v>1759</v>
      </c>
      <c r="C2293" s="56">
        <v>46003</v>
      </c>
      <c r="D2293" s="43">
        <v>706</v>
      </c>
      <c r="G2293" t="s">
        <v>1892</v>
      </c>
    </row>
    <row r="2294" spans="1:7">
      <c r="A2294" s="759" t="s">
        <v>518</v>
      </c>
      <c r="B2294" s="759" t="s">
        <v>1784</v>
      </c>
      <c r="C2294" s="56">
        <v>46003</v>
      </c>
      <c r="F2294" s="759" t="s">
        <v>1952</v>
      </c>
      <c r="G2294" t="s">
        <v>1892</v>
      </c>
    </row>
    <row r="2295" spans="1:7">
      <c r="A2295" s="950" t="s">
        <v>518</v>
      </c>
      <c r="B2295" s="950" t="s">
        <v>1598</v>
      </c>
      <c r="C2295" s="56">
        <v>46003</v>
      </c>
      <c r="F2295" s="759" t="s">
        <v>1953</v>
      </c>
      <c r="G2295" t="s">
        <v>1892</v>
      </c>
    </row>
    <row r="2296" spans="1:7">
      <c r="A2296" s="759" t="s">
        <v>1139</v>
      </c>
      <c r="B2296" s="759" t="s">
        <v>435</v>
      </c>
      <c r="C2296" s="56">
        <v>46003</v>
      </c>
      <c r="D2296" s="43">
        <v>550</v>
      </c>
      <c r="F2296" s="43" t="s">
        <v>1954</v>
      </c>
      <c r="G2296" t="s">
        <v>1892</v>
      </c>
    </row>
    <row r="2297" spans="1:7">
      <c r="A2297" s="759" t="s">
        <v>290</v>
      </c>
      <c r="B2297" s="759" t="s">
        <v>1512</v>
      </c>
      <c r="C2297" s="56">
        <v>46003</v>
      </c>
      <c r="D2297" s="155">
        <v>1832</v>
      </c>
      <c r="F2297" s="43" t="s">
        <v>1955</v>
      </c>
      <c r="G2297" t="s">
        <v>1892</v>
      </c>
    </row>
    <row r="2298" spans="1:7">
      <c r="A2298" s="1128" t="s">
        <v>474</v>
      </c>
      <c r="B2298" s="1128" t="s">
        <v>126</v>
      </c>
      <c r="C2298" s="56">
        <v>46003</v>
      </c>
      <c r="F2298" s="337" t="s">
        <v>1956</v>
      </c>
      <c r="G2298" t="s">
        <v>1892</v>
      </c>
    </row>
    <row r="2299" spans="1:7">
      <c r="A2299" s="1144" t="s">
        <v>495</v>
      </c>
      <c r="B2299" s="1144" t="s">
        <v>126</v>
      </c>
      <c r="C2299" s="56">
        <v>46003</v>
      </c>
      <c r="D2299" s="155">
        <v>2811</v>
      </c>
      <c r="G2299" t="s">
        <v>1892</v>
      </c>
    </row>
    <row r="2300" spans="1:7">
      <c r="A2300" s="756" t="s">
        <v>316</v>
      </c>
      <c r="B2300" s="759" t="s">
        <v>126</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2" t="s">
        <v>1959</v>
      </c>
      <c r="G2302" t="s">
        <v>1892</v>
      </c>
    </row>
    <row r="2303" spans="1:7">
      <c r="A2303" s="148" t="s">
        <v>518</v>
      </c>
      <c r="B2303" s="148" t="s">
        <v>1759</v>
      </c>
      <c r="C2303" s="56">
        <v>46006</v>
      </c>
      <c r="D2303" s="43">
        <v>735</v>
      </c>
      <c r="G2303" t="s">
        <v>1892</v>
      </c>
    </row>
    <row r="2304" spans="1:7">
      <c r="A2304" s="148" t="s">
        <v>518</v>
      </c>
      <c r="B2304" s="148" t="s">
        <v>1598</v>
      </c>
      <c r="C2304" s="56">
        <v>46006</v>
      </c>
      <c r="F2304" s="759" t="s">
        <v>1373</v>
      </c>
      <c r="G2304" t="s">
        <v>1892</v>
      </c>
    </row>
    <row r="2305" spans="1:7">
      <c r="A2305" s="247" t="s">
        <v>1139</v>
      </c>
      <c r="B2305" s="1141" t="s">
        <v>435</v>
      </c>
      <c r="C2305" s="56">
        <v>46006</v>
      </c>
      <c r="D2305" s="43">
        <v>752</v>
      </c>
      <c r="F2305" s="43" t="s">
        <v>1933</v>
      </c>
      <c r="G2305" t="s">
        <v>1892</v>
      </c>
    </row>
    <row r="2306" spans="1:7">
      <c r="A2306" s="1145" t="s">
        <v>560</v>
      </c>
      <c r="B2306" s="1142" t="s">
        <v>138</v>
      </c>
      <c r="C2306" s="56">
        <v>46006</v>
      </c>
      <c r="D2306" s="43">
        <v>689</v>
      </c>
      <c r="F2306" s="43" t="s">
        <v>1960</v>
      </c>
      <c r="G2306" t="s">
        <v>1892</v>
      </c>
    </row>
    <row r="2307" spans="1:7">
      <c r="A2307" s="1094" t="s">
        <v>550</v>
      </c>
      <c r="B2307" s="247" t="s">
        <v>126</v>
      </c>
      <c r="C2307" s="310">
        <v>46006</v>
      </c>
      <c r="D2307" s="155">
        <v>1095</v>
      </c>
      <c r="G2307" t="s">
        <v>1892</v>
      </c>
    </row>
    <row r="2308" spans="1:7">
      <c r="A2308" s="1340" t="s">
        <v>572</v>
      </c>
      <c r="B2308" s="43" t="s">
        <v>126</v>
      </c>
      <c r="C2308" s="310">
        <v>46006</v>
      </c>
      <c r="D2308" s="155">
        <v>1344</v>
      </c>
      <c r="F2308" s="43" t="s">
        <v>1961</v>
      </c>
      <c r="G2308" t="s">
        <v>1892</v>
      </c>
    </row>
    <row r="2309" spans="1:7">
      <c r="A2309" s="1340" t="s">
        <v>597</v>
      </c>
      <c r="B2309" s="43" t="s">
        <v>126</v>
      </c>
      <c r="C2309" s="310">
        <v>46006</v>
      </c>
      <c r="F2309" s="759" t="s">
        <v>1373</v>
      </c>
      <c r="G2309" t="s">
        <v>1892</v>
      </c>
    </row>
    <row r="2310" spans="1:7">
      <c r="A2310" s="148" t="s">
        <v>411</v>
      </c>
      <c r="B2310" s="43" t="s">
        <v>1732</v>
      </c>
      <c r="C2310" s="56">
        <v>46006</v>
      </c>
      <c r="D2310" s="155">
        <v>1511</v>
      </c>
      <c r="F2310" s="43" t="s">
        <v>1962</v>
      </c>
      <c r="G2310" t="s">
        <v>1892</v>
      </c>
    </row>
    <row r="2311" spans="1:7">
      <c r="A2311" s="1146" t="s">
        <v>486</v>
      </c>
      <c r="B2311" s="69" t="s">
        <v>126</v>
      </c>
      <c r="C2311" s="56">
        <v>46006</v>
      </c>
      <c r="D2311" s="43">
        <v>29</v>
      </c>
      <c r="E2311" s="201"/>
      <c r="F2311" s="115"/>
      <c r="G2311" t="s">
        <v>1892</v>
      </c>
    </row>
    <row r="2312" spans="1:7">
      <c r="A2312" s="1146" t="s">
        <v>449</v>
      </c>
      <c r="B2312" s="69" t="s">
        <v>126</v>
      </c>
      <c r="C2312" s="56">
        <v>46006</v>
      </c>
      <c r="D2312" s="139"/>
      <c r="E2312" s="43"/>
      <c r="F2312" s="756" t="s">
        <v>1373</v>
      </c>
      <c r="G2312" t="s">
        <v>1892</v>
      </c>
    </row>
    <row r="2313" spans="1:7">
      <c r="A2313" s="1146" t="s">
        <v>480</v>
      </c>
      <c r="B2313" s="69" t="s">
        <v>126</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518</v>
      </c>
      <c r="B2316" s="148" t="s">
        <v>1759</v>
      </c>
      <c r="C2316" s="56">
        <v>46007</v>
      </c>
      <c r="F2316" s="759" t="s">
        <v>1965</v>
      </c>
      <c r="G2316" t="s">
        <v>1892</v>
      </c>
    </row>
    <row r="2317" spans="1:7">
      <c r="A2317" s="247" t="s">
        <v>1139</v>
      </c>
      <c r="B2317" s="1141" t="s">
        <v>435</v>
      </c>
      <c r="C2317" s="56">
        <v>46007</v>
      </c>
      <c r="D2317" s="155">
        <v>1249</v>
      </c>
      <c r="F2317" s="43" t="s">
        <v>1966</v>
      </c>
      <c r="G2317" t="s">
        <v>1892</v>
      </c>
    </row>
    <row r="2318" spans="1:7">
      <c r="A2318" s="1140" t="s">
        <v>560</v>
      </c>
      <c r="B2318" s="1141" t="s">
        <v>138</v>
      </c>
      <c r="C2318" s="56">
        <v>46007</v>
      </c>
      <c r="D2318" s="43">
        <v>586</v>
      </c>
      <c r="F2318" s="43" t="s">
        <v>1967</v>
      </c>
      <c r="G2318" t="s">
        <v>1892</v>
      </c>
    </row>
    <row r="2319" spans="1:7">
      <c r="A2319" s="1094" t="s">
        <v>550</v>
      </c>
      <c r="B2319" s="1141" t="s">
        <v>126</v>
      </c>
      <c r="C2319" s="56">
        <v>46007</v>
      </c>
      <c r="D2319" s="155">
        <v>1676</v>
      </c>
      <c r="F2319" s="43" t="s">
        <v>1968</v>
      </c>
      <c r="G2319" t="s">
        <v>1892</v>
      </c>
    </row>
    <row r="2320" spans="1:7">
      <c r="A2320" s="1140" t="s">
        <v>572</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290</v>
      </c>
      <c r="B2322" s="115" t="s">
        <v>1512</v>
      </c>
      <c r="C2322" s="56">
        <v>46007</v>
      </c>
      <c r="D2322" s="155">
        <v>1164</v>
      </c>
      <c r="G2322" t="s">
        <v>1892</v>
      </c>
    </row>
    <row r="2323" spans="1:7">
      <c r="A2323" s="148" t="s">
        <v>411</v>
      </c>
      <c r="B2323" s="43" t="s">
        <v>1732</v>
      </c>
      <c r="C2323" s="56">
        <v>46007</v>
      </c>
      <c r="D2323" s="155">
        <v>1887</v>
      </c>
      <c r="F2323" s="43" t="s">
        <v>1971</v>
      </c>
      <c r="G2323" t="s">
        <v>1892</v>
      </c>
    </row>
    <row r="2324" spans="1:7">
      <c r="A2324" s="1082" t="s">
        <v>486</v>
      </c>
      <c r="B2324" s="69" t="s">
        <v>126</v>
      </c>
      <c r="C2324" s="56">
        <v>46007</v>
      </c>
      <c r="F2324" s="337" t="s">
        <v>1972</v>
      </c>
      <c r="G2324" t="s">
        <v>1892</v>
      </c>
    </row>
    <row r="2325" spans="1:7">
      <c r="A2325" s="69" t="s">
        <v>489</v>
      </c>
      <c r="B2325" s="69" t="s">
        <v>126</v>
      </c>
      <c r="C2325" s="56">
        <v>46007</v>
      </c>
      <c r="D2325" s="155">
        <v>1617</v>
      </c>
      <c r="G2325" t="s">
        <v>1892</v>
      </c>
    </row>
    <row r="2326" spans="1:7">
      <c r="A2326" s="148" t="s">
        <v>1138</v>
      </c>
      <c r="B2326" s="148" t="s">
        <v>1759</v>
      </c>
      <c r="C2326" s="56">
        <v>46008</v>
      </c>
      <c r="D2326" s="43">
        <v>743</v>
      </c>
      <c r="G2326" t="s">
        <v>1892</v>
      </c>
    </row>
    <row r="2327" spans="1:7">
      <c r="A2327" s="148" t="s">
        <v>518</v>
      </c>
      <c r="B2327" s="148" t="s">
        <v>1759</v>
      </c>
      <c r="C2327" s="56">
        <v>46008</v>
      </c>
      <c r="F2327" s="1349" t="s">
        <v>1973</v>
      </c>
      <c r="G2327" t="s">
        <v>1892</v>
      </c>
    </row>
    <row r="2328" spans="1:7">
      <c r="A2328" s="148" t="s">
        <v>1138</v>
      </c>
      <c r="B2328" s="148" t="s">
        <v>1598</v>
      </c>
      <c r="C2328" s="56">
        <v>46008</v>
      </c>
      <c r="D2328" s="43">
        <v>467</v>
      </c>
      <c r="G2328" t="s">
        <v>1892</v>
      </c>
    </row>
    <row r="2329" spans="1:7">
      <c r="A2329" s="148" t="s">
        <v>518</v>
      </c>
      <c r="B2329" s="115" t="s">
        <v>1688</v>
      </c>
      <c r="C2329" s="56">
        <v>46008</v>
      </c>
      <c r="F2329" s="925" t="s">
        <v>1974</v>
      </c>
      <c r="G2329" t="s">
        <v>1892</v>
      </c>
    </row>
    <row r="2330" spans="1:7">
      <c r="A2330" s="148" t="s">
        <v>518</v>
      </c>
      <c r="B2330" s="148" t="s">
        <v>1598</v>
      </c>
      <c r="C2330" s="56">
        <v>46008</v>
      </c>
      <c r="F2330" s="1349" t="s">
        <v>1952</v>
      </c>
      <c r="G2330" t="s">
        <v>1892</v>
      </c>
    </row>
    <row r="2331" spans="1:7">
      <c r="A2331" s="247" t="s">
        <v>1139</v>
      </c>
      <c r="B2331" s="1141" t="s">
        <v>435</v>
      </c>
      <c r="C2331" s="56">
        <v>46008</v>
      </c>
      <c r="D2331" s="43">
        <v>235</v>
      </c>
      <c r="F2331" s="43" t="s">
        <v>1966</v>
      </c>
      <c r="G2331" t="s">
        <v>1892</v>
      </c>
    </row>
    <row r="2332" spans="1:7">
      <c r="A2332" s="1140" t="s">
        <v>560</v>
      </c>
      <c r="B2332" s="1141" t="s">
        <v>138</v>
      </c>
      <c r="C2332" s="56">
        <v>46008</v>
      </c>
      <c r="D2332" s="43">
        <v>199</v>
      </c>
      <c r="F2332" s="43" t="s">
        <v>1975</v>
      </c>
      <c r="G2332" t="s">
        <v>1892</v>
      </c>
    </row>
    <row r="2333" spans="1:7">
      <c r="A2333" s="1094" t="s">
        <v>550</v>
      </c>
      <c r="B2333" s="1141" t="s">
        <v>126</v>
      </c>
      <c r="C2333" s="56">
        <v>46008</v>
      </c>
      <c r="D2333" s="155">
        <v>1139</v>
      </c>
      <c r="F2333" s="43" t="s">
        <v>1976</v>
      </c>
      <c r="G2333" t="s">
        <v>1892</v>
      </c>
    </row>
    <row r="2334" spans="1:7">
      <c r="A2334" s="1140" t="s">
        <v>572</v>
      </c>
      <c r="B2334" t="s">
        <v>126</v>
      </c>
      <c r="C2334" s="56">
        <v>46008</v>
      </c>
      <c r="D2334" s="155">
        <v>1027</v>
      </c>
      <c r="F2334" s="43" t="s">
        <v>1977</v>
      </c>
      <c r="G2334" t="s">
        <v>1892</v>
      </c>
    </row>
    <row r="2335" spans="1:7">
      <c r="A2335" s="1348" t="s">
        <v>569</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290</v>
      </c>
      <c r="B2337" s="115" t="s">
        <v>1512</v>
      </c>
      <c r="C2337" s="56">
        <v>46008</v>
      </c>
      <c r="D2337" s="43">
        <v>308</v>
      </c>
      <c r="F2337" s="43" t="s">
        <v>1980</v>
      </c>
      <c r="G2337" t="s">
        <v>1892</v>
      </c>
    </row>
    <row r="2338" spans="1:7">
      <c r="A2338" s="148" t="s">
        <v>411</v>
      </c>
      <c r="B2338" s="43" t="s">
        <v>1732</v>
      </c>
      <c r="C2338" s="56">
        <v>46008</v>
      </c>
      <c r="D2338" s="43">
        <v>916</v>
      </c>
      <c r="F2338" s="43" t="s">
        <v>1981</v>
      </c>
      <c r="G2338" t="s">
        <v>1892</v>
      </c>
    </row>
    <row r="2339" spans="1:7">
      <c r="A2339" s="1082" t="s">
        <v>499</v>
      </c>
      <c r="B2339" s="69" t="s">
        <v>126</v>
      </c>
      <c r="C2339" s="56">
        <v>46008</v>
      </c>
      <c r="D2339" s="43">
        <v>320</v>
      </c>
      <c r="G2339" t="s">
        <v>1892</v>
      </c>
    </row>
    <row r="2340" spans="1:7">
      <c r="A2340" s="148" t="s">
        <v>489</v>
      </c>
      <c r="B2340" s="148" t="s">
        <v>126</v>
      </c>
      <c r="C2340" s="56">
        <v>46008</v>
      </c>
      <c r="D2340" s="155">
        <v>1083</v>
      </c>
      <c r="G2340" t="s">
        <v>1892</v>
      </c>
    </row>
    <row r="2341" spans="1:7">
      <c r="A2341" s="148" t="s">
        <v>474</v>
      </c>
      <c r="B2341" s="148" t="s">
        <v>126</v>
      </c>
      <c r="C2341" s="56">
        <v>46008</v>
      </c>
      <c r="F2341" s="311" t="s">
        <v>1162</v>
      </c>
      <c r="G2341" t="s">
        <v>1892</v>
      </c>
    </row>
    <row r="2342" spans="1:7">
      <c r="A2342" s="1146" t="s">
        <v>313</v>
      </c>
      <c r="B2342" s="69" t="s">
        <v>126</v>
      </c>
      <c r="C2342" s="56">
        <v>46008</v>
      </c>
      <c r="D2342" s="43">
        <v>372</v>
      </c>
      <c r="G2342" t="s">
        <v>1892</v>
      </c>
    </row>
    <row r="2343" spans="1:7">
      <c r="A2343" s="1146" t="s">
        <v>325</v>
      </c>
      <c r="B2343" s="69" t="s">
        <v>126</v>
      </c>
      <c r="C2343" s="56">
        <v>46008</v>
      </c>
      <c r="D2343" s="43">
        <v>95</v>
      </c>
      <c r="G2343" t="s">
        <v>1892</v>
      </c>
    </row>
    <row r="2344" spans="1:7">
      <c r="A2344" s="1146" t="s">
        <v>495</v>
      </c>
      <c r="B2344" s="69" t="s">
        <v>126</v>
      </c>
      <c r="C2344" s="56">
        <v>46008</v>
      </c>
      <c r="D2344" s="155">
        <v>1049</v>
      </c>
      <c r="G2344" t="s">
        <v>1892</v>
      </c>
    </row>
    <row r="2345" spans="1:7">
      <c r="A2345" s="148" t="s">
        <v>472</v>
      </c>
      <c r="B2345" s="148" t="s">
        <v>126</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49" t="s">
        <v>1952</v>
      </c>
      <c r="G2347" t="s">
        <v>1892</v>
      </c>
    </row>
    <row r="2348" spans="1:7">
      <c r="A2348" s="317" t="s">
        <v>1138</v>
      </c>
      <c r="B2348" s="306" t="s">
        <v>1512</v>
      </c>
      <c r="C2348" s="56">
        <v>46009</v>
      </c>
      <c r="D2348" s="139"/>
      <c r="E2348" s="155">
        <v>1506</v>
      </c>
      <c r="F2348" s="1351"/>
      <c r="G2348" t="s">
        <v>1892</v>
      </c>
    </row>
    <row r="2349" spans="1:7">
      <c r="A2349" s="317" t="s">
        <v>518</v>
      </c>
      <c r="B2349" s="306" t="s">
        <v>1688</v>
      </c>
      <c r="C2349" s="56">
        <v>46009</v>
      </c>
      <c r="D2349" s="139"/>
      <c r="E2349" s="43"/>
      <c r="F2349" s="154" t="s">
        <v>1880</v>
      </c>
      <c r="G2349" t="s">
        <v>1892</v>
      </c>
    </row>
    <row r="2350" spans="1:7">
      <c r="A2350" s="317" t="s">
        <v>518</v>
      </c>
      <c r="B2350" s="141" t="s">
        <v>1598</v>
      </c>
      <c r="C2350" s="56">
        <v>46009</v>
      </c>
      <c r="D2350" s="139"/>
      <c r="E2350" s="43"/>
      <c r="F2350" s="154" t="s">
        <v>1880</v>
      </c>
      <c r="G2350" t="s">
        <v>1892</v>
      </c>
    </row>
    <row r="2351" spans="1:7">
      <c r="A2351" s="317" t="s">
        <v>518</v>
      </c>
      <c r="B2351" s="305" t="s">
        <v>1759</v>
      </c>
      <c r="C2351" s="56">
        <v>46009</v>
      </c>
      <c r="D2351" s="139"/>
      <c r="E2351" s="43"/>
      <c r="F2351" s="154" t="s">
        <v>1880</v>
      </c>
      <c r="G2351" t="s">
        <v>1892</v>
      </c>
    </row>
    <row r="2352" spans="1:7">
      <c r="A2352" s="318" t="s">
        <v>1139</v>
      </c>
      <c r="B2352" s="387" t="s">
        <v>435</v>
      </c>
      <c r="C2352" s="56">
        <v>46009</v>
      </c>
      <c r="D2352" s="43">
        <v>563</v>
      </c>
      <c r="E2352" s="253"/>
      <c r="F2352" s="169" t="s">
        <v>1954</v>
      </c>
      <c r="G2352" t="s">
        <v>1892</v>
      </c>
    </row>
    <row r="2353" spans="1:7">
      <c r="A2353" s="1350" t="s">
        <v>560</v>
      </c>
      <c r="B2353" s="307" t="s">
        <v>138</v>
      </c>
      <c r="C2353" s="56">
        <v>46009</v>
      </c>
      <c r="F2353" s="304" t="s">
        <v>1804</v>
      </c>
      <c r="G2353" t="s">
        <v>1892</v>
      </c>
    </row>
    <row r="2354" spans="1:7">
      <c r="A2354" s="802" t="s">
        <v>572</v>
      </c>
      <c r="B2354" s="346" t="s">
        <v>126</v>
      </c>
      <c r="C2354" s="56">
        <v>46009</v>
      </c>
      <c r="D2354" s="155">
        <v>1596</v>
      </c>
      <c r="F2354" s="43" t="s">
        <v>1983</v>
      </c>
      <c r="G2354" t="s">
        <v>1892</v>
      </c>
    </row>
    <row r="2355" spans="1:7">
      <c r="A2355" s="349" t="s">
        <v>566</v>
      </c>
      <c r="B2355" s="387" t="s">
        <v>138</v>
      </c>
      <c r="C2355" s="56">
        <v>46009</v>
      </c>
      <c r="F2355" s="304" t="s">
        <v>1804</v>
      </c>
      <c r="G2355" t="s">
        <v>1892</v>
      </c>
    </row>
    <row r="2356" spans="1:7">
      <c r="A2356" s="349" t="s">
        <v>569</v>
      </c>
      <c r="B2356" s="307" t="s">
        <v>138</v>
      </c>
      <c r="C2356" s="56">
        <v>46009</v>
      </c>
      <c r="F2356" s="304" t="s">
        <v>1804</v>
      </c>
      <c r="G2356" t="s">
        <v>1892</v>
      </c>
    </row>
    <row r="2357" spans="1:7">
      <c r="A2357" s="348" t="s">
        <v>614</v>
      </c>
      <c r="B2357" s="346" t="s">
        <v>126</v>
      </c>
      <c r="C2357" s="56">
        <v>46009</v>
      </c>
      <c r="D2357" s="155">
        <v>1568</v>
      </c>
      <c r="G2357" t="s">
        <v>1892</v>
      </c>
    </row>
    <row r="2358" spans="1:7">
      <c r="A2358" s="141" t="s">
        <v>290</v>
      </c>
      <c r="B2358" s="141" t="s">
        <v>1512</v>
      </c>
      <c r="C2358" s="310">
        <v>46009</v>
      </c>
      <c r="D2358" s="43">
        <v>892</v>
      </c>
      <c r="F2358" s="43" t="s">
        <v>1984</v>
      </c>
      <c r="G2358" t="s">
        <v>1892</v>
      </c>
    </row>
    <row r="2359" spans="1:7">
      <c r="A2359" s="141" t="s">
        <v>411</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499</v>
      </c>
      <c r="B2361" s="141" t="s">
        <v>126</v>
      </c>
      <c r="C2361" s="310">
        <v>46009</v>
      </c>
      <c r="D2361" s="43">
        <v>652</v>
      </c>
      <c r="G2361" t="s">
        <v>1892</v>
      </c>
    </row>
    <row r="2362" spans="1:7">
      <c r="A2362" s="304" t="s">
        <v>502</v>
      </c>
      <c r="B2362" s="304" t="s">
        <v>126</v>
      </c>
      <c r="C2362" s="56">
        <v>46009</v>
      </c>
      <c r="D2362" s="43">
        <v>396</v>
      </c>
      <c r="G2362" t="s">
        <v>1892</v>
      </c>
    </row>
    <row r="2363" spans="1:7">
      <c r="A2363" s="305" t="s">
        <v>489</v>
      </c>
      <c r="B2363" s="305" t="s">
        <v>126</v>
      </c>
      <c r="C2363" s="56">
        <v>46009</v>
      </c>
      <c r="D2363" s="155">
        <v>1905</v>
      </c>
      <c r="G2363" t="s">
        <v>1892</v>
      </c>
    </row>
    <row r="2364" spans="1:7">
      <c r="A2364" s="306" t="s">
        <v>325</v>
      </c>
      <c r="B2364" s="306" t="s">
        <v>126</v>
      </c>
      <c r="C2364" s="56">
        <v>46009</v>
      </c>
      <c r="D2364" s="43">
        <v>881</v>
      </c>
      <c r="G2364" t="s">
        <v>1892</v>
      </c>
    </row>
    <row r="2365" spans="1:7">
      <c r="A2365" s="141" t="s">
        <v>319</v>
      </c>
      <c r="B2365" s="141" t="s">
        <v>126</v>
      </c>
      <c r="C2365" s="310">
        <v>46009</v>
      </c>
      <c r="D2365" s="155">
        <v>3028</v>
      </c>
      <c r="F2365" s="43" t="s">
        <v>1987</v>
      </c>
      <c r="G2365" t="s">
        <v>1892</v>
      </c>
    </row>
    <row r="2366" spans="1:7">
      <c r="A2366" s="247" t="s">
        <v>472</v>
      </c>
      <c r="B2366" s="141" t="s">
        <v>126</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518</v>
      </c>
      <c r="B2370" s="141" t="s">
        <v>1688</v>
      </c>
      <c r="C2370" s="310">
        <v>46010</v>
      </c>
      <c r="D2370" s="139"/>
      <c r="E2370" s="43"/>
      <c r="F2370" s="154" t="s">
        <v>1880</v>
      </c>
      <c r="G2370" t="s">
        <v>1892</v>
      </c>
    </row>
    <row r="2371" spans="1:7">
      <c r="A2371" s="348" t="s">
        <v>518</v>
      </c>
      <c r="B2371" s="304" t="s">
        <v>1598</v>
      </c>
      <c r="C2371" s="56">
        <v>46010</v>
      </c>
      <c r="D2371" s="139"/>
      <c r="E2371" s="43"/>
      <c r="F2371" s="154" t="s">
        <v>1880</v>
      </c>
      <c r="G2371" t="s">
        <v>1892</v>
      </c>
    </row>
    <row r="2372" spans="1:7">
      <c r="A2372" s="317" t="s">
        <v>518</v>
      </c>
      <c r="B2372" s="305" t="s">
        <v>1759</v>
      </c>
      <c r="C2372" s="56">
        <v>46010</v>
      </c>
      <c r="D2372" s="139"/>
      <c r="E2372" s="43"/>
      <c r="F2372" s="154" t="s">
        <v>1880</v>
      </c>
      <c r="G2372" t="s">
        <v>1892</v>
      </c>
    </row>
    <row r="2373" spans="1:7">
      <c r="A2373" s="317" t="s">
        <v>1139</v>
      </c>
      <c r="B2373" s="308" t="s">
        <v>435</v>
      </c>
      <c r="C2373" s="56">
        <v>46010</v>
      </c>
      <c r="D2373" s="43">
        <v>483</v>
      </c>
      <c r="E2373" s="253"/>
      <c r="F2373" s="169"/>
      <c r="G2373" t="s">
        <v>1892</v>
      </c>
    </row>
    <row r="2374" spans="1:7">
      <c r="A2374" s="805" t="s">
        <v>560</v>
      </c>
      <c r="B2374" s="141" t="s">
        <v>138</v>
      </c>
      <c r="C2374" s="310">
        <v>46010</v>
      </c>
      <c r="E2374" s="139">
        <v>765</v>
      </c>
      <c r="G2374" t="s">
        <v>1892</v>
      </c>
    </row>
    <row r="2375" spans="1:7">
      <c r="A2375" s="805" t="s">
        <v>550</v>
      </c>
      <c r="B2375" s="141" t="s">
        <v>126</v>
      </c>
      <c r="C2375" s="310">
        <v>46010</v>
      </c>
      <c r="E2375" s="139">
        <v>883</v>
      </c>
      <c r="F2375" s="311" t="s">
        <v>1991</v>
      </c>
      <c r="G2375" t="s">
        <v>1892</v>
      </c>
    </row>
    <row r="2376" spans="1:7">
      <c r="A2376" s="141" t="s">
        <v>566</v>
      </c>
      <c r="B2376" s="141" t="s">
        <v>138</v>
      </c>
      <c r="C2376" s="310">
        <v>46010</v>
      </c>
      <c r="E2376" s="139">
        <v>765</v>
      </c>
      <c r="G2376" t="s">
        <v>1892</v>
      </c>
    </row>
    <row r="2377" spans="1:7">
      <c r="A2377" s="141" t="s">
        <v>569</v>
      </c>
      <c r="B2377" s="141" t="s">
        <v>138</v>
      </c>
      <c r="C2377" s="310">
        <v>46010</v>
      </c>
      <c r="E2377" s="139">
        <v>560</v>
      </c>
      <c r="G2377" t="s">
        <v>1892</v>
      </c>
    </row>
    <row r="2378" spans="1:7">
      <c r="A2378" s="169" t="s">
        <v>290</v>
      </c>
      <c r="B2378" s="322" t="s">
        <v>1512</v>
      </c>
      <c r="C2378" s="56">
        <v>46010</v>
      </c>
      <c r="D2378" s="43">
        <v>366</v>
      </c>
      <c r="F2378" s="43" t="s">
        <v>1992</v>
      </c>
      <c r="G2378" t="s">
        <v>1892</v>
      </c>
    </row>
    <row r="2379" spans="1:7">
      <c r="A2379" s="148" t="s">
        <v>411</v>
      </c>
      <c r="B2379" s="43" t="s">
        <v>1732</v>
      </c>
      <c r="C2379" s="56">
        <v>46010</v>
      </c>
      <c r="D2379" s="43">
        <v>974</v>
      </c>
      <c r="F2379" s="43" t="s">
        <v>1993</v>
      </c>
      <c r="G2379" t="s">
        <v>1892</v>
      </c>
    </row>
    <row r="2380" spans="1:7">
      <c r="A2380" s="1352" t="s">
        <v>313</v>
      </c>
      <c r="B2380" s="1353" t="s">
        <v>126</v>
      </c>
      <c r="C2380" s="56">
        <v>46010</v>
      </c>
      <c r="D2380" s="43">
        <v>582</v>
      </c>
      <c r="G2380" t="s">
        <v>1892</v>
      </c>
    </row>
    <row r="2381" spans="1:7">
      <c r="A2381" s="1352" t="s">
        <v>489</v>
      </c>
      <c r="B2381" s="1353" t="s">
        <v>126</v>
      </c>
      <c r="C2381" s="56">
        <v>46010</v>
      </c>
      <c r="D2381" s="155">
        <v>2064</v>
      </c>
      <c r="G2381" t="s">
        <v>1892</v>
      </c>
    </row>
    <row r="2382" spans="1:7">
      <c r="A2382" s="1352" t="s">
        <v>319</v>
      </c>
      <c r="B2382" s="1353" t="s">
        <v>126</v>
      </c>
      <c r="C2382" s="56">
        <v>46010</v>
      </c>
      <c r="D2382" s="155">
        <v>1683</v>
      </c>
      <c r="G2382" t="s">
        <v>1892</v>
      </c>
    </row>
    <row r="2383" spans="1:7">
      <c r="A2383" s="1352" t="s">
        <v>316</v>
      </c>
      <c r="B2383" s="1353" t="s">
        <v>126</v>
      </c>
      <c r="C2383" s="56">
        <v>46010</v>
      </c>
      <c r="D2383" s="155">
        <v>1235</v>
      </c>
      <c r="G2383" t="s">
        <v>1892</v>
      </c>
    </row>
    <row r="2384" spans="1:7">
      <c r="A2384" s="1352" t="s">
        <v>486</v>
      </c>
      <c r="B2384" s="1353" t="s">
        <v>126</v>
      </c>
      <c r="C2384" s="56">
        <v>46010</v>
      </c>
      <c r="F2384" s="43" t="s">
        <v>1994</v>
      </c>
      <c r="G2384" t="s">
        <v>1892</v>
      </c>
    </row>
    <row r="2385" spans="1:7">
      <c r="A2385" s="1352" t="s">
        <v>499</v>
      </c>
      <c r="B2385" s="1353" t="s">
        <v>126</v>
      </c>
      <c r="C2385" s="56">
        <v>46010</v>
      </c>
      <c r="D2385" s="43">
        <v>780</v>
      </c>
      <c r="E2385" s="201"/>
      <c r="F2385" s="115"/>
      <c r="G2385" t="s">
        <v>1892</v>
      </c>
    </row>
    <row r="2386" spans="1:7">
      <c r="A2386" s="1352" t="s">
        <v>1142</v>
      </c>
      <c r="B2386" s="1353" t="s">
        <v>126</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435</v>
      </c>
      <c r="C2389" s="56">
        <v>46013</v>
      </c>
      <c r="E2389" s="253"/>
      <c r="F2389" s="311" t="s">
        <v>1996</v>
      </c>
      <c r="G2389" t="s">
        <v>1892</v>
      </c>
    </row>
    <row r="2390" spans="1:7">
      <c r="A2390" s="315" t="s">
        <v>614</v>
      </c>
      <c r="B2390" s="315" t="s">
        <v>126</v>
      </c>
      <c r="C2390" s="56">
        <v>46013</v>
      </c>
      <c r="D2390" s="43">
        <v>380</v>
      </c>
      <c r="G2390" t="s">
        <v>1892</v>
      </c>
    </row>
    <row r="2391" spans="1:7">
      <c r="A2391" s="315" t="s">
        <v>617</v>
      </c>
      <c r="B2391" s="315" t="s">
        <v>126</v>
      </c>
      <c r="C2391" s="56">
        <v>46013</v>
      </c>
      <c r="D2391" s="43">
        <v>523</v>
      </c>
      <c r="G2391" t="s">
        <v>1892</v>
      </c>
    </row>
    <row r="2392" spans="1:7">
      <c r="A2392" s="315" t="s">
        <v>572</v>
      </c>
      <c r="B2392" s="315" t="s">
        <v>126</v>
      </c>
      <c r="C2392" s="56">
        <v>46013</v>
      </c>
      <c r="D2392" s="43">
        <v>342</v>
      </c>
      <c r="F2392" s="311" t="s">
        <v>1997</v>
      </c>
      <c r="G2392" t="s">
        <v>1892</v>
      </c>
    </row>
    <row r="2393" spans="1:7">
      <c r="A2393" s="311" t="s">
        <v>290</v>
      </c>
      <c r="B2393" s="311" t="s">
        <v>1512</v>
      </c>
      <c r="C2393" s="56">
        <v>46013</v>
      </c>
      <c r="D2393" s="43">
        <v>154</v>
      </c>
      <c r="G2393" t="s">
        <v>1892</v>
      </c>
    </row>
    <row r="2394" spans="1:7">
      <c r="A2394" s="756" t="s">
        <v>313</v>
      </c>
      <c r="B2394" s="756" t="s">
        <v>126</v>
      </c>
      <c r="C2394" s="56">
        <v>46013</v>
      </c>
      <c r="D2394" s="43">
        <v>551</v>
      </c>
      <c r="G2394" t="s">
        <v>1892</v>
      </c>
    </row>
    <row r="2395" spans="1:7">
      <c r="A2395" s="1128" t="s">
        <v>489</v>
      </c>
      <c r="B2395" s="1128" t="s">
        <v>126</v>
      </c>
      <c r="C2395" s="56">
        <v>46013</v>
      </c>
      <c r="F2395" s="337" t="s">
        <v>1998</v>
      </c>
      <c r="G2395" t="s">
        <v>1892</v>
      </c>
    </row>
    <row r="2396" spans="1:7">
      <c r="A2396" s="1128" t="s">
        <v>319</v>
      </c>
      <c r="B2396" s="1128" t="s">
        <v>126</v>
      </c>
      <c r="C2396" s="56">
        <v>46013</v>
      </c>
      <c r="D2396" s="43">
        <v>362</v>
      </c>
      <c r="G2396" t="s">
        <v>1892</v>
      </c>
    </row>
    <row r="2397" spans="1:7">
      <c r="A2397" s="1144" t="s">
        <v>325</v>
      </c>
      <c r="B2397" s="1144" t="s">
        <v>126</v>
      </c>
      <c r="C2397" s="56">
        <v>46013</v>
      </c>
      <c r="D2397" s="155">
        <v>3523</v>
      </c>
      <c r="G2397" t="s">
        <v>1892</v>
      </c>
    </row>
    <row r="2398" spans="1:7">
      <c r="A2398" s="759" t="s">
        <v>499</v>
      </c>
      <c r="B2398" s="759" t="s">
        <v>126</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435</v>
      </c>
      <c r="C2400" s="56">
        <v>46014</v>
      </c>
      <c r="F2400" s="43" t="s">
        <v>1668</v>
      </c>
      <c r="G2400" t="s">
        <v>1892</v>
      </c>
    </row>
    <row r="2401" spans="1:7">
      <c r="A2401" s="805" t="s">
        <v>614</v>
      </c>
      <c r="B2401" s="1006" t="s">
        <v>126</v>
      </c>
      <c r="C2401" s="56">
        <v>46014</v>
      </c>
      <c r="F2401" s="337" t="s">
        <v>1538</v>
      </c>
      <c r="G2401" t="s">
        <v>1892</v>
      </c>
    </row>
    <row r="2402" spans="1:7">
      <c r="A2402" s="805" t="s">
        <v>617</v>
      </c>
      <c r="B2402" s="1006" t="s">
        <v>126</v>
      </c>
      <c r="C2402" s="56">
        <v>46014</v>
      </c>
      <c r="D2402" s="43">
        <v>405</v>
      </c>
      <c r="F2402" s="43" t="s">
        <v>1212</v>
      </c>
      <c r="G2402" t="s">
        <v>1892</v>
      </c>
    </row>
    <row r="2403" spans="1:7">
      <c r="A2403" s="805" t="s">
        <v>572</v>
      </c>
      <c r="B2403" s="161" t="s">
        <v>1073</v>
      </c>
      <c r="C2403" s="56">
        <v>46014</v>
      </c>
      <c r="E2403" s="139">
        <v>405</v>
      </c>
      <c r="G2403" t="s">
        <v>1892</v>
      </c>
    </row>
    <row r="2404" spans="1:7">
      <c r="A2404" s="247" t="s">
        <v>499</v>
      </c>
      <c r="B2404" s="1362" t="s">
        <v>126</v>
      </c>
      <c r="C2404" s="56">
        <v>46014</v>
      </c>
      <c r="E2404" s="321">
        <v>14727</v>
      </c>
      <c r="F2404" s="430" t="s">
        <v>1999</v>
      </c>
      <c r="G2404" t="s">
        <v>1892</v>
      </c>
    </row>
    <row r="2405" spans="1:7">
      <c r="A2405" s="247" t="s">
        <v>325</v>
      </c>
      <c r="B2405" s="1353" t="s">
        <v>126</v>
      </c>
      <c r="C2405" s="56">
        <v>46014</v>
      </c>
      <c r="D2405" s="155">
        <v>2384</v>
      </c>
      <c r="G2405" t="s">
        <v>1892</v>
      </c>
    </row>
    <row r="2406" spans="1:7">
      <c r="A2406" s="318" t="s">
        <v>614</v>
      </c>
      <c r="B2406" s="387" t="s">
        <v>1073</v>
      </c>
      <c r="C2406" s="56">
        <v>46015</v>
      </c>
      <c r="E2406" s="321">
        <v>2448</v>
      </c>
      <c r="F2406" s="43" t="s">
        <v>2000</v>
      </c>
      <c r="G2406" t="s">
        <v>1892</v>
      </c>
    </row>
    <row r="2407" spans="1:7">
      <c r="A2407" s="1350" t="s">
        <v>617</v>
      </c>
      <c r="B2407" s="307" t="s">
        <v>1073</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1108</v>
      </c>
      <c r="B2410" s="759" t="s">
        <v>1073</v>
      </c>
      <c r="C2410" s="56">
        <v>46020</v>
      </c>
      <c r="D2410" s="43">
        <v>108</v>
      </c>
      <c r="F2410" s="805" t="s">
        <v>1242</v>
      </c>
      <c r="G2410" t="s">
        <v>1892</v>
      </c>
    </row>
    <row r="2411" spans="1:7">
      <c r="A2411" s="655" t="s">
        <v>603</v>
      </c>
      <c r="B2411" s="1133" t="s">
        <v>126</v>
      </c>
      <c r="C2411" s="56">
        <v>46020</v>
      </c>
      <c r="D2411" s="155">
        <v>1188</v>
      </c>
      <c r="F2411" s="43" t="s">
        <v>2002</v>
      </c>
      <c r="G2411" t="s">
        <v>1892</v>
      </c>
    </row>
    <row r="2412" spans="1:7">
      <c r="A2412" s="1375" t="s">
        <v>606</v>
      </c>
      <c r="B2412" s="1143" t="s">
        <v>126</v>
      </c>
      <c r="C2412" s="56">
        <v>46020</v>
      </c>
      <c r="D2412" s="43">
        <v>900</v>
      </c>
      <c r="F2412" s="43" t="s">
        <v>2003</v>
      </c>
      <c r="G2412" t="s">
        <v>1892</v>
      </c>
    </row>
    <row r="2413" spans="1:7">
      <c r="A2413" s="744" t="s">
        <v>614</v>
      </c>
      <c r="B2413" s="759" t="s">
        <v>1073</v>
      </c>
      <c r="C2413" s="56">
        <v>46020</v>
      </c>
      <c r="D2413" s="43">
        <v>100</v>
      </c>
      <c r="G2413" t="s">
        <v>1892</v>
      </c>
    </row>
    <row r="2414" spans="1:7">
      <c r="A2414" s="759" t="s">
        <v>313</v>
      </c>
      <c r="B2414" s="759" t="s">
        <v>126</v>
      </c>
      <c r="C2414" s="56">
        <v>46020</v>
      </c>
      <c r="D2414" s="43">
        <v>738</v>
      </c>
      <c r="G2414" t="s">
        <v>1892</v>
      </c>
    </row>
    <row r="2415" spans="1:7">
      <c r="A2415" s="1128" t="s">
        <v>319</v>
      </c>
      <c r="B2415" s="1128" t="s">
        <v>126</v>
      </c>
      <c r="C2415" s="56">
        <v>46020</v>
      </c>
      <c r="D2415" s="155">
        <v>1297</v>
      </c>
      <c r="G2415" t="s">
        <v>1892</v>
      </c>
    </row>
    <row r="2416" spans="1:7">
      <c r="A2416" s="1128" t="s">
        <v>322</v>
      </c>
      <c r="B2416" s="1128" t="s">
        <v>126</v>
      </c>
      <c r="C2416" s="56">
        <v>46020</v>
      </c>
      <c r="D2416" s="155">
        <v>2583</v>
      </c>
      <c r="G2416" t="s">
        <v>1892</v>
      </c>
    </row>
    <row r="2417" spans="1:7">
      <c r="A2417" s="1128" t="s">
        <v>459</v>
      </c>
      <c r="B2417" s="1128" t="s">
        <v>126</v>
      </c>
      <c r="C2417" s="56">
        <v>46020</v>
      </c>
      <c r="F2417" s="311" t="s">
        <v>2004</v>
      </c>
      <c r="G2417" t="s">
        <v>1892</v>
      </c>
    </row>
    <row r="2418" spans="1:7">
      <c r="A2418" s="1128" t="s">
        <v>464</v>
      </c>
      <c r="B2418" s="1128" t="s">
        <v>126</v>
      </c>
      <c r="C2418" s="56">
        <v>46020</v>
      </c>
      <c r="F2418" s="311" t="s">
        <v>2004</v>
      </c>
      <c r="G2418" t="s">
        <v>1892</v>
      </c>
    </row>
    <row r="2419" spans="1:7">
      <c r="A2419" s="1128" t="s">
        <v>495</v>
      </c>
      <c r="B2419" s="1128" t="s">
        <v>126</v>
      </c>
      <c r="C2419" s="56">
        <v>46020</v>
      </c>
      <c r="F2419" s="311" t="s">
        <v>2004</v>
      </c>
      <c r="G2419" t="s">
        <v>1892</v>
      </c>
    </row>
    <row r="2420" spans="1:7">
      <c r="A2420" s="311" t="s">
        <v>1108</v>
      </c>
      <c r="B2420" s="311" t="s">
        <v>1073</v>
      </c>
      <c r="C2420" s="56">
        <v>46021</v>
      </c>
      <c r="D2420" s="43">
        <v>353</v>
      </c>
      <c r="G2420" t="s">
        <v>1892</v>
      </c>
    </row>
    <row r="2421" spans="1:7">
      <c r="A2421" s="318" t="s">
        <v>419</v>
      </c>
      <c r="B2421" s="387" t="s">
        <v>1073</v>
      </c>
      <c r="C2421" s="56">
        <v>46021</v>
      </c>
      <c r="E2421" s="139">
        <v>766</v>
      </c>
      <c r="F2421" s="805"/>
      <c r="G2421" t="s">
        <v>1892</v>
      </c>
    </row>
    <row r="2422" spans="1:7">
      <c r="A2422" s="1375" t="s">
        <v>606</v>
      </c>
      <c r="B2422" s="307" t="s">
        <v>1073</v>
      </c>
      <c r="C2422" s="56">
        <v>46021</v>
      </c>
      <c r="E2422" s="139">
        <v>343</v>
      </c>
      <c r="F2422" s="304"/>
      <c r="G2422" t="s">
        <v>1892</v>
      </c>
    </row>
    <row r="2423" spans="1:7">
      <c r="A2423" s="744" t="s">
        <v>603</v>
      </c>
      <c r="B2423" s="307" t="s">
        <v>126</v>
      </c>
      <c r="C2423" s="56">
        <v>46021</v>
      </c>
      <c r="F2423" s="311" t="s">
        <v>1373</v>
      </c>
      <c r="G2423" t="s">
        <v>1892</v>
      </c>
    </row>
    <row r="2424" spans="1:7">
      <c r="A2424" s="311" t="s">
        <v>313</v>
      </c>
      <c r="B2424" s="759" t="s">
        <v>126</v>
      </c>
      <c r="C2424" s="56">
        <v>46021</v>
      </c>
      <c r="D2424" s="43">
        <v>466</v>
      </c>
      <c r="G2424" t="s">
        <v>1892</v>
      </c>
    </row>
    <row r="2425" spans="1:7">
      <c r="A2425" s="304" t="s">
        <v>322</v>
      </c>
      <c r="B2425" s="1128" t="s">
        <v>126</v>
      </c>
      <c r="C2425" s="56">
        <v>46021</v>
      </c>
      <c r="D2425" s="155">
        <v>3099</v>
      </c>
      <c r="G2425" t="s">
        <v>1892</v>
      </c>
    </row>
    <row r="2426" spans="1:7">
      <c r="A2426" s="304" t="s">
        <v>461</v>
      </c>
      <c r="B2426" s="1128" t="s">
        <v>126</v>
      </c>
      <c r="C2426" s="56">
        <v>46021</v>
      </c>
      <c r="F2426" s="311" t="s">
        <v>2004</v>
      </c>
      <c r="G2426" t="s">
        <v>1892</v>
      </c>
    </row>
    <row r="2427" spans="1:7">
      <c r="A2427" s="141" t="s">
        <v>290</v>
      </c>
      <c r="B2427" s="307" t="s">
        <v>1073</v>
      </c>
      <c r="C2427" s="56">
        <v>46022</v>
      </c>
      <c r="D2427" s="43">
        <v>173</v>
      </c>
      <c r="G2427" t="s">
        <v>1892</v>
      </c>
    </row>
    <row r="2428" spans="1:7">
      <c r="A2428" s="141" t="s">
        <v>464</v>
      </c>
      <c r="B2428" s="307" t="s">
        <v>1073</v>
      </c>
      <c r="C2428" s="56">
        <v>46022</v>
      </c>
      <c r="D2428" s="155"/>
      <c r="E2428" s="155">
        <v>2728</v>
      </c>
      <c r="G2428" t="s">
        <v>1892</v>
      </c>
    </row>
    <row r="2429" spans="1:7">
      <c r="A2429" s="141" t="s">
        <v>467</v>
      </c>
      <c r="B2429" s="307" t="s">
        <v>1073</v>
      </c>
      <c r="C2429" s="56">
        <v>46022</v>
      </c>
      <c r="E2429" s="321">
        <v>1231</v>
      </c>
      <c r="G2429" t="s">
        <v>1892</v>
      </c>
    </row>
    <row r="2430" spans="1:7">
      <c r="A2430" s="141" t="s">
        <v>495</v>
      </c>
      <c r="B2430" s="307" t="s">
        <v>1073</v>
      </c>
      <c r="C2430" s="56">
        <v>46022</v>
      </c>
      <c r="E2430" s="321">
        <v>1565</v>
      </c>
      <c r="G2430" t="s">
        <v>1892</v>
      </c>
    </row>
    <row r="2431" spans="1:7">
      <c r="C2431" s="56">
        <v>46023</v>
      </c>
      <c r="G2431" t="s">
        <v>2005</v>
      </c>
    </row>
    <row r="2432" spans="1:7">
      <c r="C2432" s="56">
        <v>46024</v>
      </c>
      <c r="G2432" t="s">
        <v>2005</v>
      </c>
    </row>
    <row r="2433" spans="1:7">
      <c r="A2433" s="247" t="s">
        <v>2006</v>
      </c>
      <c r="B2433" s="1451" t="s">
        <v>126</v>
      </c>
      <c r="C2433" s="56">
        <v>46027</v>
      </c>
      <c r="D2433" s="155">
        <v>1353</v>
      </c>
      <c r="G2433" t="s">
        <v>2005</v>
      </c>
    </row>
    <row r="2434" spans="1:7">
      <c r="A2434" s="247"/>
      <c r="B2434" s="1451"/>
      <c r="C2434" s="1452">
        <v>46028</v>
      </c>
      <c r="D2434" s="1453"/>
      <c r="E2434" s="1454"/>
      <c r="F2434" s="1453"/>
    </row>
    <row r="2435" spans="1:7">
      <c r="A2435" s="247"/>
      <c r="B2435" s="1451"/>
      <c r="C2435" s="1452">
        <v>46029</v>
      </c>
      <c r="D2435" s="1453"/>
      <c r="E2435" s="1454"/>
      <c r="F2435" s="1453"/>
    </row>
    <row r="2436" spans="1:7">
      <c r="A2436" s="247"/>
      <c r="B2436" s="1451"/>
      <c r="C2436" s="1452">
        <v>46030</v>
      </c>
      <c r="D2436" s="1453"/>
      <c r="E2436" s="1454"/>
      <c r="F2436" s="1453"/>
    </row>
    <row r="2437" spans="1:7">
      <c r="A2437" s="247"/>
      <c r="B2437" s="1451"/>
      <c r="C2437" s="1452">
        <v>46031</v>
      </c>
      <c r="D2437" s="1453"/>
      <c r="E2437" s="1454"/>
      <c r="F2437" s="1453"/>
    </row>
    <row r="2438" spans="1:7">
      <c r="A2438" s="247"/>
      <c r="B2438" s="1451"/>
      <c r="C2438" s="1452">
        <v>46034</v>
      </c>
      <c r="D2438" s="1453"/>
      <c r="E2438" s="1454"/>
      <c r="F2438" s="1453"/>
    </row>
    <row r="2439" spans="1:7">
      <c r="A2439" s="247"/>
      <c r="B2439" s="1451"/>
      <c r="C2439" s="1452">
        <v>46035</v>
      </c>
      <c r="D2439" s="1453"/>
      <c r="E2439" s="1454"/>
      <c r="F2439" s="1453"/>
    </row>
    <row r="2440" spans="1:7">
      <c r="A2440" s="247"/>
      <c r="B2440" s="1451"/>
      <c r="C2440" s="1452">
        <v>46036</v>
      </c>
      <c r="D2440" s="1453"/>
      <c r="E2440" s="1454"/>
      <c r="F2440" s="1453"/>
    </row>
    <row r="2441" spans="1:7">
      <c r="A2441" s="247"/>
      <c r="B2441" s="1451"/>
      <c r="C2441" s="1452">
        <v>46037</v>
      </c>
      <c r="D2441" s="1453"/>
      <c r="E2441" s="1454"/>
      <c r="F2441" s="1453"/>
    </row>
    <row r="2442" spans="1:7">
      <c r="A2442" s="247"/>
      <c r="B2442" s="1451"/>
      <c r="C2442" s="1452">
        <v>46038</v>
      </c>
      <c r="D2442" s="1453"/>
      <c r="E2442" s="1454"/>
      <c r="F2442" s="1453"/>
    </row>
    <row r="2443" spans="1:7">
      <c r="A2443" s="247"/>
      <c r="B2443" s="1451"/>
      <c r="C2443" s="1452"/>
      <c r="D2443" s="1453"/>
      <c r="E2443" s="1454"/>
      <c r="F2443" s="1453"/>
    </row>
    <row r="2444" spans="1:7">
      <c r="A2444" s="247"/>
      <c r="B2444" s="1451"/>
      <c r="C2444" s="1453"/>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2"/>
      <c r="D2468" s="1453"/>
      <c r="E2468" s="1454"/>
      <c r="F2468" s="1453"/>
    </row>
    <row r="2469" spans="1:6">
      <c r="A2469" s="247"/>
      <c r="B2469" s="1451"/>
      <c r="C2469" s="1453"/>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602" spans="3:3">
      <c r="C2602" s="56"/>
    </row>
    <row r="2603" spans="3:3">
      <c r="C260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2007</v>
      </c>
      <c r="W2" s="3" t="s">
        <v>2008</v>
      </c>
      <c r="X2" s="3" t="s">
        <v>2008</v>
      </c>
      <c r="Y2" s="3" t="s">
        <v>2008</v>
      </c>
      <c r="Z2" s="3" t="s">
        <v>2008</v>
      </c>
      <c r="AA2" s="8" t="s">
        <v>2009</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2010</v>
      </c>
      <c r="T3" s="19" t="s">
        <v>2011</v>
      </c>
      <c r="U3" s="19" t="s">
        <v>2012</v>
      </c>
      <c r="V3" s="5" t="s">
        <v>2013</v>
      </c>
      <c r="W3" s="5" t="s">
        <v>44</v>
      </c>
      <c r="X3" s="5" t="s">
        <v>43</v>
      </c>
      <c r="Y3" s="5" t="s">
        <v>2014</v>
      </c>
      <c r="Z3" s="5" t="s">
        <v>46</v>
      </c>
      <c r="AA3" s="89" t="s">
        <v>668</v>
      </c>
      <c r="AB3" s="68" t="s">
        <v>48</v>
      </c>
    </row>
    <row r="4" spans="1:30" ht="24.75" customHeight="1" thickBot="1">
      <c r="A4" s="440" t="s">
        <v>2015</v>
      </c>
      <c r="B4" s="440" t="s">
        <v>2016</v>
      </c>
      <c r="C4" s="16">
        <v>45717</v>
      </c>
      <c r="D4" s="63" t="s">
        <v>2017</v>
      </c>
      <c r="E4" s="51">
        <v>45707</v>
      </c>
      <c r="F4" s="51" t="s">
        <v>202</v>
      </c>
      <c r="G4" s="382" t="s">
        <v>2018</v>
      </c>
      <c r="H4" s="97">
        <v>0</v>
      </c>
      <c r="I4" s="105"/>
      <c r="J4" s="76" t="s">
        <v>63</v>
      </c>
      <c r="K4" s="76" t="s">
        <v>2019</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2020</v>
      </c>
    </row>
    <row r="5" spans="1:30" ht="24.75" customHeight="1" thickBot="1">
      <c r="A5" s="440" t="s">
        <v>2021</v>
      </c>
      <c r="B5" s="440" t="s">
        <v>2016</v>
      </c>
      <c r="C5" s="16">
        <v>45717</v>
      </c>
      <c r="D5" s="63" t="s">
        <v>2017</v>
      </c>
      <c r="E5" s="51">
        <v>45707</v>
      </c>
      <c r="F5" s="381" t="s">
        <v>202</v>
      </c>
      <c r="G5" s="382" t="s">
        <v>2022</v>
      </c>
      <c r="H5" s="97">
        <v>0</v>
      </c>
      <c r="I5" s="105"/>
      <c r="J5" s="76" t="s">
        <v>63</v>
      </c>
      <c r="K5" s="76" t="s">
        <v>2019</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2023</v>
      </c>
      <c r="B6" s="440" t="s">
        <v>2016</v>
      </c>
      <c r="C6" s="16">
        <v>45717</v>
      </c>
      <c r="D6" s="63" t="s">
        <v>2017</v>
      </c>
      <c r="E6" s="51">
        <v>45707</v>
      </c>
      <c r="F6" s="381" t="s">
        <v>202</v>
      </c>
      <c r="G6" s="382" t="s">
        <v>2024</v>
      </c>
      <c r="H6" s="97">
        <v>0</v>
      </c>
      <c r="I6" s="105"/>
      <c r="J6" s="76" t="s">
        <v>63</v>
      </c>
      <c r="K6" s="76" t="s">
        <v>2019</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2025</v>
      </c>
      <c r="B8" s="440" t="s">
        <v>2026</v>
      </c>
      <c r="C8" s="16">
        <v>45748</v>
      </c>
      <c r="D8" s="16" t="s">
        <v>2017</v>
      </c>
      <c r="E8" s="94" t="s">
        <v>52</v>
      </c>
      <c r="F8" s="95" t="s">
        <v>52</v>
      </c>
      <c r="G8" s="620" t="s">
        <v>2027</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2028</v>
      </c>
      <c r="AC8" s="435"/>
      <c r="AD8" s="70"/>
    </row>
    <row r="9" spans="1:30" ht="24.75" customHeight="1">
      <c r="A9" s="449" t="s">
        <v>2029</v>
      </c>
      <c r="B9" s="449" t="s">
        <v>2030</v>
      </c>
      <c r="C9" s="23">
        <v>45741</v>
      </c>
      <c r="D9" s="16" t="s">
        <v>2017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2031</v>
      </c>
    </row>
    <row r="10" spans="1:30" ht="24.75" customHeight="1" thickBot="1">
      <c r="A10" s="26" t="s">
        <v>2032</v>
      </c>
      <c r="B10" s="26" t="s">
        <v>2030</v>
      </c>
      <c r="C10" s="27">
        <v>45741</v>
      </c>
      <c r="D10" s="16" t="s">
        <v>2017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2033</v>
      </c>
      <c r="B11" s="36" t="s">
        <v>2030</v>
      </c>
      <c r="C11" s="37">
        <v>45747</v>
      </c>
      <c r="D11" s="16" t="s">
        <v>2017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2034</v>
      </c>
      <c r="B12" s="26" t="s">
        <v>2030</v>
      </c>
      <c r="C12" s="27">
        <v>45741</v>
      </c>
      <c r="D12" s="16" t="s">
        <v>2017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2031</v>
      </c>
    </row>
    <row r="13" spans="1:30" ht="24.75" customHeight="1" thickBot="1">
      <c r="A13" s="26" t="s">
        <v>2035</v>
      </c>
      <c r="B13" s="26" t="s">
        <v>2030</v>
      </c>
      <c r="C13" s="27">
        <v>45741</v>
      </c>
      <c r="D13" s="27" t="s">
        <v>2017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2031</v>
      </c>
    </row>
    <row r="14" spans="1:30" ht="24.75" customHeight="1" thickBot="1">
      <c r="A14" s="26" t="s">
        <v>2036</v>
      </c>
      <c r="B14" s="26" t="s">
        <v>2030</v>
      </c>
      <c r="C14" s="27">
        <v>45747</v>
      </c>
      <c r="D14" s="27" t="s">
        <v>2017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2037</v>
      </c>
      <c r="B15" s="26" t="s">
        <v>2030</v>
      </c>
      <c r="C15" s="27">
        <v>45741</v>
      </c>
      <c r="D15" s="27" t="s">
        <v>2017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2031</v>
      </c>
    </row>
    <row r="16" spans="1:30" ht="24.75" customHeight="1" thickBot="1">
      <c r="A16" s="26" t="s">
        <v>2038</v>
      </c>
      <c r="B16" s="26" t="s">
        <v>2030</v>
      </c>
      <c r="C16" s="27">
        <v>45741</v>
      </c>
      <c r="D16" s="27" t="s">
        <v>2017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2031</v>
      </c>
    </row>
    <row r="17" spans="1:30" ht="24.75" customHeight="1" thickBot="1">
      <c r="A17" s="36" t="s">
        <v>2039</v>
      </c>
      <c r="B17" s="36" t="s">
        <v>2030</v>
      </c>
      <c r="C17" s="37">
        <v>45747</v>
      </c>
      <c r="D17" s="37" t="s">
        <v>2017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2040</v>
      </c>
      <c r="B18" s="374" t="s">
        <v>2030</v>
      </c>
      <c r="C18" s="51">
        <v>45717</v>
      </c>
      <c r="D18" s="27" t="s">
        <v>2017</v>
      </c>
      <c r="E18" s="85">
        <v>45700</v>
      </c>
      <c r="F18" s="51"/>
      <c r="G18" s="51" t="s">
        <v>2041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2031</v>
      </c>
    </row>
    <row r="19" spans="1:30" ht="24.75" customHeight="1" thickBot="1">
      <c r="A19" s="50" t="s">
        <v>2042</v>
      </c>
      <c r="B19" s="26" t="s">
        <v>2030</v>
      </c>
      <c r="C19" s="51">
        <v>45747</v>
      </c>
      <c r="D19" s="27" t="s">
        <v>2017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2043</v>
      </c>
    </row>
    <row r="20" spans="1:30" ht="24.75" customHeight="1" thickBot="1">
      <c r="A20" s="374" t="s">
        <v>2044</v>
      </c>
      <c r="B20" s="374" t="s">
        <v>2030</v>
      </c>
      <c r="C20" s="375">
        <v>45717</v>
      </c>
      <c r="D20" s="27" t="s">
        <v>2017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2031</v>
      </c>
    </row>
    <row r="21" spans="1:30" ht="24.75" customHeight="1" thickBot="1">
      <c r="A21" s="374" t="s">
        <v>2045</v>
      </c>
      <c r="B21" s="112" t="s">
        <v>50</v>
      </c>
      <c r="C21" s="51">
        <v>45717</v>
      </c>
      <c r="D21" s="27" t="s">
        <v>2046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2047</v>
      </c>
      <c r="B22" s="378" t="s">
        <v>50</v>
      </c>
      <c r="C22" s="51">
        <v>45717</v>
      </c>
      <c r="D22" s="51" t="s">
        <v>2046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2048</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2049</v>
      </c>
      <c r="B24" s="378" t="s">
        <v>50</v>
      </c>
      <c r="C24" s="381">
        <v>45688</v>
      </c>
      <c r="D24" s="390" t="s">
        <v>2048</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2050</v>
      </c>
      <c r="B25" s="113" t="s">
        <v>50</v>
      </c>
      <c r="C25" s="51">
        <v>45747</v>
      </c>
      <c r="D25" s="51" t="s">
        <v>2046</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2051</v>
      </c>
    </row>
    <row r="26" spans="1:30" ht="24.75" customHeight="1">
      <c r="A26" s="101" t="s">
        <v>2052</v>
      </c>
      <c r="B26" s="102" t="s">
        <v>50</v>
      </c>
      <c r="C26" s="77">
        <v>45716</v>
      </c>
      <c r="D26" s="26" t="s">
        <v>2048</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2053</v>
      </c>
      <c r="B27" s="102" t="s">
        <v>50</v>
      </c>
      <c r="C27" s="77">
        <v>45716</v>
      </c>
      <c r="D27" s="50" t="s">
        <v>2048</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2054</v>
      </c>
      <c r="B28" s="1117" t="s">
        <v>50</v>
      </c>
      <c r="C28" s="1110">
        <v>45991</v>
      </c>
      <c r="D28" s="375" t="s">
        <v>72</v>
      </c>
      <c r="E28" s="77">
        <v>45734</v>
      </c>
      <c r="F28" s="1108" t="s">
        <v>68</v>
      </c>
      <c r="G28" s="1119" t="s">
        <v>2055</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2056</v>
      </c>
      <c r="B29" s="1117" t="s">
        <v>50</v>
      </c>
      <c r="C29" s="1110">
        <v>46021</v>
      </c>
      <c r="D29" s="375" t="s">
        <v>72</v>
      </c>
      <c r="E29" s="77">
        <v>45743</v>
      </c>
      <c r="F29" s="1108" t="s">
        <v>68</v>
      </c>
      <c r="G29" s="1118" t="s">
        <v>2057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2058</v>
      </c>
      <c r="AC29" s="1114"/>
      <c r="AD29" s="1116"/>
    </row>
    <row r="30" spans="1:30" ht="24.75" customHeight="1">
      <c r="A30" s="374" t="s">
        <v>2059</v>
      </c>
      <c r="B30" s="669" t="s">
        <v>50</v>
      </c>
      <c r="C30" s="375">
        <v>45991</v>
      </c>
      <c r="D30" s="50" t="s">
        <v>72</v>
      </c>
      <c r="E30" s="51">
        <v>45743</v>
      </c>
      <c r="F30" s="50" t="s">
        <v>68</v>
      </c>
      <c r="G30" s="379" t="s">
        <v>2060</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2061</v>
      </c>
      <c r="AC30" s="333"/>
      <c r="AD30" s="115"/>
    </row>
    <row r="31" spans="1:30" ht="24.75" customHeight="1">
      <c r="A31" s="374" t="s">
        <v>1090</v>
      </c>
      <c r="B31" s="669" t="s">
        <v>50</v>
      </c>
      <c r="C31" s="375">
        <v>46021</v>
      </c>
      <c r="D31" s="375" t="s">
        <v>72</v>
      </c>
      <c r="E31" s="51">
        <v>45735</v>
      </c>
      <c r="F31" s="50" t="s">
        <v>68</v>
      </c>
      <c r="G31" s="670" t="s">
        <v>2062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2063</v>
      </c>
      <c r="W31" s="34">
        <v>0</v>
      </c>
      <c r="X31" s="34">
        <v>0</v>
      </c>
      <c r="Y31" s="31">
        <v>0</v>
      </c>
      <c r="Z31" s="34">
        <v>0</v>
      </c>
      <c r="AA31" s="31">
        <v>0</v>
      </c>
      <c r="AB31" s="353" t="s">
        <v>2058</v>
      </c>
    </row>
    <row r="32" spans="1:30" ht="24.75" customHeight="1">
      <c r="A32" s="905" t="s">
        <v>2064</v>
      </c>
      <c r="B32" s="1109" t="s">
        <v>50</v>
      </c>
      <c r="C32" s="985">
        <v>45717</v>
      </c>
      <c r="D32" s="985" t="s">
        <v>2046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2065</v>
      </c>
      <c r="B33" s="989" t="s">
        <v>50</v>
      </c>
      <c r="C33" s="907">
        <v>45989</v>
      </c>
      <c r="D33" s="907" t="s">
        <v>2066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2067</v>
      </c>
    </row>
    <row r="34" spans="1:30" ht="24.75" customHeight="1">
      <c r="A34" s="905" t="s">
        <v>2068</v>
      </c>
      <c r="B34" s="1109" t="s">
        <v>50</v>
      </c>
      <c r="C34" s="985">
        <v>45717</v>
      </c>
      <c r="D34" s="985" t="s">
        <v>2046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2069</v>
      </c>
      <c r="B35" s="1109" t="s">
        <v>50</v>
      </c>
      <c r="C35" s="985">
        <v>45717</v>
      </c>
      <c r="D35" s="985" t="s">
        <v>2046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2070</v>
      </c>
      <c r="B36" s="1109" t="s">
        <v>50</v>
      </c>
      <c r="C36" s="985">
        <v>45717</v>
      </c>
      <c r="D36" s="985" t="s">
        <v>2046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2071</v>
      </c>
      <c r="Q1" s="159" t="s">
        <v>2072</v>
      </c>
      <c r="R1" s="127" t="s">
        <v>2073</v>
      </c>
      <c r="S1" s="127" t="s">
        <v>2074</v>
      </c>
      <c r="T1" s="159" t="s">
        <v>2075</v>
      </c>
      <c r="U1" s="127" t="s">
        <v>1217</v>
      </c>
      <c r="V1" s="160" t="s">
        <v>2076</v>
      </c>
      <c r="W1" s="160" t="s">
        <v>2077</v>
      </c>
      <c r="X1" s="163" t="s">
        <v>2078</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2079</v>
      </c>
      <c r="B4" s="407" t="s">
        <v>201</v>
      </c>
      <c r="C4" s="408">
        <v>45742</v>
      </c>
      <c r="D4" s="696" t="s">
        <v>2080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2081</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2081</v>
      </c>
      <c r="S7" s="43" t="s">
        <v>365</v>
      </c>
      <c r="T7" s="43" t="s">
        <v>365</v>
      </c>
      <c r="U7" s="43" t="s">
        <v>365</v>
      </c>
      <c r="V7" s="69" t="s">
        <v>89</v>
      </c>
      <c r="W7" s="30"/>
      <c r="X7" s="69" t="s">
        <v>89</v>
      </c>
      <c r="Y7" t="e">
        <f>VLOOKUP(A7,#REF!,2,FALSE)</f>
        <v>#REF!</v>
      </c>
    </row>
    <row r="8" spans="1:25">
      <c r="A8" s="175" t="s">
        <v>536</v>
      </c>
      <c r="B8" s="180" t="s">
        <v>201</v>
      </c>
      <c r="C8" s="176">
        <v>45742</v>
      </c>
      <c r="D8" s="185" t="s">
        <v>2082</v>
      </c>
      <c r="E8" s="120"/>
      <c r="F8" s="108"/>
      <c r="G8" s="108"/>
      <c r="H8" s="179">
        <v>84</v>
      </c>
      <c r="I8" s="181"/>
      <c r="J8" s="185" t="s">
        <v>57</v>
      </c>
      <c r="K8" s="185" t="s">
        <v>57</v>
      </c>
      <c r="L8" s="185" t="s">
        <v>63</v>
      </c>
      <c r="M8" s="193">
        <v>45716</v>
      </c>
      <c r="N8" s="30" t="s">
        <v>365</v>
      </c>
      <c r="O8" s="30" t="s">
        <v>365</v>
      </c>
      <c r="P8" s="711" t="s">
        <v>365</v>
      </c>
      <c r="Q8" s="69" t="s">
        <v>365</v>
      </c>
      <c r="R8" s="43" t="s">
        <v>2081</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2081</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2081</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2081</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2081</v>
      </c>
      <c r="S12" s="43" t="s">
        <v>365</v>
      </c>
      <c r="T12" s="43" t="s">
        <v>365</v>
      </c>
      <c r="U12" s="69" t="s">
        <v>89</v>
      </c>
      <c r="V12" s="69" t="s">
        <v>89</v>
      </c>
      <c r="W12" s="30"/>
      <c r="X12" s="69" t="s">
        <v>89</v>
      </c>
      <c r="Y12" t="e">
        <f>VLOOKUP(A12,#REF!,2,FALSE)</f>
        <v>#REF!</v>
      </c>
    </row>
    <row r="13" spans="1:25">
      <c r="A13" s="178" t="s">
        <v>267</v>
      </c>
      <c r="B13" s="180" t="s">
        <v>201</v>
      </c>
      <c r="C13" s="409">
        <v>45960</v>
      </c>
      <c r="D13" s="418" t="s">
        <v>2083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2084</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2085</v>
      </c>
      <c r="N16" s="30" t="s">
        <v>365</v>
      </c>
      <c r="O16" s="54" t="s">
        <v>2085</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2084</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2084</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2084</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2084</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2084</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2084</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2084</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2081</v>
      </c>
      <c r="S31" s="43" t="s">
        <v>365</v>
      </c>
      <c r="T31" s="139" t="s">
        <v>365</v>
      </c>
      <c r="U31" s="115" t="s">
        <v>365</v>
      </c>
      <c r="V31" s="69" t="s">
        <v>365</v>
      </c>
      <c r="W31" s="54">
        <v>45779</v>
      </c>
      <c r="X31" s="69" t="s">
        <v>2084</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2081</v>
      </c>
      <c r="S32" s="43" t="s">
        <v>365</v>
      </c>
      <c r="T32" s="139" t="s">
        <v>365</v>
      </c>
      <c r="U32" s="43" t="s">
        <v>365</v>
      </c>
      <c r="V32" s="69" t="s">
        <v>365</v>
      </c>
      <c r="W32" s="54">
        <v>45792</v>
      </c>
      <c r="X32" s="69" t="s">
        <v>2084</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2081</v>
      </c>
      <c r="S33" s="43" t="s">
        <v>365</v>
      </c>
      <c r="T33" s="139" t="s">
        <v>365</v>
      </c>
      <c r="U33" s="43" t="s">
        <v>365</v>
      </c>
      <c r="V33" s="334" t="s">
        <v>365</v>
      </c>
      <c r="W33" s="54">
        <v>45812</v>
      </c>
      <c r="X33" s="69" t="s">
        <v>2084</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2081</v>
      </c>
      <c r="S34" s="43" t="s">
        <v>365</v>
      </c>
      <c r="T34" s="139" t="s">
        <v>365</v>
      </c>
      <c r="U34" s="43" t="s">
        <v>365</v>
      </c>
      <c r="V34" s="404" t="s">
        <v>365</v>
      </c>
      <c r="W34" s="166">
        <v>45797</v>
      </c>
      <c r="X34" s="69" t="s">
        <v>2084</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2081</v>
      </c>
      <c r="S35" s="43" t="s">
        <v>365</v>
      </c>
      <c r="T35" s="139" t="s">
        <v>365</v>
      </c>
      <c r="U35" s="169" t="s">
        <v>365</v>
      </c>
      <c r="V35" s="69" t="s">
        <v>365</v>
      </c>
      <c r="W35" s="54">
        <v>45789</v>
      </c>
      <c r="X35" s="334" t="s">
        <v>2084</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2081</v>
      </c>
      <c r="S36" s="43" t="s">
        <v>365</v>
      </c>
      <c r="T36" s="139" t="s">
        <v>365</v>
      </c>
      <c r="U36" s="43" t="s">
        <v>365</v>
      </c>
      <c r="V36" s="69" t="s">
        <v>365</v>
      </c>
      <c r="W36" s="54">
        <v>45824</v>
      </c>
      <c r="X36" s="334" t="s">
        <v>2084</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2081</v>
      </c>
      <c r="S37" s="43" t="s">
        <v>365</v>
      </c>
      <c r="T37" s="43" t="s">
        <v>365</v>
      </c>
      <c r="U37" s="169" t="s">
        <v>365</v>
      </c>
      <c r="V37" s="69" t="s">
        <v>365</v>
      </c>
      <c r="W37" s="156">
        <v>45789</v>
      </c>
      <c r="X37" s="69" t="s">
        <v>2084</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2081</v>
      </c>
      <c r="S38" s="43" t="s">
        <v>365</v>
      </c>
      <c r="T38" s="43" t="s">
        <v>365</v>
      </c>
      <c r="U38" s="169" t="s">
        <v>365</v>
      </c>
      <c r="V38" s="69" t="s">
        <v>365</v>
      </c>
      <c r="W38" s="54">
        <v>45789</v>
      </c>
      <c r="X38" s="69" t="s">
        <v>2084</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2081</v>
      </c>
      <c r="S39" s="43" t="s">
        <v>365</v>
      </c>
      <c r="T39" s="43" t="s">
        <v>365</v>
      </c>
      <c r="U39" s="169" t="s">
        <v>365</v>
      </c>
      <c r="V39" s="69" t="s">
        <v>365</v>
      </c>
      <c r="W39" s="54">
        <v>45789</v>
      </c>
      <c r="X39" s="69" t="s">
        <v>2084</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2084</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2084</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2084</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2084</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2084</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2084</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2084</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2084</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2084</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2084</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2084</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2084</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2081</v>
      </c>
      <c r="S57" s="43" t="s">
        <v>365</v>
      </c>
      <c r="T57" s="43" t="s">
        <v>365</v>
      </c>
      <c r="U57" s="43" t="s">
        <v>365</v>
      </c>
      <c r="V57" s="69" t="s">
        <v>365</v>
      </c>
      <c r="W57" s="54">
        <v>45813</v>
      </c>
      <c r="X57" s="69" t="s">
        <v>2084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2081</v>
      </c>
      <c r="S58" s="43" t="s">
        <v>365</v>
      </c>
      <c r="T58" s="43" t="s">
        <v>365</v>
      </c>
      <c r="U58" s="43" t="s">
        <v>365</v>
      </c>
      <c r="V58" s="334" t="s">
        <v>365</v>
      </c>
      <c r="W58" s="54">
        <v>45796</v>
      </c>
      <c r="X58" s="69" t="s">
        <v>2084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2063</v>
      </c>
      <c r="P59" s="328" t="s">
        <v>365</v>
      </c>
      <c r="Q59" s="43" t="s">
        <v>365</v>
      </c>
      <c r="R59" s="43" t="s">
        <v>2081</v>
      </c>
      <c r="S59" s="43" t="s">
        <v>365</v>
      </c>
      <c r="T59" s="43" t="s">
        <v>365</v>
      </c>
      <c r="U59" s="43" t="s">
        <v>365</v>
      </c>
      <c r="V59" s="334" t="s">
        <v>365</v>
      </c>
      <c r="W59" s="54">
        <v>45796</v>
      </c>
      <c r="X59" s="69" t="s">
        <v>2084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2081</v>
      </c>
      <c r="S60" s="43" t="s">
        <v>365</v>
      </c>
      <c r="T60" s="43" t="s">
        <v>365</v>
      </c>
      <c r="U60" s="43" t="s">
        <v>365</v>
      </c>
      <c r="V60" s="334" t="s">
        <v>365</v>
      </c>
      <c r="W60" s="54">
        <v>45824</v>
      </c>
      <c r="X60" s="69" t="s">
        <v>2084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2086</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2081</v>
      </c>
      <c r="S81" s="43" t="s">
        <v>365</v>
      </c>
      <c r="T81" s="43" t="s">
        <v>365</v>
      </c>
      <c r="U81" s="115" t="s">
        <v>365</v>
      </c>
      <c r="V81" s="69" t="s">
        <v>365</v>
      </c>
      <c r="W81" s="54">
        <v>45789</v>
      </c>
      <c r="X81" s="69" t="s">
        <v>2084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2081</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2081</v>
      </c>
      <c r="S84" s="169" t="s">
        <v>365</v>
      </c>
      <c r="T84" s="169" t="s">
        <v>365</v>
      </c>
      <c r="U84" s="91" t="s">
        <v>365</v>
      </c>
      <c r="V84" s="69" t="s">
        <v>365</v>
      </c>
      <c r="W84" s="195">
        <v>45875</v>
      </c>
      <c r="X84" s="69" t="s">
        <v>2084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2081</v>
      </c>
      <c r="S85" s="169" t="s">
        <v>365</v>
      </c>
      <c r="T85" s="169" t="s">
        <v>365</v>
      </c>
      <c r="U85" s="91" t="s">
        <v>365</v>
      </c>
      <c r="V85" s="91" t="s">
        <v>365</v>
      </c>
      <c r="W85" s="195">
        <v>45874</v>
      </c>
      <c r="X85" s="69" t="s">
        <v>2084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2081</v>
      </c>
      <c r="S86" s="43" t="s">
        <v>365</v>
      </c>
      <c r="T86" s="43" t="s">
        <v>365</v>
      </c>
      <c r="U86" s="69" t="s">
        <v>365</v>
      </c>
      <c r="V86" s="69" t="s">
        <v>365</v>
      </c>
      <c r="W86" s="54">
        <v>45824</v>
      </c>
      <c r="X86" s="69" t="s">
        <v>2084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2081</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2081</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2081</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2081</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2081</v>
      </c>
      <c r="S91" s="69" t="s">
        <v>365</v>
      </c>
      <c r="T91" s="69" t="s">
        <v>365</v>
      </c>
      <c r="U91" s="69" t="s">
        <v>365</v>
      </c>
      <c r="V91" s="69" t="s">
        <v>365</v>
      </c>
      <c r="W91" s="54">
        <v>45831</v>
      </c>
      <c r="X91" s="69" t="s">
        <v>2084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2081</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2081</v>
      </c>
      <c r="S93" s="43" t="s">
        <v>365</v>
      </c>
      <c r="T93" s="43" t="s">
        <v>365</v>
      </c>
      <c r="U93" s="334" t="s">
        <v>365</v>
      </c>
      <c r="V93" s="69" t="s">
        <v>365</v>
      </c>
      <c r="W93" s="54">
        <v>45789</v>
      </c>
      <c r="X93" s="69" t="s">
        <v>2084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2081</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2081</v>
      </c>
      <c r="S95" s="69" t="s">
        <v>365</v>
      </c>
      <c r="T95" s="43" t="s">
        <v>365</v>
      </c>
      <c r="U95" s="69" t="s">
        <v>365</v>
      </c>
      <c r="V95" s="69" t="s">
        <v>365</v>
      </c>
      <c r="W95" s="54">
        <v>45814</v>
      </c>
      <c r="X95" s="69" t="s">
        <v>2084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2081</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2081</v>
      </c>
      <c r="S97" s="69" t="s">
        <v>365</v>
      </c>
      <c r="T97" s="69" t="s">
        <v>365</v>
      </c>
      <c r="U97" s="69" t="s">
        <v>365</v>
      </c>
      <c r="V97" s="43" t="s">
        <v>365</v>
      </c>
      <c r="W97" s="54">
        <v>45824</v>
      </c>
      <c r="X97" s="69" t="s">
        <v>2084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2081</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2081</v>
      </c>
      <c r="S99" s="43" t="s">
        <v>365</v>
      </c>
      <c r="T99" s="115" t="s">
        <v>365</v>
      </c>
      <c r="U99" s="148" t="s">
        <v>365</v>
      </c>
      <c r="V99" s="69" t="s">
        <v>365</v>
      </c>
      <c r="W99" s="54">
        <v>45814</v>
      </c>
      <c r="X99" s="69" t="s">
        <v>2084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2081</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2081</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2081</v>
      </c>
      <c r="S102" s="43" t="s">
        <v>365</v>
      </c>
      <c r="T102" s="43" t="s">
        <v>365</v>
      </c>
      <c r="U102" s="43" t="s">
        <v>365</v>
      </c>
      <c r="V102" s="165" t="s">
        <v>365</v>
      </c>
      <c r="W102" s="54">
        <v>45835</v>
      </c>
      <c r="X102" s="69" t="s">
        <v>2084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2081</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2081</v>
      </c>
      <c r="S104" s="43" t="s">
        <v>365</v>
      </c>
      <c r="T104" s="43" t="s">
        <v>365</v>
      </c>
      <c r="U104" s="43" t="s">
        <v>365</v>
      </c>
      <c r="V104" s="139" t="s">
        <v>365</v>
      </c>
      <c r="W104" s="54">
        <v>45820</v>
      </c>
      <c r="X104" s="69" t="s">
        <v>2084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2081</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2081</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2081</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2081</v>
      </c>
      <c r="S108" s="43" t="s">
        <v>365</v>
      </c>
      <c r="T108" s="43" t="s">
        <v>365</v>
      </c>
      <c r="U108" s="88" t="s">
        <v>365</v>
      </c>
      <c r="V108" s="481" t="s">
        <v>365</v>
      </c>
      <c r="W108" s="356">
        <v>45798</v>
      </c>
      <c r="X108" s="69" t="s">
        <v>2084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2081</v>
      </c>
      <c r="S109" s="43" t="s">
        <v>365</v>
      </c>
      <c r="T109" s="43" t="s">
        <v>365</v>
      </c>
      <c r="U109" s="43" t="s">
        <v>2087</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2081</v>
      </c>
      <c r="S110" s="43" t="s">
        <v>365</v>
      </c>
      <c r="T110" s="43" t="s">
        <v>365</v>
      </c>
      <c r="U110" s="88" t="s">
        <v>365</v>
      </c>
      <c r="V110" s="481" t="s">
        <v>365</v>
      </c>
      <c r="W110" s="356">
        <v>45902</v>
      </c>
      <c r="X110" s="69" t="s">
        <v>2084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2081</v>
      </c>
      <c r="S111" s="43" t="s">
        <v>365</v>
      </c>
      <c r="T111" s="43" t="s">
        <v>365</v>
      </c>
      <c r="U111" s="43" t="s">
        <v>365</v>
      </c>
      <c r="V111" s="201" t="s">
        <v>365</v>
      </c>
      <c r="W111" s="166">
        <v>45790</v>
      </c>
      <c r="X111" s="69" t="s">
        <v>2084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2081</v>
      </c>
      <c r="S112" s="43" t="s">
        <v>365</v>
      </c>
      <c r="T112" s="43" t="s">
        <v>365</v>
      </c>
      <c r="U112" s="43" t="s">
        <v>365</v>
      </c>
      <c r="V112" s="201" t="s">
        <v>365</v>
      </c>
      <c r="W112" s="479">
        <v>45791</v>
      </c>
      <c r="X112" s="69" t="s">
        <v>2084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2081</v>
      </c>
      <c r="S113" s="115" t="s">
        <v>365</v>
      </c>
      <c r="T113" s="43" t="s">
        <v>365</v>
      </c>
      <c r="U113" s="43" t="s">
        <v>365</v>
      </c>
      <c r="V113" s="201" t="s">
        <v>365</v>
      </c>
      <c r="W113" s="479">
        <v>45791</v>
      </c>
      <c r="X113" s="148" t="s">
        <v>2084</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2081</v>
      </c>
      <c r="S114" s="115" t="s">
        <v>365</v>
      </c>
      <c r="T114" s="43" t="s">
        <v>365</v>
      </c>
      <c r="U114" s="157" t="s">
        <v>365</v>
      </c>
      <c r="V114" s="201" t="s">
        <v>365</v>
      </c>
      <c r="W114" s="54">
        <v>45798</v>
      </c>
      <c r="X114" s="69" t="s">
        <v>2084</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2081</v>
      </c>
      <c r="S115" s="43" t="s">
        <v>365</v>
      </c>
      <c r="T115" s="43" t="s">
        <v>365</v>
      </c>
      <c r="U115" s="43" t="s">
        <v>365</v>
      </c>
      <c r="V115" s="88" t="s">
        <v>365</v>
      </c>
      <c r="W115" s="54">
        <v>45814</v>
      </c>
      <c r="X115" s="69" t="s">
        <v>2084</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2081</v>
      </c>
      <c r="S116" s="43" t="s">
        <v>365</v>
      </c>
      <c r="T116" s="43" t="s">
        <v>365</v>
      </c>
      <c r="U116" s="43" t="s">
        <v>365</v>
      </c>
      <c r="V116" s="481" t="s">
        <v>365</v>
      </c>
      <c r="W116" s="54">
        <v>45807</v>
      </c>
      <c r="X116" s="69" t="s">
        <v>2084</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2081</v>
      </c>
      <c r="S117" s="43" t="s">
        <v>365</v>
      </c>
      <c r="T117" s="43" t="s">
        <v>365</v>
      </c>
      <c r="U117" s="43" t="s">
        <v>365</v>
      </c>
      <c r="V117" s="88" t="s">
        <v>365</v>
      </c>
      <c r="W117" s="54">
        <v>45811</v>
      </c>
      <c r="X117" s="69" t="s">
        <v>2084</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2081</v>
      </c>
      <c r="S118" s="43" t="s">
        <v>365</v>
      </c>
      <c r="T118" s="43" t="s">
        <v>365</v>
      </c>
      <c r="U118" s="157" t="s">
        <v>365</v>
      </c>
      <c r="V118" s="88" t="s">
        <v>365</v>
      </c>
      <c r="W118" s="54">
        <v>45810</v>
      </c>
      <c r="X118" s="69" t="s">
        <v>2084</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2081</v>
      </c>
      <c r="S119" s="43" t="s">
        <v>365</v>
      </c>
      <c r="T119" s="43" t="s">
        <v>365</v>
      </c>
      <c r="U119" s="157" t="s">
        <v>365</v>
      </c>
      <c r="V119" s="88" t="s">
        <v>365</v>
      </c>
      <c r="W119" s="54">
        <v>45813</v>
      </c>
      <c r="X119" s="69" t="s">
        <v>2084</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2081</v>
      </c>
      <c r="S120" s="43" t="s">
        <v>365</v>
      </c>
      <c r="T120" s="43" t="s">
        <v>365</v>
      </c>
      <c r="U120" s="43" t="s">
        <v>365</v>
      </c>
      <c r="V120" s="88" t="s">
        <v>365</v>
      </c>
      <c r="W120" s="54">
        <v>45811</v>
      </c>
      <c r="X120" s="69" t="s">
        <v>2084</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2081</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2081</v>
      </c>
      <c r="S122" s="43" t="s">
        <v>365</v>
      </c>
      <c r="T122" s="43" t="s">
        <v>365</v>
      </c>
      <c r="U122" s="157" t="s">
        <v>365</v>
      </c>
      <c r="V122" s="157" t="s">
        <v>365</v>
      </c>
      <c r="W122" s="54">
        <v>45789</v>
      </c>
      <c r="X122" s="69" t="s">
        <v>2084</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2081</v>
      </c>
      <c r="S123" s="43" t="s">
        <v>365</v>
      </c>
      <c r="T123" s="43" t="s">
        <v>365</v>
      </c>
      <c r="U123" s="43" t="s">
        <v>365</v>
      </c>
      <c r="V123" s="69" t="s">
        <v>365</v>
      </c>
      <c r="W123" s="54">
        <v>45811</v>
      </c>
      <c r="X123" s="69" t="s">
        <v>2084</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2081</v>
      </c>
      <c r="S124" s="43" t="s">
        <v>365</v>
      </c>
      <c r="T124" s="43" t="s">
        <v>365</v>
      </c>
      <c r="U124" s="43" t="s">
        <v>2087</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2081</v>
      </c>
      <c r="S125" s="43" t="s">
        <v>365</v>
      </c>
      <c r="T125" s="43" t="s">
        <v>365</v>
      </c>
      <c r="U125" s="43" t="s">
        <v>365</v>
      </c>
      <c r="V125" s="43" t="s">
        <v>365</v>
      </c>
      <c r="W125" s="54">
        <v>45814</v>
      </c>
      <c r="X125" s="69" t="s">
        <v>2084</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2081</v>
      </c>
      <c r="S126" s="43" t="s">
        <v>365</v>
      </c>
      <c r="T126" s="43" t="s">
        <v>365</v>
      </c>
      <c r="U126" s="43" t="s">
        <v>365</v>
      </c>
      <c r="V126" s="88" t="s">
        <v>365</v>
      </c>
      <c r="W126" s="54">
        <v>45819</v>
      </c>
      <c r="X126" s="69" t="s">
        <v>2084</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2081</v>
      </c>
      <c r="S127" s="43" t="s">
        <v>365</v>
      </c>
      <c r="T127" s="43" t="s">
        <v>365</v>
      </c>
      <c r="U127" s="43" t="s">
        <v>365</v>
      </c>
      <c r="V127" s="88" t="s">
        <v>365</v>
      </c>
      <c r="W127" s="54">
        <v>45812</v>
      </c>
      <c r="X127" s="69" t="s">
        <v>2084</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2081</v>
      </c>
      <c r="S128" s="43" t="s">
        <v>365</v>
      </c>
      <c r="T128" s="43" t="s">
        <v>365</v>
      </c>
      <c r="U128" s="43" t="s">
        <v>365</v>
      </c>
      <c r="V128" s="88" t="s">
        <v>365</v>
      </c>
      <c r="W128" s="166">
        <v>45883</v>
      </c>
      <c r="X128" s="69" t="s">
        <v>2084</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2081</v>
      </c>
      <c r="S129" s="43" t="s">
        <v>365</v>
      </c>
      <c r="T129" s="115" t="s">
        <v>365</v>
      </c>
      <c r="U129" s="115" t="s">
        <v>365</v>
      </c>
      <c r="V129" s="88" t="s">
        <v>365</v>
      </c>
      <c r="W129" s="166">
        <v>45814</v>
      </c>
      <c r="X129" s="69" t="s">
        <v>2084</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2081</v>
      </c>
      <c r="S130" s="43" t="s">
        <v>365</v>
      </c>
      <c r="T130" s="43" t="s">
        <v>365</v>
      </c>
      <c r="U130" s="43" t="s">
        <v>365</v>
      </c>
      <c r="V130" s="88" t="s">
        <v>365</v>
      </c>
      <c r="W130" s="54">
        <v>45798</v>
      </c>
      <c r="X130" s="69" t="s">
        <v>2084</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2081</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2081</v>
      </c>
      <c r="S132" s="43" t="s">
        <v>365</v>
      </c>
      <c r="T132" s="43" t="s">
        <v>365</v>
      </c>
      <c r="U132" s="43" t="s">
        <v>365</v>
      </c>
      <c r="V132" s="43" t="s">
        <v>365</v>
      </c>
      <c r="W132" s="54">
        <v>45820</v>
      </c>
      <c r="X132" s="69" t="s">
        <v>2084</v>
      </c>
      <c r="Y132" t="e">
        <f>VLOOKUP(A132,#REF!,2,FALSE)</f>
        <v>#REF!</v>
      </c>
    </row>
    <row r="133" spans="1:25" ht="15" customHeight="1">
      <c r="A133" s="358" t="s">
        <v>893</v>
      </c>
      <c r="B133" s="406" t="s">
        <v>50</v>
      </c>
      <c r="C133" s="367">
        <v>45742</v>
      </c>
      <c r="D133" s="419" t="s">
        <v>2088</v>
      </c>
      <c r="E133" s="361"/>
      <c r="F133" s="361"/>
      <c r="G133" s="361"/>
      <c r="H133" s="361">
        <v>38</v>
      </c>
      <c r="I133" s="360"/>
      <c r="J133" s="361" t="s">
        <v>57</v>
      </c>
      <c r="K133" s="361" t="s">
        <v>57</v>
      </c>
      <c r="L133" s="361" t="s">
        <v>63</v>
      </c>
      <c r="M133" s="49" t="s">
        <v>365</v>
      </c>
      <c r="N133" s="49" t="s">
        <v>365</v>
      </c>
      <c r="O133" s="54">
        <v>45701</v>
      </c>
      <c r="P133" s="30" t="s">
        <v>365</v>
      </c>
      <c r="Q133" s="69" t="s">
        <v>365</v>
      </c>
      <c r="R133" s="43" t="s">
        <v>2081</v>
      </c>
      <c r="S133" s="43" t="s">
        <v>365</v>
      </c>
      <c r="T133" s="43" t="s">
        <v>365</v>
      </c>
      <c r="U133" s="43" t="s">
        <v>365</v>
      </c>
      <c r="V133" s="69" t="s">
        <v>365</v>
      </c>
      <c r="W133" s="54">
        <v>45821</v>
      </c>
      <c r="X133" s="69" t="s">
        <v>2084</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2081</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2081</v>
      </c>
      <c r="S135" s="43" t="s">
        <v>365</v>
      </c>
      <c r="T135" s="43" t="s">
        <v>365</v>
      </c>
      <c r="U135" s="157" t="s">
        <v>365</v>
      </c>
      <c r="V135" s="43" t="s">
        <v>365</v>
      </c>
      <c r="W135" s="54">
        <v>45819</v>
      </c>
      <c r="X135" s="69" t="s">
        <v>2084</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2081</v>
      </c>
      <c r="S136" s="43" t="s">
        <v>365</v>
      </c>
      <c r="T136" s="43" t="s">
        <v>365</v>
      </c>
      <c r="U136" s="43" t="s">
        <v>365</v>
      </c>
      <c r="V136" s="43" t="s">
        <v>365</v>
      </c>
      <c r="W136" s="54">
        <v>45791</v>
      </c>
      <c r="X136" s="69" t="s">
        <v>2084</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2081</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2081</v>
      </c>
      <c r="S138" s="43" t="s">
        <v>365</v>
      </c>
      <c r="T138" s="43" t="s">
        <v>365</v>
      </c>
      <c r="U138" s="43" t="s">
        <v>365</v>
      </c>
      <c r="V138" s="43" t="s">
        <v>365</v>
      </c>
      <c r="W138" s="54">
        <v>45790</v>
      </c>
      <c r="X138" s="69" t="s">
        <v>2084</v>
      </c>
      <c r="Y138" t="e">
        <f>VLOOKUP(A138,#REF!,2,FALSE)</f>
        <v>#REF!</v>
      </c>
    </row>
    <row r="139" spans="1:25" ht="15" customHeight="1">
      <c r="A139" s="358" t="s">
        <v>2089</v>
      </c>
      <c r="B139" s="182" t="s">
        <v>50</v>
      </c>
      <c r="C139" s="408">
        <v>45742</v>
      </c>
      <c r="D139" s="361" t="s">
        <v>2090</v>
      </c>
      <c r="E139" s="521"/>
      <c r="F139" s="361"/>
      <c r="G139" s="361"/>
      <c r="H139" s="361">
        <v>87</v>
      </c>
      <c r="I139" s="360"/>
      <c r="J139" s="361" t="s">
        <v>57</v>
      </c>
      <c r="K139" s="361" t="s">
        <v>57</v>
      </c>
      <c r="L139" s="361" t="s">
        <v>63</v>
      </c>
      <c r="M139" s="49" t="s">
        <v>365</v>
      </c>
      <c r="N139" s="30" t="s">
        <v>365</v>
      </c>
      <c r="O139" s="30" t="s">
        <v>365</v>
      </c>
      <c r="P139" s="30" t="s">
        <v>365</v>
      </c>
      <c r="Q139" s="43" t="s">
        <v>365</v>
      </c>
      <c r="R139" s="43" t="s">
        <v>2081</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2081</v>
      </c>
      <c r="S140" s="43" t="s">
        <v>365</v>
      </c>
      <c r="T140" s="43" t="s">
        <v>365</v>
      </c>
      <c r="U140" s="88" t="s">
        <v>365</v>
      </c>
      <c r="V140" s="69" t="s">
        <v>365</v>
      </c>
      <c r="W140" s="54">
        <v>45819</v>
      </c>
      <c r="X140" s="69" t="s">
        <v>2084</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2081</v>
      </c>
      <c r="S141" s="43" t="s">
        <v>365</v>
      </c>
      <c r="T141" s="43" t="s">
        <v>365</v>
      </c>
      <c r="U141" s="88" t="s">
        <v>365</v>
      </c>
      <c r="V141" s="88" t="s">
        <v>365</v>
      </c>
      <c r="W141" s="54">
        <v>45811</v>
      </c>
      <c r="X141" s="69" t="s">
        <v>2084</v>
      </c>
      <c r="Y141" t="e">
        <f>VLOOKUP(A141,#REF!,2,FALSE)</f>
        <v>#REF!</v>
      </c>
    </row>
    <row r="142" spans="1:25" ht="15" customHeight="1">
      <c r="A142" s="358" t="s">
        <v>2091</v>
      </c>
      <c r="B142" s="406" t="s">
        <v>50</v>
      </c>
      <c r="C142" s="408">
        <v>45742</v>
      </c>
      <c r="D142" s="361" t="s">
        <v>2092</v>
      </c>
      <c r="E142" s="521"/>
      <c r="F142" s="361"/>
      <c r="G142" s="361"/>
      <c r="H142" s="361">
        <v>87</v>
      </c>
      <c r="I142" s="360"/>
      <c r="J142" s="361" t="s">
        <v>57</v>
      </c>
      <c r="K142" s="361" t="s">
        <v>57</v>
      </c>
      <c r="L142" s="361" t="s">
        <v>63</v>
      </c>
      <c r="M142" s="49" t="s">
        <v>365</v>
      </c>
      <c r="N142" s="49" t="s">
        <v>365</v>
      </c>
      <c r="O142" s="195">
        <v>45691</v>
      </c>
      <c r="P142" s="30" t="s">
        <v>365</v>
      </c>
      <c r="Q142" s="69" t="s">
        <v>365</v>
      </c>
      <c r="R142" s="43" t="s">
        <v>2081</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2081</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2084</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2054</v>
      </c>
      <c r="B146" s="406" t="s">
        <v>50</v>
      </c>
      <c r="C146" s="359">
        <v>45991</v>
      </c>
      <c r="D146" s="418" t="s">
        <v>2055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2093</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2081</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2081</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2081</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2081</v>
      </c>
      <c r="S153" s="43" t="s">
        <v>365</v>
      </c>
      <c r="T153" s="157" t="s">
        <v>365</v>
      </c>
      <c r="U153" s="157" t="s">
        <v>365</v>
      </c>
      <c r="V153" s="43" t="s">
        <v>365</v>
      </c>
      <c r="W153" s="54">
        <v>45807</v>
      </c>
      <c r="X153" s="69" t="s">
        <v>2084</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2081</v>
      </c>
      <c r="S154" s="43" t="s">
        <v>365</v>
      </c>
      <c r="T154" s="157" t="s">
        <v>365</v>
      </c>
      <c r="U154" s="157" t="s">
        <v>365</v>
      </c>
      <c r="V154" s="43" t="s">
        <v>365</v>
      </c>
      <c r="W154" s="166">
        <v>45792</v>
      </c>
      <c r="X154" s="148" t="s">
        <v>2084</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2081</v>
      </c>
      <c r="S155" s="43" t="s">
        <v>365</v>
      </c>
      <c r="T155" s="43" t="s">
        <v>365</v>
      </c>
      <c r="U155" s="157" t="s">
        <v>365</v>
      </c>
      <c r="V155" s="43" t="s">
        <v>365</v>
      </c>
      <c r="W155" s="356">
        <v>45821</v>
      </c>
      <c r="X155" s="69" t="s">
        <v>2084</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2081</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2062</v>
      </c>
      <c r="E157" s="704"/>
      <c r="F157" s="419"/>
      <c r="G157" s="419"/>
      <c r="H157" s="419">
        <v>79</v>
      </c>
      <c r="I157" s="360"/>
      <c r="J157" s="361" t="s">
        <v>57</v>
      </c>
      <c r="K157" s="553" t="s">
        <v>57</v>
      </c>
      <c r="L157" s="361" t="s">
        <v>63</v>
      </c>
      <c r="M157" s="195">
        <v>45735</v>
      </c>
      <c r="N157" s="30" t="s">
        <v>64</v>
      </c>
      <c r="O157" s="54">
        <v>45737</v>
      </c>
      <c r="P157" s="49" t="s">
        <v>64</v>
      </c>
      <c r="Q157" s="69" t="s">
        <v>64</v>
      </c>
      <c r="R157" s="69" t="s">
        <v>2081</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2081</v>
      </c>
      <c r="S158" s="43" t="s">
        <v>365</v>
      </c>
      <c r="T158" s="43" t="s">
        <v>365</v>
      </c>
      <c r="U158" s="157" t="s">
        <v>365</v>
      </c>
      <c r="V158" s="157" t="s">
        <v>365</v>
      </c>
      <c r="W158" s="356">
        <v>45817</v>
      </c>
      <c r="X158" s="69" t="s">
        <v>2084</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2084</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2084</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2084</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2084</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2084</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2094</v>
      </c>
      <c r="C1" s="1440"/>
      <c r="D1" s="558"/>
      <c r="E1" s="1440" t="s">
        <v>2095</v>
      </c>
      <c r="F1" s="1440"/>
    </row>
    <row r="2" spans="1:25">
      <c r="B2" s="44" t="s">
        <v>2096</v>
      </c>
      <c r="E2" s="44" t="s">
        <v>22</v>
      </c>
      <c r="F2" t="s">
        <v>1061</v>
      </c>
      <c r="P2" s="44" t="s">
        <v>27</v>
      </c>
      <c r="Q2" t="s">
        <v>2097</v>
      </c>
    </row>
    <row r="3" spans="1:25">
      <c r="B3" s="44" t="s">
        <v>22</v>
      </c>
      <c r="C3" t="s">
        <v>1067</v>
      </c>
      <c r="K3" s="44" t="s">
        <v>2098</v>
      </c>
      <c r="L3" t="s">
        <v>2099</v>
      </c>
      <c r="P3" s="44" t="s">
        <v>2098</v>
      </c>
      <c r="Q3" t="s">
        <v>2099</v>
      </c>
    </row>
    <row r="4" spans="1:25">
      <c r="B4" t="s">
        <v>126</v>
      </c>
      <c r="C4">
        <v>69424</v>
      </c>
      <c r="E4" s="44" t="s">
        <v>2096</v>
      </c>
      <c r="F4" t="s">
        <v>1067</v>
      </c>
      <c r="W4" t="s">
        <v>2100</v>
      </c>
      <c r="X4">
        <v>22</v>
      </c>
    </row>
    <row r="5" spans="1:25">
      <c r="B5" t="s">
        <v>72</v>
      </c>
      <c r="C5">
        <v>28636</v>
      </c>
      <c r="E5" t="s">
        <v>1067</v>
      </c>
      <c r="F5">
        <v>111826</v>
      </c>
      <c r="K5" s="44" t="s">
        <v>2101</v>
      </c>
      <c r="P5" s="44" t="s">
        <v>2101</v>
      </c>
      <c r="W5" t="s">
        <v>2102</v>
      </c>
      <c r="X5">
        <v>13</v>
      </c>
    </row>
    <row r="6" spans="1:25">
      <c r="B6" t="s">
        <v>1094</v>
      </c>
      <c r="C6">
        <v>208773</v>
      </c>
      <c r="K6" s="44" t="s">
        <v>27</v>
      </c>
      <c r="L6" s="44" t="s">
        <v>2103</v>
      </c>
      <c r="M6" t="s">
        <v>1067</v>
      </c>
      <c r="P6" s="44" t="s">
        <v>2104</v>
      </c>
      <c r="Q6" s="44" t="s">
        <v>2103</v>
      </c>
      <c r="R6" t="s">
        <v>1067</v>
      </c>
    </row>
    <row r="7" spans="1:25">
      <c r="B7" t="s">
        <v>51</v>
      </c>
      <c r="C7">
        <v>446</v>
      </c>
      <c r="K7" t="s">
        <v>2097</v>
      </c>
      <c r="L7" t="s">
        <v>677</v>
      </c>
      <c r="M7">
        <v>1</v>
      </c>
      <c r="P7" t="s">
        <v>2105</v>
      </c>
      <c r="R7">
        <v>1</v>
      </c>
      <c r="X7" t="s">
        <v>2106</v>
      </c>
      <c r="Y7" t="s">
        <v>2107</v>
      </c>
    </row>
    <row r="8" spans="1:25">
      <c r="B8" t="s">
        <v>22</v>
      </c>
      <c r="C8">
        <v>0</v>
      </c>
      <c r="L8" t="s">
        <v>679</v>
      </c>
      <c r="M8">
        <v>1</v>
      </c>
      <c r="P8" t="s">
        <v>2108</v>
      </c>
      <c r="R8">
        <v>1</v>
      </c>
      <c r="V8" t="s">
        <v>2109</v>
      </c>
      <c r="W8" s="257">
        <v>203521</v>
      </c>
      <c r="X8" s="313">
        <f>X5/X4</f>
        <v>0.59090909090909094</v>
      </c>
      <c r="Y8" s="313">
        <f>W9/W8</f>
        <v>0.31446386367991508</v>
      </c>
    </row>
    <row r="9" spans="1:25">
      <c r="B9" t="s">
        <v>215</v>
      </c>
      <c r="C9">
        <v>7128</v>
      </c>
      <c r="L9" t="s">
        <v>2110</v>
      </c>
      <c r="M9">
        <v>1</v>
      </c>
      <c r="P9" t="s">
        <v>2111</v>
      </c>
      <c r="Q9" t="s">
        <v>2110</v>
      </c>
      <c r="R9">
        <v>1</v>
      </c>
      <c r="V9" t="s">
        <v>2112</v>
      </c>
      <c r="W9">
        <v>64000</v>
      </c>
    </row>
    <row r="10" spans="1:25">
      <c r="B10" t="s">
        <v>226</v>
      </c>
      <c r="C10">
        <v>29359</v>
      </c>
      <c r="L10" t="s">
        <v>837</v>
      </c>
      <c r="M10">
        <v>1</v>
      </c>
      <c r="Q10" t="s">
        <v>841</v>
      </c>
      <c r="R10">
        <v>1</v>
      </c>
    </row>
    <row r="11" spans="1:25">
      <c r="B11" t="s">
        <v>196</v>
      </c>
      <c r="C11">
        <v>103</v>
      </c>
      <c r="L11" t="s">
        <v>841</v>
      </c>
      <c r="M11">
        <v>1</v>
      </c>
      <c r="Q11" t="s">
        <v>844</v>
      </c>
      <c r="R11">
        <v>1</v>
      </c>
    </row>
    <row r="12" spans="1:25">
      <c r="B12" t="s">
        <v>138</v>
      </c>
      <c r="C12">
        <v>13766</v>
      </c>
      <c r="L12" t="s">
        <v>844</v>
      </c>
      <c r="M12">
        <v>1</v>
      </c>
      <c r="Q12" t="s">
        <v>2113</v>
      </c>
      <c r="R12">
        <v>1</v>
      </c>
    </row>
    <row r="13" spans="1:25">
      <c r="B13" t="s">
        <v>172</v>
      </c>
      <c r="C13">
        <v>3</v>
      </c>
      <c r="L13" t="s">
        <v>2114</v>
      </c>
      <c r="M13">
        <v>1</v>
      </c>
      <c r="Q13" t="s">
        <v>1018</v>
      </c>
      <c r="R13">
        <v>1</v>
      </c>
    </row>
    <row r="14" spans="1:25">
      <c r="B14" t="s">
        <v>67</v>
      </c>
      <c r="C14">
        <v>3796</v>
      </c>
      <c r="L14" t="s">
        <v>858</v>
      </c>
      <c r="M14">
        <v>1</v>
      </c>
      <c r="P14" t="s">
        <v>2115</v>
      </c>
      <c r="R14">
        <v>5</v>
      </c>
    </row>
    <row r="15" spans="1:25">
      <c r="B15" t="s">
        <v>2116</v>
      </c>
      <c r="C15">
        <v>6182</v>
      </c>
      <c r="L15" t="s">
        <v>2113</v>
      </c>
      <c r="M15">
        <v>1</v>
      </c>
      <c r="P15" t="s">
        <v>1094</v>
      </c>
      <c r="R15">
        <v>12</v>
      </c>
    </row>
    <row r="16" spans="1:25">
      <c r="B16" t="s">
        <v>2117</v>
      </c>
      <c r="C16">
        <v>3834</v>
      </c>
      <c r="L16" t="s">
        <v>860</v>
      </c>
      <c r="M16">
        <v>1</v>
      </c>
      <c r="P16" t="s">
        <v>1064</v>
      </c>
      <c r="R16">
        <v>19</v>
      </c>
    </row>
    <row r="17" spans="2:13">
      <c r="B17" t="s">
        <v>60</v>
      </c>
      <c r="C17">
        <v>831</v>
      </c>
      <c r="L17" t="s">
        <v>864</v>
      </c>
      <c r="M17">
        <v>1</v>
      </c>
    </row>
    <row r="18" spans="2:13">
      <c r="B18" t="s">
        <v>268</v>
      </c>
      <c r="C18">
        <v>8622</v>
      </c>
      <c r="L18" t="s">
        <v>866</v>
      </c>
      <c r="M18">
        <v>1</v>
      </c>
    </row>
    <row r="19" spans="2:13">
      <c r="B19" t="s">
        <v>212</v>
      </c>
      <c r="C19">
        <v>0</v>
      </c>
      <c r="L19" t="s">
        <v>870</v>
      </c>
      <c r="M19">
        <v>1</v>
      </c>
    </row>
    <row r="20" spans="2:13">
      <c r="B20" t="s">
        <v>1064</v>
      </c>
      <c r="C20">
        <v>380903</v>
      </c>
      <c r="L20" t="s">
        <v>874</v>
      </c>
      <c r="M20">
        <v>1</v>
      </c>
    </row>
    <row r="21" spans="2:13">
      <c r="L21" t="s">
        <v>2118</v>
      </c>
      <c r="M21">
        <v>1</v>
      </c>
    </row>
    <row r="22" spans="2:13">
      <c r="L22" t="s">
        <v>1018</v>
      </c>
      <c r="M22">
        <v>1</v>
      </c>
    </row>
    <row r="23" spans="2:13">
      <c r="L23" t="s">
        <v>906</v>
      </c>
      <c r="M23">
        <v>1</v>
      </c>
    </row>
    <row r="24" spans="2:13">
      <c r="L24" t="s">
        <v>929</v>
      </c>
      <c r="M24">
        <v>1</v>
      </c>
    </row>
    <row r="25" spans="2:13">
      <c r="L25" t="s">
        <v>168</v>
      </c>
      <c r="M25">
        <v>1</v>
      </c>
    </row>
    <row r="26" spans="2:13">
      <c r="K26" t="s">
        <v>2119</v>
      </c>
      <c r="M26">
        <v>19</v>
      </c>
    </row>
    <row r="27" spans="2:13">
      <c r="K27" t="s">
        <v>2120</v>
      </c>
      <c r="L27" t="s">
        <v>852</v>
      </c>
      <c r="M27">
        <v>1</v>
      </c>
    </row>
    <row r="28" spans="2:13">
      <c r="L28" t="s">
        <v>854</v>
      </c>
      <c r="M28">
        <v>1</v>
      </c>
    </row>
    <row r="29" spans="2:13">
      <c r="L29" t="s">
        <v>856</v>
      </c>
      <c r="M29">
        <v>1</v>
      </c>
    </row>
    <row r="30" spans="2:13">
      <c r="L30" t="s">
        <v>872</v>
      </c>
      <c r="M30">
        <v>1</v>
      </c>
    </row>
    <row r="31" spans="2:13">
      <c r="L31" t="s">
        <v>876</v>
      </c>
      <c r="M31">
        <v>1</v>
      </c>
    </row>
    <row r="32" spans="2:13">
      <c r="L32" t="s">
        <v>2121</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2122</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2123</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2124</v>
      </c>
      <c r="S2" s="3" t="s">
        <v>2007</v>
      </c>
      <c r="T2" s="264" t="s">
        <v>2008</v>
      </c>
      <c r="U2" s="264" t="s">
        <v>2008</v>
      </c>
      <c r="V2" s="264" t="s">
        <v>2008</v>
      </c>
      <c r="W2" s="264" t="s">
        <v>2008</v>
      </c>
      <c r="X2" s="264" t="s">
        <v>2009</v>
      </c>
      <c r="Y2" s="264" t="s">
        <v>2125</v>
      </c>
    </row>
    <row r="3" spans="1:26" ht="15.75" thickBot="1">
      <c r="A3" s="263" t="s">
        <v>2103</v>
      </c>
      <c r="B3" s="259" t="s">
        <v>20</v>
      </c>
      <c r="C3" s="259" t="s">
        <v>2126</v>
      </c>
      <c r="D3" s="259" t="s">
        <v>26</v>
      </c>
      <c r="E3" s="259" t="s">
        <v>2098</v>
      </c>
      <c r="F3" s="259" t="s">
        <v>2127</v>
      </c>
      <c r="G3" s="259" t="s">
        <v>27</v>
      </c>
      <c r="H3" s="207" t="s">
        <v>28</v>
      </c>
      <c r="I3" s="207" t="s">
        <v>2128</v>
      </c>
      <c r="J3" s="207" t="s">
        <v>2129</v>
      </c>
      <c r="K3" s="207" t="s">
        <v>2130</v>
      </c>
      <c r="L3" s="207" t="s">
        <v>2084</v>
      </c>
      <c r="M3" s="207" t="s">
        <v>2131</v>
      </c>
      <c r="N3" s="207" t="s">
        <v>2132</v>
      </c>
      <c r="O3" s="206" t="s">
        <v>2012</v>
      </c>
      <c r="P3" s="260" t="s">
        <v>2104</v>
      </c>
      <c r="Q3" s="261" t="s">
        <v>34</v>
      </c>
      <c r="R3" s="261" t="s">
        <v>2128</v>
      </c>
      <c r="S3" s="5" t="s">
        <v>2013</v>
      </c>
      <c r="T3" s="261" t="s">
        <v>2133</v>
      </c>
      <c r="U3" s="261" t="s">
        <v>43</v>
      </c>
      <c r="V3" s="261" t="s">
        <v>2014</v>
      </c>
      <c r="W3" s="261" t="s">
        <v>46</v>
      </c>
      <c r="X3" s="261" t="s">
        <v>668</v>
      </c>
      <c r="Y3" s="261" t="s">
        <v>2134</v>
      </c>
      <c r="Z3" s="312" t="s">
        <v>2135</v>
      </c>
    </row>
    <row r="4" spans="1:26" ht="15.75" thickBot="1">
      <c r="A4" s="121" t="s">
        <v>78</v>
      </c>
      <c r="B4" s="102" t="s">
        <v>50</v>
      </c>
      <c r="C4" s="77">
        <v>45807</v>
      </c>
      <c r="D4" s="268"/>
      <c r="E4" s="269" t="s">
        <v>2136</v>
      </c>
      <c r="F4" s="268"/>
      <c r="G4" s="270" t="s">
        <v>2097</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2054</v>
      </c>
      <c r="B5" s="102" t="s">
        <v>50</v>
      </c>
      <c r="C5" s="215">
        <v>45807</v>
      </c>
      <c r="D5" s="268"/>
      <c r="E5" s="269" t="s">
        <v>2136</v>
      </c>
      <c r="F5" s="268"/>
      <c r="G5" s="270" t="s">
        <v>2097</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1091</v>
      </c>
      <c r="B6" s="102" t="s">
        <v>50</v>
      </c>
      <c r="C6" s="215">
        <v>45807</v>
      </c>
      <c r="D6" s="268"/>
      <c r="E6" s="269" t="s">
        <v>2136</v>
      </c>
      <c r="F6" s="268"/>
      <c r="G6" s="270" t="s">
        <v>2097</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1108</v>
      </c>
      <c r="B7" s="102" t="s">
        <v>50</v>
      </c>
      <c r="C7" s="215">
        <v>45807</v>
      </c>
      <c r="D7" s="268"/>
      <c r="E7" s="269" t="s">
        <v>2136</v>
      </c>
      <c r="F7" s="268"/>
      <c r="G7" s="270" t="s">
        <v>2097</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2097</v>
      </c>
      <c r="H8" s="268"/>
      <c r="I8" s="268"/>
      <c r="J8" s="279"/>
      <c r="K8" s="205"/>
      <c r="L8" s="205"/>
      <c r="M8" s="205"/>
      <c r="N8" s="272"/>
      <c r="O8" s="273"/>
      <c r="P8" s="274" t="s">
        <v>2108</v>
      </c>
      <c r="Q8" s="275" t="s">
        <v>2140</v>
      </c>
      <c r="R8" s="131" t="s">
        <v>2141</v>
      </c>
      <c r="S8" s="131"/>
      <c r="T8" s="276"/>
      <c r="U8" s="277"/>
      <c r="V8" s="277"/>
      <c r="W8" s="277"/>
      <c r="X8" s="277"/>
      <c r="Y8" s="277"/>
      <c r="Z8" t="e">
        <f>VLOOKUP(A8,#REF!,9,FALSE)</f>
        <v>#REF!</v>
      </c>
    </row>
    <row r="9" spans="1:26" ht="15.75" thickBot="1">
      <c r="A9" s="121" t="s">
        <v>1116</v>
      </c>
      <c r="B9" s="102" t="s">
        <v>50</v>
      </c>
      <c r="C9" s="215">
        <v>45807</v>
      </c>
      <c r="D9" s="280"/>
      <c r="E9" s="269" t="s">
        <v>2136</v>
      </c>
      <c r="F9" s="280"/>
      <c r="G9" s="281" t="s">
        <v>2097</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1093</v>
      </c>
      <c r="B10" s="102" t="s">
        <v>50</v>
      </c>
      <c r="C10" s="215" t="e">
        <v>#N/A</v>
      </c>
      <c r="D10" s="282"/>
      <c r="E10" s="269" t="s">
        <v>2136</v>
      </c>
      <c r="F10" s="282"/>
      <c r="G10" s="283" t="s">
        <v>2097</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512</v>
      </c>
      <c r="B11" s="102" t="s">
        <v>50</v>
      </c>
      <c r="C11" s="215">
        <v>45807</v>
      </c>
      <c r="D11" s="282"/>
      <c r="E11" s="269" t="s">
        <v>2136</v>
      </c>
      <c r="F11" s="282"/>
      <c r="G11" s="283" t="s">
        <v>2097</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1088</v>
      </c>
      <c r="B12" s="102" t="s">
        <v>50</v>
      </c>
      <c r="C12" s="215" t="e">
        <v>#N/A</v>
      </c>
      <c r="D12" s="282"/>
      <c r="E12" s="269" t="s">
        <v>2136</v>
      </c>
      <c r="F12" s="282"/>
      <c r="G12" s="283" t="s">
        <v>2097</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1114</v>
      </c>
      <c r="B13" s="102" t="s">
        <v>50</v>
      </c>
      <c r="C13" s="215" t="e">
        <v>#N/A</v>
      </c>
      <c r="D13" s="282"/>
      <c r="E13" s="269" t="s">
        <v>2136</v>
      </c>
      <c r="F13" s="282"/>
      <c r="G13" s="283" t="s">
        <v>2097</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508</v>
      </c>
      <c r="B14" s="102" t="s">
        <v>50</v>
      </c>
      <c r="C14" s="215">
        <v>45807</v>
      </c>
      <c r="D14" s="282"/>
      <c r="E14" s="269" t="s">
        <v>2136</v>
      </c>
      <c r="F14" s="282"/>
      <c r="G14" s="283" t="s">
        <v>2097</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1092</v>
      </c>
      <c r="B15" s="102" t="s">
        <v>50</v>
      </c>
      <c r="C15" s="215" t="e">
        <v>#N/A</v>
      </c>
      <c r="D15" s="282"/>
      <c r="E15" s="269" t="s">
        <v>2136</v>
      </c>
      <c r="F15" s="282"/>
      <c r="G15" s="283" t="s">
        <v>2097</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2097</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929</v>
      </c>
      <c r="B17" s="102" t="s">
        <v>50</v>
      </c>
      <c r="C17" s="215" t="e">
        <v>#N/A</v>
      </c>
      <c r="D17" s="282"/>
      <c r="E17" s="269" t="s">
        <v>2099</v>
      </c>
      <c r="F17" s="282"/>
      <c r="G17" s="283" t="s">
        <v>2097</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906</v>
      </c>
      <c r="B18" s="102" t="s">
        <v>50</v>
      </c>
      <c r="C18" s="215">
        <v>45807</v>
      </c>
      <c r="D18" s="282"/>
      <c r="E18" s="269" t="s">
        <v>2099</v>
      </c>
      <c r="F18" s="282"/>
      <c r="G18" s="283" t="s">
        <v>2097</v>
      </c>
      <c r="H18" s="230"/>
      <c r="I18" s="230"/>
      <c r="J18" s="45"/>
      <c r="K18" s="204"/>
      <c r="L18" s="204"/>
      <c r="M18" s="204"/>
      <c r="N18" s="284"/>
      <c r="O18" s="285"/>
      <c r="P18" s="274" t="s">
        <v>2105</v>
      </c>
      <c r="Q18" s="275"/>
      <c r="R18" s="131" t="s">
        <v>2138</v>
      </c>
      <c r="S18" s="131"/>
      <c r="T18" s="276"/>
      <c r="U18" s="277"/>
      <c r="V18" s="277"/>
      <c r="W18" s="277"/>
      <c r="X18" s="277"/>
      <c r="Y18" s="277"/>
      <c r="Z18" t="e">
        <f>VLOOKUP(A18,#REF!,9,FALSE)</f>
        <v>#REF!</v>
      </c>
    </row>
    <row r="19" spans="1:26" ht="15.75" thickBot="1">
      <c r="A19" s="275" t="s">
        <v>909</v>
      </c>
      <c r="B19" s="102" t="s">
        <v>50</v>
      </c>
      <c r="C19" s="215" t="e">
        <v>#N/A</v>
      </c>
      <c r="D19" s="282"/>
      <c r="E19" s="269" t="s">
        <v>2099</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852</v>
      </c>
      <c r="B20" s="102" t="s">
        <v>50</v>
      </c>
      <c r="C20" s="215" t="e">
        <v>#N/A</v>
      </c>
      <c r="D20" s="282"/>
      <c r="E20" s="269" t="s">
        <v>2099</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2114</v>
      </c>
      <c r="B21" s="102" t="e">
        <v>#N/A</v>
      </c>
      <c r="C21" s="231">
        <v>45807</v>
      </c>
      <c r="D21" s="282"/>
      <c r="E21" s="269" t="s">
        <v>2099</v>
      </c>
      <c r="F21" s="282"/>
      <c r="G21" s="283" t="s">
        <v>2097</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854</v>
      </c>
      <c r="B22" s="102" t="s">
        <v>50</v>
      </c>
      <c r="C22" s="215" t="e">
        <v>#N/A</v>
      </c>
      <c r="D22" s="282"/>
      <c r="E22" s="269" t="s">
        <v>2099</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837</v>
      </c>
      <c r="B23" s="102" t="s">
        <v>50</v>
      </c>
      <c r="C23" s="215" t="e">
        <v>#N/A</v>
      </c>
      <c r="D23" s="282"/>
      <c r="E23" s="269" t="s">
        <v>2099</v>
      </c>
      <c r="F23" s="282"/>
      <c r="G23" s="283" t="s">
        <v>2097</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2110</v>
      </c>
      <c r="B24" s="232" t="e">
        <v>#N/A</v>
      </c>
      <c r="C24" s="231">
        <v>45716</v>
      </c>
      <c r="D24" s="282"/>
      <c r="E24" s="269" t="s">
        <v>2099</v>
      </c>
      <c r="F24" s="282"/>
      <c r="G24" s="283" t="s">
        <v>2097</v>
      </c>
      <c r="H24" s="230"/>
      <c r="I24" s="230"/>
      <c r="J24" s="230"/>
      <c r="K24" s="229"/>
      <c r="L24" s="229"/>
      <c r="M24" s="229"/>
      <c r="N24" s="284"/>
      <c r="O24" s="285"/>
      <c r="P24" s="274" t="s">
        <v>2111</v>
      </c>
      <c r="Q24" s="225" t="s">
        <v>64</v>
      </c>
      <c r="R24" s="131" t="s">
        <v>2138</v>
      </c>
      <c r="S24" s="228"/>
      <c r="T24" s="227"/>
      <c r="U24" s="226"/>
      <c r="V24" s="226"/>
      <c r="W24" s="226"/>
      <c r="X24" s="226"/>
      <c r="Y24" s="226" t="s">
        <v>2144</v>
      </c>
      <c r="Z24" t="e">
        <f>VLOOKUP(A24,#REF!,9,FALSE)</f>
        <v>#REF!</v>
      </c>
    </row>
    <row r="25" spans="1:26" ht="15.75" thickBot="1">
      <c r="A25" s="275" t="s">
        <v>841</v>
      </c>
      <c r="B25" s="102" t="s">
        <v>50</v>
      </c>
      <c r="C25" s="215">
        <v>45772</v>
      </c>
      <c r="D25" s="282"/>
      <c r="E25" s="269" t="s">
        <v>2099</v>
      </c>
      <c r="F25" s="282"/>
      <c r="G25" s="283" t="s">
        <v>2097</v>
      </c>
      <c r="H25" s="230"/>
      <c r="I25" s="230"/>
      <c r="J25" s="45"/>
      <c r="K25" s="204"/>
      <c r="L25" s="204"/>
      <c r="M25" s="204"/>
      <c r="N25" s="284"/>
      <c r="O25" s="285"/>
      <c r="P25" s="274" t="s">
        <v>2111</v>
      </c>
      <c r="Q25" s="275" t="s">
        <v>64</v>
      </c>
      <c r="R25" s="131" t="s">
        <v>2138</v>
      </c>
      <c r="S25" s="131"/>
      <c r="T25" s="276"/>
      <c r="U25" s="277"/>
      <c r="V25" s="277"/>
      <c r="W25" s="277"/>
      <c r="X25" s="277"/>
      <c r="Y25" s="277"/>
      <c r="Z25" t="e">
        <f>VLOOKUP(A25,#REF!,9,FALSE)</f>
        <v>#REF!</v>
      </c>
    </row>
    <row r="26" spans="1:26" ht="15.75" thickBot="1">
      <c r="A26" s="275" t="s">
        <v>844</v>
      </c>
      <c r="B26" s="102" t="s">
        <v>50</v>
      </c>
      <c r="C26" s="215">
        <v>45772</v>
      </c>
      <c r="D26" s="282"/>
      <c r="E26" s="269" t="s">
        <v>2099</v>
      </c>
      <c r="F26" s="282"/>
      <c r="G26" s="283" t="s">
        <v>2097</v>
      </c>
      <c r="H26" s="230"/>
      <c r="I26" s="230"/>
      <c r="J26" s="45"/>
      <c r="K26" s="204"/>
      <c r="L26" s="204"/>
      <c r="M26" s="204"/>
      <c r="N26" s="284"/>
      <c r="O26" s="285"/>
      <c r="P26" s="274" t="s">
        <v>2111</v>
      </c>
      <c r="Q26" s="275" t="s">
        <v>64</v>
      </c>
      <c r="R26" s="131" t="s">
        <v>2138</v>
      </c>
      <c r="S26" s="131"/>
      <c r="T26" s="276"/>
      <c r="U26" s="277"/>
      <c r="V26" s="277"/>
      <c r="W26" s="277"/>
      <c r="X26" s="277"/>
      <c r="Y26" s="277"/>
      <c r="Z26" t="e">
        <f>VLOOKUP(A26,#REF!,9,FALSE)</f>
        <v>#REF!</v>
      </c>
    </row>
    <row r="27" spans="1:26" ht="15.75" thickBot="1">
      <c r="A27" s="275" t="s">
        <v>1018</v>
      </c>
      <c r="B27" s="102" t="s">
        <v>50</v>
      </c>
      <c r="C27" s="215">
        <v>45772</v>
      </c>
      <c r="D27" s="282"/>
      <c r="E27" s="269" t="s">
        <v>2099</v>
      </c>
      <c r="F27" s="282"/>
      <c r="G27" s="283" t="s">
        <v>2097</v>
      </c>
      <c r="H27" s="230"/>
      <c r="I27" s="230"/>
      <c r="J27" s="45"/>
      <c r="K27" s="204"/>
      <c r="L27" s="204"/>
      <c r="M27" s="204"/>
      <c r="N27" s="284"/>
      <c r="O27" s="285"/>
      <c r="P27" s="274" t="s">
        <v>2111</v>
      </c>
      <c r="Q27" s="275" t="s">
        <v>64</v>
      </c>
      <c r="R27" s="131" t="s">
        <v>2138</v>
      </c>
      <c r="S27" s="131"/>
      <c r="T27" s="276"/>
      <c r="U27" s="277"/>
      <c r="V27" s="277"/>
      <c r="W27" s="277"/>
      <c r="X27" s="277"/>
      <c r="Y27" s="277"/>
      <c r="Z27" t="e">
        <f>VLOOKUP(A27,#REF!,9,FALSE)</f>
        <v>#REF!</v>
      </c>
    </row>
    <row r="28" spans="1:26" ht="70.150000000000006" customHeight="1" thickBot="1">
      <c r="A28" s="225" t="s">
        <v>2113</v>
      </c>
      <c r="B28" s="232"/>
      <c r="C28" s="231"/>
      <c r="D28" s="282"/>
      <c r="E28" s="269" t="s">
        <v>2099</v>
      </c>
      <c r="F28" s="282"/>
      <c r="G28" s="283" t="s">
        <v>2097</v>
      </c>
      <c r="H28" s="230"/>
      <c r="I28" s="230"/>
      <c r="J28" s="230"/>
      <c r="K28" s="229"/>
      <c r="L28" s="229"/>
      <c r="M28" s="229"/>
      <c r="N28" s="284"/>
      <c r="O28" s="285"/>
      <c r="P28" s="274" t="s">
        <v>2111</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2099</v>
      </c>
      <c r="F29" s="282"/>
      <c r="G29" s="283" t="s">
        <v>2097</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872</v>
      </c>
      <c r="B30" s="102" t="s">
        <v>50</v>
      </c>
      <c r="C30" s="215">
        <v>45772</v>
      </c>
      <c r="D30" s="282"/>
      <c r="E30" s="269" t="s">
        <v>2099</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2099</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876</v>
      </c>
      <c r="B32" s="102" t="s">
        <v>50</v>
      </c>
      <c r="C32" s="215">
        <v>45772</v>
      </c>
      <c r="D32" s="282"/>
      <c r="E32" s="269" t="s">
        <v>2099</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864</v>
      </c>
      <c r="B33" s="102" t="s">
        <v>50</v>
      </c>
      <c r="C33" s="215">
        <v>45831</v>
      </c>
      <c r="D33" s="282"/>
      <c r="E33" s="269" t="s">
        <v>2099</v>
      </c>
      <c r="F33" s="282"/>
      <c r="G33" s="283" t="s">
        <v>2097</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858</v>
      </c>
      <c r="B34" s="102" t="s">
        <v>50</v>
      </c>
      <c r="C34" s="215">
        <v>45831</v>
      </c>
      <c r="D34" s="282"/>
      <c r="E34" s="269" t="s">
        <v>2099</v>
      </c>
      <c r="F34" s="282"/>
      <c r="G34" s="283" t="s">
        <v>2097</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860</v>
      </c>
      <c r="B35" s="102" t="s">
        <v>50</v>
      </c>
      <c r="C35" s="215">
        <v>45831</v>
      </c>
      <c r="D35" s="282"/>
      <c r="E35" s="269" t="s">
        <v>2099</v>
      </c>
      <c r="F35" s="282"/>
      <c r="G35" s="283" t="s">
        <v>2097</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856</v>
      </c>
      <c r="B36" s="102" t="s">
        <v>50</v>
      </c>
      <c r="C36" s="215">
        <v>45772</v>
      </c>
      <c r="D36" s="282"/>
      <c r="E36" s="269" t="s">
        <v>2099</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866</v>
      </c>
      <c r="B37" s="102" t="s">
        <v>50</v>
      </c>
      <c r="C37" s="215">
        <v>45831</v>
      </c>
      <c r="D37" s="282"/>
      <c r="E37" s="269" t="s">
        <v>2099</v>
      </c>
      <c r="F37" s="282"/>
      <c r="G37" s="283" t="s">
        <v>2097</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870</v>
      </c>
      <c r="B38" s="102" t="s">
        <v>50</v>
      </c>
      <c r="C38" s="215">
        <v>45831</v>
      </c>
      <c r="D38" s="282"/>
      <c r="E38" s="269" t="s">
        <v>2099</v>
      </c>
      <c r="F38" s="282"/>
      <c r="G38" s="283" t="s">
        <v>2097</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2099</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874</v>
      </c>
      <c r="B40" s="102" t="s">
        <v>50</v>
      </c>
      <c r="C40" s="215">
        <v>45831</v>
      </c>
      <c r="D40" s="282"/>
      <c r="E40" s="269" t="s">
        <v>2099</v>
      </c>
      <c r="F40" s="282"/>
      <c r="G40" s="283" t="s">
        <v>2097</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2097</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2097</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515</v>
      </c>
      <c r="B43" s="102" t="s">
        <v>50</v>
      </c>
      <c r="C43" s="215">
        <v>45807</v>
      </c>
      <c r="D43" s="282"/>
      <c r="E43" s="269" t="s">
        <v>2136</v>
      </c>
      <c r="F43" s="282"/>
      <c r="G43" s="283" t="s">
        <v>2097</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2097</v>
      </c>
      <c r="H44" s="230"/>
      <c r="I44" s="230"/>
      <c r="J44" s="45"/>
      <c r="K44" s="204"/>
      <c r="L44" s="204"/>
      <c r="M44" s="204"/>
      <c r="N44" s="284"/>
      <c r="O44" s="285"/>
      <c r="P44" s="274" t="s">
        <v>2105</v>
      </c>
      <c r="Q44" s="275" t="s">
        <v>64</v>
      </c>
      <c r="R44" s="131" t="s">
        <v>2138</v>
      </c>
      <c r="S44" s="131"/>
      <c r="T44" s="276"/>
      <c r="U44" s="277"/>
      <c r="V44" s="277"/>
      <c r="W44" s="277"/>
      <c r="X44" s="277"/>
      <c r="Y44" s="277"/>
      <c r="Z44" t="e">
        <f>VLOOKUP(A44,#REF!,9,FALSE)</f>
        <v>#REF!</v>
      </c>
    </row>
    <row r="45" spans="1:26" ht="15.75" thickBot="1">
      <c r="A45" s="335" t="s">
        <v>677</v>
      </c>
      <c r="B45" s="102" t="s">
        <v>50</v>
      </c>
      <c r="C45" s="215">
        <v>45807</v>
      </c>
      <c r="D45" s="282"/>
      <c r="E45" s="269" t="s">
        <v>2099</v>
      </c>
      <c r="F45" s="282"/>
      <c r="G45" s="283" t="s">
        <v>2097</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679</v>
      </c>
      <c r="B46" s="102" t="s">
        <v>50</v>
      </c>
      <c r="C46" s="215">
        <v>45807</v>
      </c>
      <c r="D46" s="282"/>
      <c r="E46" s="269" t="s">
        <v>2099</v>
      </c>
      <c r="F46" s="282"/>
      <c r="G46" s="290" t="s">
        <v>2097</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2099</v>
      </c>
      <c r="F47" s="282"/>
      <c r="G47" s="283" t="s">
        <v>2097</v>
      </c>
      <c r="H47" s="230"/>
      <c r="I47" s="230"/>
      <c r="J47" s="45"/>
      <c r="K47" s="204"/>
      <c r="L47" s="204"/>
      <c r="M47" s="204"/>
      <c r="N47" s="284"/>
      <c r="O47" s="285"/>
      <c r="P47" s="274" t="s">
        <v>2108</v>
      </c>
      <c r="Q47" s="275" t="s">
        <v>58</v>
      </c>
      <c r="R47" s="131" t="s">
        <v>2141</v>
      </c>
      <c r="S47" s="131"/>
      <c r="T47" s="276"/>
      <c r="U47" s="277"/>
      <c r="V47" s="277"/>
      <c r="W47" s="277"/>
      <c r="X47" s="277"/>
      <c r="Y47" s="277"/>
      <c r="Z47" t="e">
        <f>VLOOKUP(A47,#REF!,9,FALSE)</f>
        <v>#REF!</v>
      </c>
    </row>
    <row r="48" spans="1:26" ht="15.75" thickBot="1">
      <c r="A48" s="292" t="s">
        <v>728</v>
      </c>
      <c r="B48" s="102" t="s">
        <v>50</v>
      </c>
      <c r="C48" s="215">
        <v>45807</v>
      </c>
      <c r="D48" s="282"/>
      <c r="E48" s="269" t="s">
        <v>2099</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722</v>
      </c>
      <c r="B49" s="102" t="s">
        <v>106</v>
      </c>
      <c r="C49" s="215">
        <v>45772</v>
      </c>
      <c r="D49" s="282"/>
      <c r="E49" s="269" t="s">
        <v>2099</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720</v>
      </c>
      <c r="B50" s="102" t="s">
        <v>106</v>
      </c>
      <c r="C50" s="215">
        <v>45772</v>
      </c>
      <c r="D50" s="282"/>
      <c r="E50" s="269" t="s">
        <v>2099</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726</v>
      </c>
      <c r="B51" s="102" t="e">
        <v>#N/A</v>
      </c>
      <c r="C51" s="215" t="e">
        <v>#N/A</v>
      </c>
      <c r="D51" s="282"/>
      <c r="E51" s="269" t="s">
        <v>2099</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702</v>
      </c>
      <c r="B52" s="102" t="s">
        <v>106</v>
      </c>
      <c r="C52" s="215">
        <v>45925</v>
      </c>
      <c r="D52" s="282"/>
      <c r="E52" s="269" t="s">
        <v>2136</v>
      </c>
      <c r="F52" s="282"/>
      <c r="G52" s="283" t="s">
        <v>2097</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704</v>
      </c>
      <c r="B53" s="102" t="s">
        <v>106</v>
      </c>
      <c r="C53" s="215">
        <v>45925</v>
      </c>
      <c r="D53" s="282"/>
      <c r="E53" s="269" t="s">
        <v>2136</v>
      </c>
      <c r="F53" s="282"/>
      <c r="G53" s="283" t="s">
        <v>2097</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700</v>
      </c>
      <c r="B54" s="102" t="s">
        <v>106</v>
      </c>
      <c r="C54" s="215">
        <v>45925</v>
      </c>
      <c r="D54" s="282"/>
      <c r="E54" s="269" t="s">
        <v>2136</v>
      </c>
      <c r="F54" s="282"/>
      <c r="G54" s="283" t="s">
        <v>2097</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752</v>
      </c>
      <c r="B55" s="102" t="s">
        <v>106</v>
      </c>
      <c r="C55" s="215">
        <v>45862</v>
      </c>
      <c r="D55" s="282"/>
      <c r="E55" s="269" t="s">
        <v>2136</v>
      </c>
      <c r="F55" s="282"/>
      <c r="G55" s="283" t="s">
        <v>2097</v>
      </c>
      <c r="H55" s="230"/>
      <c r="I55" s="230"/>
      <c r="J55" s="45"/>
      <c r="K55" s="204"/>
      <c r="L55" s="204"/>
      <c r="M55" s="204"/>
      <c r="N55" s="284"/>
      <c r="O55" s="285"/>
      <c r="P55" s="274" t="s">
        <v>2108</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2097</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2097</v>
      </c>
      <c r="H57" s="230"/>
      <c r="I57" s="230"/>
      <c r="J57" s="45"/>
      <c r="K57" s="204"/>
      <c r="L57" s="204"/>
      <c r="M57" s="204"/>
      <c r="N57" s="284"/>
      <c r="O57" s="285"/>
      <c r="P57" s="274" t="s">
        <v>2108</v>
      </c>
      <c r="Q57" s="275" t="s">
        <v>2150</v>
      </c>
      <c r="R57" s="131" t="s">
        <v>2141</v>
      </c>
      <c r="S57" s="131"/>
      <c r="T57" s="276"/>
      <c r="U57" s="277"/>
      <c r="V57" s="277"/>
      <c r="W57" s="277"/>
      <c r="X57" s="277"/>
      <c r="Y57" s="277"/>
      <c r="Z57" t="e">
        <f>VLOOKUP(A57,#REF!,9,FALSE)</f>
        <v>#REF!</v>
      </c>
    </row>
    <row r="58" spans="1:26" ht="15.75" thickBot="1">
      <c r="A58" s="622" t="s">
        <v>700</v>
      </c>
      <c r="B58" s="102" t="s">
        <v>50</v>
      </c>
      <c r="C58" s="296">
        <v>45807</v>
      </c>
      <c r="D58" s="282"/>
      <c r="E58" s="269" t="s">
        <v>2099</v>
      </c>
      <c r="F58" s="282"/>
      <c r="G58" s="283" t="s">
        <v>2097</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702</v>
      </c>
      <c r="B59" s="102" t="s">
        <v>106</v>
      </c>
      <c r="C59" s="296">
        <v>45772</v>
      </c>
      <c r="D59" s="282"/>
      <c r="E59" s="269" t="s">
        <v>2099</v>
      </c>
      <c r="F59" s="282"/>
      <c r="G59" s="283" t="s">
        <v>2097</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704</v>
      </c>
      <c r="B60" s="102" t="s">
        <v>106</v>
      </c>
      <c r="C60" s="296">
        <v>45772</v>
      </c>
      <c r="D60" s="282"/>
      <c r="E60" s="269" t="s">
        <v>2099</v>
      </c>
      <c r="F60" s="282"/>
      <c r="G60" s="283" t="s">
        <v>2097</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2084</v>
      </c>
      <c r="B71" s="301">
        <f>SUM(L4:L9)</f>
        <v>0</v>
      </c>
      <c r="C71" s="302" t="e">
        <f>B71/B73</f>
        <v>#DIV/0!</v>
      </c>
    </row>
    <row r="72" spans="1:25">
      <c r="A72" s="300" t="s">
        <v>2131</v>
      </c>
      <c r="B72" s="301">
        <f>SUM(M4:M9)</f>
        <v>0</v>
      </c>
      <c r="C72" s="302" t="e">
        <f>B72/B73</f>
        <v>#DIV/0!</v>
      </c>
    </row>
    <row r="73" spans="1:25">
      <c r="A73" s="300" t="s">
        <v>1067</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0890E9D-4734-4B1C-8D56-3670FC1E5A5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2026-01-05T19:54:46Z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