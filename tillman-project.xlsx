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81" documentId="8_{E14B221E-02E2-46A3-8CEC-C736815F2DD5}" xr6:coauthVersionLast="47" xr6:coauthVersionMax="47" xr10:uidLastSave="{9CEB79DF-6D98-4F5E-B448-8FE01F1AE67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42" r:id="rId12"/>
    <pivotCache cacheId="645" r:id="rId13"/>
    <pivotCache cacheId="648" r:id="rId14"/>
    <pivotCache cacheId="651"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<sst xmlns="http://schemas.openxmlformats.org/spreadsheetml/2006/main" count="15641" uniqueCount="2018">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</sst>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34" fillId="22" borderId="21" xfId="0" applyFont="1" applyFill="1" applyBorder="1" applyAlignment="1">
      <alignment horizontal="left"/>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16" fillId="23" borderId="21" xfId="0" applyFont="1" applyFill="1" applyBorder="1"/>
    <xf numFmtId="0" fontId="0" fillId="23" borderId="20" xfId="0"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 activePane="topRight" state="frozen"/>
      <selection pane="topRight" activeCell="AD4" sqref="AD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459</v>
      </c>
      <c r="X4" s="485">
        <f t="shared" si="0"/>
        <v>3337</v>
      </c>
      <c r="Y4" s="681">
        <f t="shared" si="1"/>
        <v>0.12091675447839831</v>
      </c>
      <c r="Z4" s="1032">
        <v>45996</v>
      </c>
      <c r="AA4" s="366">
        <v>0</v>
      </c>
      <c r="AB4" s="366">
        <v>0</v>
      </c>
      <c r="AC4" s="661">
        <v>0</v>
      </c>
      <c r="AD4" s="1229"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0">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0">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0">
        <v>2969</v>
      </c>
      <c r="X42" s="485">
        <f t="shared" si="3"/>
        <v>2084</v>
      </c>
      <c r="Y42" s="681">
        <f t="shared" si="4"/>
        <v>0.587571739560657</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7">
        <v>5279</v>
      </c>
      <c r="X63" s="485">
        <f>SUM(V63-W63)</f>
        <v>2786</v>
      </c>
      <c r="Y63" s="889">
        <f t="shared" si="4"/>
        <v>0.65455672659640418</v>
      </c>
      <c r="Z63" s="492">
        <v>45985</v>
      </c>
      <c r="AA63" s="366">
        <v>0</v>
      </c>
      <c r="AB63" s="366">
        <v>0</v>
      </c>
      <c r="AC63" s="485">
        <v>0</v>
      </c>
      <c r="AD63" s="1228"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0">
        <v>6786</v>
      </c>
      <c r="X103" s="485">
        <f t="shared" si="5"/>
        <v>340</v>
      </c>
      <c r="Y103" s="681">
        <f t="shared" si="6"/>
        <v>0.95228739825989339</v>
      </c>
      <c r="Z103" s="492">
        <v>45982</v>
      </c>
      <c r="AA103" s="366">
        <v>0</v>
      </c>
      <c r="AB103" s="366">
        <v>0</v>
      </c>
      <c r="AC103" s="41">
        <v>0</v>
      </c>
      <c r="AD103" s="1219"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D2253" s="43">
        <v>541</v>
      </c>
      <c r="F2253" s="43" t="s">
        <v>1872</v>
      </c>
      <c r="G2253" t="s">
        <v>1835</v>
      </c>
    </row>
    <row r="2254" spans="1:7">
      <c r="A2254" s="1217" t="s">
        <v>165</v>
      </c>
      <c r="B2254" s="1218" t="s">
        <v>166</v>
      </c>
      <c r="C2254" s="56">
        <v>46000</v>
      </c>
      <c r="G2254" t="s">
        <v>1835</v>
      </c>
    </row>
    <row r="2255" spans="1:7">
      <c r="A2255" s="1162" t="s">
        <v>136</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1960</v>
      </c>
      <c r="C1" s="1223"/>
      <c r="D1" s="574"/>
      <c r="E1" s="1223" t="s">
        <v>1961</v>
      </c>
      <c r="F1" s="1223"/>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197</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191</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1987</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191</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5F04209-B887-454D-A132-2105D14278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2025-12-09T17:12:12Z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