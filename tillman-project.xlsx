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76" documentId="8_{E14B221E-02E2-46A3-8CEC-C736815F2DD5}" xr6:coauthVersionLast="47" xr6:coauthVersionMax="47" xr10:uidLastSave="{2D05B169-5E2B-4DBC-89DE-3FFE95FCC75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6567" r:id="rId12"/>
    <pivotCache cacheId="6572" r:id="rId13"/>
    <pivotCache cacheId="6579" r:id="rId14"/>
    <pivotCache cacheId="6583" r:id="rId15"/>
    <pivotCache cacheId="65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<sst xmlns="http://schemas.openxmlformats.org/spreadsheetml/2006/main" count="17178" uniqueCount="2205">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</sst>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64814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08"/>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351"/>
    <x v="6"/>
    <x v="246"/>
    <m/>
    <m/>
    <m/>
  </r>
  <r>
    <x v="352"/>
    <x v="61"/>
    <x v="246"/>
    <m/>
    <m/>
    <m/>
  </r>
  <r>
    <x v="325"/>
    <x v="1"/>
    <x v="246"/>
    <m/>
    <m/>
    <m/>
  </r>
  <r>
    <x v="347"/>
    <x v="32"/>
    <x v="246"/>
    <m/>
    <m/>
    <m/>
  </r>
  <r>
    <x v="348"/>
    <x v="46"/>
    <x v="246"/>
    <m/>
    <m/>
    <m/>
  </r>
  <r>
    <x v="349"/>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6">
    <i>
      <x v="13"/>
    </i>
    <i>
      <x v="177"/>
    </i>
    <i>
      <x v="336"/>
    </i>
    <i>
      <x v="340"/>
    </i>
    <i>
      <x v="344"/>
    </i>
    <i>
      <x v="352"/>
    </i>
    <i>
      <x v="354"/>
    </i>
    <i>
      <x v="355"/>
    </i>
    <i>
      <x v="356"/>
    </i>
    <i>
      <x v="357"/>
    </i>
    <i>
      <x v="358"/>
    </i>
    <i>
      <x v="359"/>
    </i>
    <i>
      <x v="360"/>
    </i>
    <i>
      <x v="361"/>
    </i>
    <i>
      <x v="362"/>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U85" activePane="topRight" state="frozen"/>
      <selection pane="topRight" activeCell="X94" sqref="X9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2"/>
      <c r="I64" s="824" t="s">
        <v>55</v>
      </c>
      <c r="J64" s="827" t="s">
        <v>63</v>
      </c>
      <c r="K64" s="1503"/>
      <c r="L64" s="1330"/>
      <c r="M64" s="824" t="s">
        <v>57</v>
      </c>
      <c r="N64" s="1504">
        <v>36998.550000000003</v>
      </c>
      <c r="O64" s="824" t="s">
        <v>57</v>
      </c>
      <c r="P64" s="1224" t="s">
        <v>58</v>
      </c>
      <c r="Q64" s="1505"/>
      <c r="R64" s="1505"/>
      <c r="S64" s="1505"/>
      <c r="T64" s="1505"/>
      <c r="U64" s="1505"/>
      <c r="V64" s="1506">
        <v>2944</v>
      </c>
      <c r="W64" s="1507"/>
      <c r="X64" s="1507">
        <f>SUM(V64-W64)</f>
        <v>2944</v>
      </c>
      <c r="Y64" s="659">
        <f>IFERROR($W64/$V64, 0)</f>
        <v>0</v>
      </c>
      <c r="Z64" s="1508"/>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3"/>
      <c r="L74" s="1330"/>
      <c r="M74" s="1211" t="s">
        <v>57</v>
      </c>
      <c r="N74" s="1504">
        <v>118710.8</v>
      </c>
      <c r="O74" s="1211" t="s">
        <v>57</v>
      </c>
      <c r="P74" s="1193" t="s">
        <v>58</v>
      </c>
      <c r="Q74" s="1505"/>
      <c r="R74" s="1505"/>
      <c r="S74" s="1505"/>
      <c r="T74" s="1505"/>
      <c r="U74" s="1505"/>
      <c r="V74" s="1506">
        <v>9628</v>
      </c>
      <c r="W74" s="1507"/>
      <c r="X74" s="1507">
        <f>SUM(V74-W74)</f>
        <v>9628</v>
      </c>
      <c r="Y74" s="659">
        <f>IFERROR($W74/$V74, 0)</f>
        <v>0</v>
      </c>
      <c r="Z74" s="1505"/>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426">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2">
        <v>109</v>
      </c>
      <c r="I80" s="824" t="s">
        <v>55</v>
      </c>
      <c r="J80" s="827" t="s">
        <v>63</v>
      </c>
      <c r="K80" s="1503"/>
      <c r="L80" s="1330">
        <v>45663</v>
      </c>
      <c r="M80" s="1211" t="s">
        <v>57</v>
      </c>
      <c r="N80" s="1504">
        <v>123587.5</v>
      </c>
      <c r="O80" s="1502" t="s">
        <v>57</v>
      </c>
      <c r="P80" s="1509" t="s">
        <v>64</v>
      </c>
      <c r="Q80" s="1505">
        <v>46008</v>
      </c>
      <c r="R80" s="1505"/>
      <c r="S80" s="1505"/>
      <c r="T80" s="1505"/>
      <c r="U80" s="1505"/>
      <c r="V80" s="1506">
        <v>6825</v>
      </c>
      <c r="W80" s="1510">
        <v>3491</v>
      </c>
      <c r="X80" s="1507">
        <f>SUM(V80-W80)</f>
        <v>3334</v>
      </c>
      <c r="Y80" s="659">
        <f>IFERROR($W80/$V80, 0)</f>
        <v>0.51150183150183148</v>
      </c>
      <c r="Z80" s="1505">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26">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2">
        <v>0</v>
      </c>
      <c r="I86" s="824" t="s">
        <v>55</v>
      </c>
      <c r="J86" s="1191" t="s">
        <v>83</v>
      </c>
      <c r="K86" s="1191" t="s">
        <v>71</v>
      </c>
      <c r="L86" s="1330"/>
      <c r="M86" s="1211" t="s">
        <v>84</v>
      </c>
      <c r="N86" s="1222"/>
      <c r="O86" s="1211" t="s">
        <v>84</v>
      </c>
      <c r="P86" s="1224" t="s">
        <v>58</v>
      </c>
      <c r="Q86" s="1505"/>
      <c r="R86" s="1505"/>
      <c r="S86" s="1505"/>
      <c r="T86" s="1505"/>
      <c r="U86" s="1505"/>
      <c r="V86" s="1506">
        <v>6202</v>
      </c>
      <c r="W86" s="1507"/>
      <c r="X86" s="1507">
        <f>SUM(V86-W86)</f>
        <v>6202</v>
      </c>
      <c r="Y86" s="659">
        <f>IFERROR($W86/$V86, 0)</f>
        <v>0</v>
      </c>
      <c r="Z86" s="1508"/>
      <c r="AA86" s="1271">
        <v>0</v>
      </c>
      <c r="AB86" s="1271">
        <v>0</v>
      </c>
      <c r="AC86" s="1270">
        <v>0</v>
      </c>
      <c r="AD86" s="1198" t="s">
        <v>287</v>
      </c>
      <c r="AE86" s="1257"/>
    </row>
    <row r="87" spans="1:31" ht="24.75" customHeight="1">
      <c r="A87" s="1418" t="s">
        <v>288</v>
      </c>
      <c r="B87" s="1009" t="s">
        <v>274</v>
      </c>
      <c r="C87" s="1403">
        <v>46051</v>
      </c>
      <c r="D87" s="1329"/>
      <c r="E87" s="1330"/>
      <c r="F87" s="1329"/>
      <c r="G87" s="1210"/>
      <c r="H87" s="1502">
        <v>0</v>
      </c>
      <c r="I87" s="824" t="s">
        <v>55</v>
      </c>
      <c r="J87" s="1191" t="s">
        <v>83</v>
      </c>
      <c r="K87" s="1191" t="s">
        <v>71</v>
      </c>
      <c r="L87" s="1330"/>
      <c r="M87" s="1211" t="s">
        <v>84</v>
      </c>
      <c r="N87" s="1222"/>
      <c r="O87" s="1211" t="s">
        <v>84</v>
      </c>
      <c r="P87" s="1224" t="s">
        <v>58</v>
      </c>
      <c r="Q87" s="1505"/>
      <c r="R87" s="1505"/>
      <c r="S87" s="1505"/>
      <c r="T87" s="1505"/>
      <c r="U87" s="1505"/>
      <c r="V87" s="1511">
        <v>545</v>
      </c>
      <c r="W87" s="1512"/>
      <c r="X87" s="1512">
        <f>SUM(V87-W87)</f>
        <v>545</v>
      </c>
      <c r="Y87" s="654">
        <f>IFERROR($W87/$V87, 0)</f>
        <v>0</v>
      </c>
      <c r="Z87" s="1513"/>
      <c r="AA87" s="1271">
        <v>0</v>
      </c>
      <c r="AB87" s="1271">
        <v>0</v>
      </c>
      <c r="AC87" s="1270">
        <v>0</v>
      </c>
      <c r="AD87" s="1198" t="s">
        <v>287</v>
      </c>
      <c r="AE87" s="1257"/>
    </row>
    <row r="88" spans="1:31" ht="24.75" customHeight="1">
      <c r="A88" s="1418" t="s">
        <v>289</v>
      </c>
      <c r="B88" s="1009" t="s">
        <v>274</v>
      </c>
      <c r="C88" s="1403">
        <v>46051</v>
      </c>
      <c r="D88" s="1329"/>
      <c r="E88" s="1330"/>
      <c r="F88" s="1329"/>
      <c r="G88" s="1210"/>
      <c r="H88" s="1502">
        <v>0</v>
      </c>
      <c r="I88" s="824" t="s">
        <v>55</v>
      </c>
      <c r="J88" s="1191" t="s">
        <v>83</v>
      </c>
      <c r="K88" s="1191" t="s">
        <v>71</v>
      </c>
      <c r="L88" s="1330"/>
      <c r="M88" s="1211" t="s">
        <v>84</v>
      </c>
      <c r="N88" s="1222"/>
      <c r="O88" s="1211" t="s">
        <v>84</v>
      </c>
      <c r="P88" s="1224" t="s">
        <v>58</v>
      </c>
      <c r="Q88" s="1505"/>
      <c r="R88" s="1505"/>
      <c r="S88" s="1505"/>
      <c r="T88" s="1505"/>
      <c r="U88" s="1505"/>
      <c r="V88" s="1511">
        <v>1172</v>
      </c>
      <c r="W88" s="1512"/>
      <c r="X88" s="1512">
        <f>SUM(V88-W88)</f>
        <v>1172</v>
      </c>
      <c r="Y88" s="654">
        <f>IFERROR($W88/$V88, 0)</f>
        <v>0</v>
      </c>
      <c r="Z88" s="1513"/>
      <c r="AA88" s="1271">
        <v>0</v>
      </c>
      <c r="AB88" s="1271">
        <v>0</v>
      </c>
      <c r="AC88" s="1270">
        <v>0</v>
      </c>
      <c r="AD88" s="1198" t="s">
        <v>287</v>
      </c>
      <c r="AE88" s="1257"/>
    </row>
    <row r="89" spans="1:31" ht="24.75" customHeight="1">
      <c r="A89" s="1418" t="s">
        <v>290</v>
      </c>
      <c r="B89" s="1009" t="s">
        <v>274</v>
      </c>
      <c r="C89" s="1403">
        <v>46051</v>
      </c>
      <c r="D89" s="1329"/>
      <c r="E89" s="1330"/>
      <c r="F89" s="1329"/>
      <c r="G89" s="1210"/>
      <c r="H89" s="1502">
        <v>0</v>
      </c>
      <c r="I89" s="824" t="s">
        <v>55</v>
      </c>
      <c r="J89" s="1191" t="s">
        <v>83</v>
      </c>
      <c r="K89" s="1191" t="s">
        <v>71</v>
      </c>
      <c r="L89" s="1330"/>
      <c r="M89" s="1211" t="s">
        <v>84</v>
      </c>
      <c r="N89" s="1222"/>
      <c r="O89" s="1211" t="s">
        <v>84</v>
      </c>
      <c r="P89" s="1224" t="s">
        <v>58</v>
      </c>
      <c r="Q89" s="1505"/>
      <c r="R89" s="1505"/>
      <c r="S89" s="1505"/>
      <c r="T89" s="1505"/>
      <c r="U89" s="1505"/>
      <c r="V89" s="1511">
        <v>4184</v>
      </c>
      <c r="W89" s="1512"/>
      <c r="X89" s="1512">
        <f>SUM(V89-W89)</f>
        <v>4184</v>
      </c>
      <c r="Y89" s="654">
        <f>IFERROR($W89/$V89, 0)</f>
        <v>0</v>
      </c>
      <c r="Z89" s="1513"/>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07" t="s">
        <v>297</v>
      </c>
      <c r="B94" s="1139" t="s">
        <v>293</v>
      </c>
      <c r="C94" s="1372">
        <v>46052</v>
      </c>
      <c r="D94" s="968" t="s">
        <v>139</v>
      </c>
      <c r="E94" s="1278">
        <v>45993</v>
      </c>
      <c r="F94" s="1279" t="s">
        <v>144</v>
      </c>
      <c r="G94" s="1279" t="s">
        <v>298</v>
      </c>
      <c r="H94" s="1302">
        <v>89</v>
      </c>
      <c r="I94" s="969" t="s">
        <v>299</v>
      </c>
      <c r="J94" s="1265" t="s">
        <v>63</v>
      </c>
      <c r="K94" s="1303"/>
      <c r="L94" s="1278">
        <v>45993</v>
      </c>
      <c r="M94" s="1265" t="s">
        <v>57</v>
      </c>
      <c r="N94" s="1304">
        <v>93349.5</v>
      </c>
      <c r="O94" s="1284" t="s">
        <v>57</v>
      </c>
      <c r="P94" s="1346" t="s">
        <v>300</v>
      </c>
      <c r="Q94" s="1241">
        <v>45993</v>
      </c>
      <c r="R94" s="1286"/>
      <c r="S94" s="1286"/>
      <c r="T94" s="1286"/>
      <c r="U94" s="1286"/>
      <c r="V94" s="1306">
        <v>7828</v>
      </c>
      <c r="W94" s="1312">
        <v>7828</v>
      </c>
      <c r="X94" s="1306">
        <f>SUM(V94-W94)</f>
        <v>0</v>
      </c>
      <c r="Y94" s="1140">
        <f>IFERROR($W94/$V94, 0)</f>
        <v>1</v>
      </c>
      <c r="Z94" s="1241">
        <v>45994</v>
      </c>
      <c r="AA94" s="1271">
        <v>0</v>
      </c>
      <c r="AB94" s="1271">
        <v>1</v>
      </c>
      <c r="AC94" s="1270">
        <v>0</v>
      </c>
      <c r="AD94" s="1243" t="s">
        <v>301</v>
      </c>
      <c r="AE94" s="1252"/>
    </row>
    <row r="95" spans="1:31" ht="24.75" customHeight="1">
      <c r="A95" s="1313" t="s">
        <v>302</v>
      </c>
      <c r="B95" s="1139" t="s">
        <v>293</v>
      </c>
      <c r="C95" s="1372">
        <v>46052</v>
      </c>
      <c r="D95" s="968" t="s">
        <v>139</v>
      </c>
      <c r="E95" s="1278">
        <v>45959</v>
      </c>
      <c r="F95" s="1279" t="s">
        <v>144</v>
      </c>
      <c r="G95" s="1279" t="s">
        <v>303</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304</v>
      </c>
      <c r="AE95" s="1252"/>
    </row>
    <row r="96" spans="1:31" ht="24.75" customHeight="1">
      <c r="A96" s="1313" t="s">
        <v>305</v>
      </c>
      <c r="B96" s="1139" t="s">
        <v>293</v>
      </c>
      <c r="C96" s="1372">
        <v>46052</v>
      </c>
      <c r="D96" s="968" t="s">
        <v>139</v>
      </c>
      <c r="E96" s="1278">
        <v>45987</v>
      </c>
      <c r="F96" s="1279" t="s">
        <v>144</v>
      </c>
      <c r="G96" s="1279" t="s">
        <v>306</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307</v>
      </c>
      <c r="AE96" s="1252"/>
    </row>
    <row r="97" spans="1:31" ht="24.75" customHeight="1">
      <c r="A97" s="1313" t="s">
        <v>308</v>
      </c>
      <c r="B97" s="1139" t="s">
        <v>293</v>
      </c>
      <c r="C97" s="1372">
        <v>46052</v>
      </c>
      <c r="D97" s="968" t="s">
        <v>139</v>
      </c>
      <c r="E97" s="1278">
        <v>45987</v>
      </c>
      <c r="F97" s="1279" t="s">
        <v>144</v>
      </c>
      <c r="G97" s="1362" t="s">
        <v>309</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310</v>
      </c>
      <c r="AE97" s="1252"/>
    </row>
    <row r="98" spans="1:31" ht="24.75" customHeight="1">
      <c r="A98" s="1360" t="s">
        <v>311</v>
      </c>
      <c r="B98" s="1276" t="s">
        <v>293</v>
      </c>
      <c r="C98" s="1372">
        <v>46052</v>
      </c>
      <c r="D98" s="1361" t="s">
        <v>139</v>
      </c>
      <c r="E98" s="1277">
        <v>45987</v>
      </c>
      <c r="F98" s="1190" t="s">
        <v>144</v>
      </c>
      <c r="G98" s="1279" t="s">
        <v>312</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313</v>
      </c>
      <c r="AE98" s="1252"/>
    </row>
    <row r="99" spans="1:31" ht="24.75" customHeight="1">
      <c r="A99" s="1377" t="s">
        <v>314</v>
      </c>
      <c r="B99" s="1276" t="s">
        <v>293</v>
      </c>
      <c r="C99" s="1372">
        <v>46052</v>
      </c>
      <c r="D99" s="1361" t="s">
        <v>139</v>
      </c>
      <c r="E99" s="1277">
        <v>46027</v>
      </c>
      <c r="F99" s="1383" t="s">
        <v>315</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2">
        <v>3893</v>
      </c>
      <c r="X99" s="1393">
        <f t="shared" ref="X99:X102" si="10">SUM(V99-W99)</f>
        <v>1806</v>
      </c>
      <c r="Y99" s="1140">
        <f t="shared" ref="Y99:Y102" si="11">IFERROR($W99/$V99, 0)</f>
        <v>0.68310229864888572</v>
      </c>
      <c r="Z99" s="1514">
        <v>46034</v>
      </c>
      <c r="AA99" s="1271">
        <v>0</v>
      </c>
      <c r="AB99" s="1271">
        <v>0</v>
      </c>
      <c r="AC99" s="1270">
        <v>0</v>
      </c>
      <c r="AD99" s="1243" t="s">
        <v>316</v>
      </c>
      <c r="AE99" s="1252"/>
    </row>
    <row r="100" spans="1:31" ht="24.75" customHeight="1">
      <c r="A100" s="1377" t="s">
        <v>317</v>
      </c>
      <c r="B100" s="1276" t="s">
        <v>293</v>
      </c>
      <c r="C100" s="1372">
        <v>46052</v>
      </c>
      <c r="D100" s="1361" t="s">
        <v>139</v>
      </c>
      <c r="E100" s="1277">
        <v>46027</v>
      </c>
      <c r="F100" s="1383" t="s">
        <v>315</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5">
        <v>3433</v>
      </c>
      <c r="X100" s="1393">
        <f t="shared" si="10"/>
        <v>2999</v>
      </c>
      <c r="Y100" s="1140">
        <f t="shared" si="11"/>
        <v>0.53373756218905477</v>
      </c>
      <c r="Z100" s="1514">
        <v>46035</v>
      </c>
      <c r="AA100" s="1271">
        <v>0</v>
      </c>
      <c r="AB100" s="1271">
        <v>0</v>
      </c>
      <c r="AC100" s="1270">
        <v>0</v>
      </c>
      <c r="AD100" s="1243" t="s">
        <v>318</v>
      </c>
      <c r="AE100" s="1252"/>
    </row>
    <row r="101" spans="1:31" ht="24.75" customHeight="1">
      <c r="A101" s="1377" t="s">
        <v>319</v>
      </c>
      <c r="B101" s="1276" t="s">
        <v>293</v>
      </c>
      <c r="C101" s="1372">
        <v>46052</v>
      </c>
      <c r="D101" s="1361" t="s">
        <v>139</v>
      </c>
      <c r="E101" s="1277">
        <v>46027</v>
      </c>
      <c r="F101" s="1383" t="s">
        <v>315</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6">
        <v>4339</v>
      </c>
      <c r="X101" s="1251">
        <f t="shared" si="10"/>
        <v>2806</v>
      </c>
      <c r="Y101" s="870">
        <f t="shared" si="11"/>
        <v>0.60727781665500347</v>
      </c>
      <c r="Z101" s="1514">
        <v>46036</v>
      </c>
      <c r="AA101" s="1458">
        <v>0</v>
      </c>
      <c r="AB101" s="1271">
        <v>0</v>
      </c>
      <c r="AC101" s="1270">
        <v>0</v>
      </c>
      <c r="AD101" s="1243" t="s">
        <v>320</v>
      </c>
      <c r="AE101" s="1252"/>
    </row>
    <row r="102" spans="1:31" ht="24.75" customHeight="1">
      <c r="A102" s="1378" t="s">
        <v>321</v>
      </c>
      <c r="B102" s="1276" t="s">
        <v>293</v>
      </c>
      <c r="C102" s="1372">
        <v>46052</v>
      </c>
      <c r="D102" s="1361" t="s">
        <v>139</v>
      </c>
      <c r="E102" s="1379">
        <v>46027</v>
      </c>
      <c r="F102" s="1382" t="s">
        <v>315</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7">
        <v>3360</v>
      </c>
      <c r="X102" s="1251">
        <f t="shared" si="10"/>
        <v>3981</v>
      </c>
      <c r="Y102" s="870">
        <f t="shared" si="11"/>
        <v>0.45770331017572535</v>
      </c>
      <c r="Z102" s="1514">
        <v>46037</v>
      </c>
      <c r="AA102" s="1458">
        <v>0</v>
      </c>
      <c r="AB102" s="1271">
        <v>0</v>
      </c>
      <c r="AC102" s="1270">
        <v>0</v>
      </c>
      <c r="AD102" s="1243" t="s">
        <v>322</v>
      </c>
      <c r="AE102" s="1252"/>
    </row>
    <row r="103" spans="1:31" ht="24.75" customHeight="1">
      <c r="A103" s="1460" t="s">
        <v>323</v>
      </c>
      <c r="B103" s="1276" t="s">
        <v>293</v>
      </c>
      <c r="C103" s="1372">
        <v>46052</v>
      </c>
      <c r="D103" s="1361" t="s">
        <v>139</v>
      </c>
      <c r="E103" s="1277">
        <v>46027</v>
      </c>
      <c r="F103" s="1190" t="s">
        <v>144</v>
      </c>
      <c r="G103" s="1279"/>
      <c r="H103" s="1280">
        <v>0</v>
      </c>
      <c r="I103" s="657" t="s">
        <v>299</v>
      </c>
      <c r="J103" s="1284" t="s">
        <v>63</v>
      </c>
      <c r="K103" s="1386"/>
      <c r="L103" s="1277">
        <v>46027</v>
      </c>
      <c r="M103" s="1211" t="s">
        <v>57</v>
      </c>
      <c r="N103" s="1308">
        <v>18078.28</v>
      </c>
      <c r="O103" s="1365" t="s">
        <v>57</v>
      </c>
      <c r="P103" s="1309" t="s">
        <v>300</v>
      </c>
      <c r="Q103" s="1241">
        <v>46027</v>
      </c>
      <c r="R103" s="1479"/>
      <c r="S103" s="1350"/>
      <c r="T103" s="1391"/>
      <c r="U103" s="1350"/>
      <c r="V103" s="31">
        <v>1284</v>
      </c>
      <c r="W103" s="1518">
        <v>1277</v>
      </c>
      <c r="X103" s="1251">
        <f t="shared" ref="X103:X104" si="12">SUM(V103-W103)</f>
        <v>7</v>
      </c>
      <c r="Y103" s="870">
        <f t="shared" ref="Y103:Y104" si="13">IFERROR($W103/$V103, 0)</f>
        <v>0.99454828660436134</v>
      </c>
      <c r="Z103" s="1514">
        <v>46042</v>
      </c>
      <c r="AA103" s="1458">
        <v>0</v>
      </c>
      <c r="AB103" s="1271">
        <v>0</v>
      </c>
      <c r="AC103" s="1270">
        <v>0</v>
      </c>
      <c r="AD103" s="1243" t="s">
        <v>324</v>
      </c>
      <c r="AE103" s="1252"/>
    </row>
    <row r="104" spans="1:31" ht="24.75" customHeight="1">
      <c r="A104" s="1378" t="s">
        <v>325</v>
      </c>
      <c r="B104" s="1276" t="s">
        <v>293</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2">
        <v>2626</v>
      </c>
      <c r="X104" s="1459">
        <f t="shared" si="12"/>
        <v>1396</v>
      </c>
      <c r="Y104" s="1380">
        <f t="shared" si="13"/>
        <v>0.65290900049726508</v>
      </c>
      <c r="Z104" s="1519">
        <v>46037</v>
      </c>
      <c r="AA104" s="1271">
        <v>0</v>
      </c>
      <c r="AB104" s="1271">
        <v>0</v>
      </c>
      <c r="AC104" s="1270">
        <v>0</v>
      </c>
      <c r="AD104" s="1243" t="s">
        <v>326</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327</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328</v>
      </c>
      <c r="B108" s="1139" t="s">
        <v>329</v>
      </c>
      <c r="C108" s="1278">
        <v>46081</v>
      </c>
      <c r="D108" s="646" t="s">
        <v>330</v>
      </c>
      <c r="E108" s="1278">
        <v>46029</v>
      </c>
      <c r="F108" s="1279" t="s">
        <v>331</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332</v>
      </c>
      <c r="AE108" s="1252"/>
    </row>
    <row r="109" spans="1:31" ht="24.75" customHeight="1">
      <c r="A109" s="1279" t="s">
        <v>333</v>
      </c>
      <c r="B109" s="1139" t="s">
        <v>329</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334</v>
      </c>
      <c r="AE109" s="1252"/>
    </row>
    <row r="110" spans="1:31" ht="24.75" customHeight="1">
      <c r="A110" s="1279" t="s">
        <v>335</v>
      </c>
      <c r="B110" s="1139" t="s">
        <v>329</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334</v>
      </c>
      <c r="AE110" s="1252"/>
    </row>
    <row r="111" spans="1:31" ht="24.75" customHeight="1">
      <c r="A111" s="1279" t="s">
        <v>336</v>
      </c>
      <c r="B111" s="1139" t="s">
        <v>329</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334</v>
      </c>
      <c r="AE111" s="1252"/>
    </row>
    <row r="112" spans="1:31" ht="24.75" customHeight="1">
      <c r="A112" s="1279" t="s">
        <v>337</v>
      </c>
      <c r="B112" s="1139" t="s">
        <v>329</v>
      </c>
      <c r="C112" s="1278">
        <v>46081</v>
      </c>
      <c r="D112" s="646" t="s">
        <v>330</v>
      </c>
      <c r="E112" s="1278">
        <v>46029</v>
      </c>
      <c r="F112" s="1279" t="s">
        <v>331</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332</v>
      </c>
      <c r="AE112" s="1252"/>
    </row>
    <row r="113" spans="1:31" ht="24.75" customHeight="1">
      <c r="A113" s="1279" t="s">
        <v>338</v>
      </c>
      <c r="B113" s="1139" t="s">
        <v>329</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339</v>
      </c>
      <c r="AE113" s="1252"/>
    </row>
    <row r="114" spans="1:31" ht="24.75" customHeight="1">
      <c r="A114" s="1279" t="s">
        <v>340</v>
      </c>
      <c r="B114" s="1139" t="s">
        <v>329</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341</v>
      </c>
      <c r="AE114" s="1252"/>
    </row>
    <row r="115" spans="1:31" ht="24.75" customHeight="1">
      <c r="A115" s="1279" t="s">
        <v>342</v>
      </c>
      <c r="B115" s="1139" t="s">
        <v>329</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341</v>
      </c>
      <c r="AE115" s="1252"/>
    </row>
    <row r="116" spans="1:31" ht="24.75" customHeight="1">
      <c r="A116" s="1279" t="s">
        <v>343</v>
      </c>
      <c r="B116" s="1139" t="s">
        <v>329</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334</v>
      </c>
      <c r="AE116" s="1252"/>
    </row>
    <row r="117" spans="1:31" ht="24.75" customHeight="1">
      <c r="A117" s="1371" t="s">
        <v>344</v>
      </c>
      <c r="B117" s="1139" t="s">
        <v>329</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4"/>
      <c r="R117" s="1350"/>
      <c r="S117" s="1350"/>
      <c r="T117" s="1350"/>
      <c r="U117" s="1350"/>
      <c r="V117" s="1251">
        <v>8641</v>
      </c>
      <c r="W117" s="1512"/>
      <c r="X117" s="1251">
        <v>8641</v>
      </c>
      <c r="Y117" s="870">
        <f t="shared" si="14"/>
        <v>0</v>
      </c>
      <c r="Z117" s="1351"/>
      <c r="AA117" s="1271">
        <v>0</v>
      </c>
      <c r="AB117" s="1271">
        <v>0</v>
      </c>
      <c r="AC117" s="1270">
        <v>0</v>
      </c>
      <c r="AD117" s="1243" t="s">
        <v>334</v>
      </c>
      <c r="AE117" s="1252"/>
    </row>
    <row r="118" spans="1:31" ht="24.75" customHeight="1">
      <c r="A118" s="1371" t="s">
        <v>345</v>
      </c>
      <c r="B118" s="1139" t="s">
        <v>329</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0"/>
      <c r="R118" s="1352"/>
      <c r="S118" s="1352"/>
      <c r="T118" s="1352"/>
      <c r="U118" s="1352"/>
      <c r="V118" s="1354">
        <v>7502</v>
      </c>
      <c r="W118" s="1521"/>
      <c r="X118" s="1354">
        <v>7502</v>
      </c>
      <c r="Y118" s="878">
        <f t="shared" si="14"/>
        <v>0</v>
      </c>
      <c r="Z118" s="1353"/>
      <c r="AA118" s="1271">
        <v>0</v>
      </c>
      <c r="AB118" s="1271">
        <v>0</v>
      </c>
      <c r="AC118" s="1270">
        <v>0</v>
      </c>
      <c r="AD118" s="1243" t="s">
        <v>334</v>
      </c>
      <c r="AE118" s="1252"/>
    </row>
    <row r="119" spans="1:31" ht="24.75" customHeight="1">
      <c r="A119" s="1371" t="s">
        <v>346</v>
      </c>
      <c r="B119" s="1139" t="s">
        <v>329</v>
      </c>
      <c r="C119" s="1278">
        <v>46081</v>
      </c>
      <c r="D119" s="646" t="s">
        <v>330</v>
      </c>
      <c r="E119" s="1278">
        <v>46029</v>
      </c>
      <c r="F119" s="1371" t="s">
        <v>331</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1"/>
      <c r="X119" s="1354">
        <v>3682</v>
      </c>
      <c r="Y119" s="878">
        <f t="shared" si="14"/>
        <v>0</v>
      </c>
      <c r="Z119" s="1353"/>
      <c r="AA119" s="1271">
        <v>0</v>
      </c>
      <c r="AB119" s="1271">
        <v>0</v>
      </c>
      <c r="AC119" s="1270">
        <v>0</v>
      </c>
      <c r="AD119" s="1243" t="s">
        <v>347</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S57" activePane="topRight" state="frozen"/>
      <selection pane="topRight" activeCell="A24" sqref="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349</v>
      </c>
      <c r="B2" s="826" t="s">
        <v>186</v>
      </c>
      <c r="C2" s="467">
        <v>45960</v>
      </c>
      <c r="D2" s="467" t="s">
        <v>350</v>
      </c>
      <c r="E2" s="467">
        <v>45897</v>
      </c>
      <c r="F2" s="465" t="s">
        <v>210</v>
      </c>
      <c r="G2" s="679"/>
      <c r="H2" s="469">
        <v>0</v>
      </c>
      <c r="I2" s="658" t="s">
        <v>299</v>
      </c>
      <c r="J2" s="469" t="s">
        <v>63</v>
      </c>
      <c r="K2" s="469"/>
      <c r="L2" s="467">
        <v>45891</v>
      </c>
      <c r="M2" s="469" t="s">
        <v>57</v>
      </c>
      <c r="N2" s="541">
        <v>184994.5</v>
      </c>
      <c r="O2" s="469" t="s">
        <v>57</v>
      </c>
      <c r="P2" s="623" t="s">
        <v>300</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351</v>
      </c>
    </row>
    <row r="3" spans="1:30" ht="39.75" customHeight="1">
      <c r="A3" s="921" t="s">
        <v>352</v>
      </c>
      <c r="B3" s="826" t="s">
        <v>186</v>
      </c>
      <c r="C3" s="467">
        <v>45960</v>
      </c>
      <c r="D3" s="467" t="s">
        <v>353</v>
      </c>
      <c r="E3" s="467">
        <v>45909</v>
      </c>
      <c r="F3" s="467" t="s">
        <v>188</v>
      </c>
      <c r="G3" s="679"/>
      <c r="H3" s="469">
        <v>0</v>
      </c>
      <c r="I3" s="469" t="s">
        <v>299</v>
      </c>
      <c r="J3" s="469" t="s">
        <v>63</v>
      </c>
      <c r="K3" s="469"/>
      <c r="L3" s="467">
        <v>45905</v>
      </c>
      <c r="M3" s="469" t="s">
        <v>57</v>
      </c>
      <c r="N3" s="541">
        <v>98170.1</v>
      </c>
      <c r="O3" s="469" t="s">
        <v>57</v>
      </c>
      <c r="P3" s="623" t="s">
        <v>300</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354</v>
      </c>
    </row>
    <row r="4" spans="1:30" ht="39.75" customHeight="1">
      <c r="A4" s="921" t="s">
        <v>355</v>
      </c>
      <c r="B4" s="826" t="s">
        <v>186</v>
      </c>
      <c r="C4" s="467">
        <v>45960</v>
      </c>
      <c r="D4" s="467" t="s">
        <v>187</v>
      </c>
      <c r="E4" s="467">
        <v>45905</v>
      </c>
      <c r="F4" s="467" t="s">
        <v>188</v>
      </c>
      <c r="G4" s="679"/>
      <c r="H4" s="469">
        <v>0</v>
      </c>
      <c r="I4" s="658" t="s">
        <v>299</v>
      </c>
      <c r="J4" s="469" t="s">
        <v>63</v>
      </c>
      <c r="K4" s="478"/>
      <c r="L4" s="375">
        <v>45943</v>
      </c>
      <c r="M4" s="1093" t="s">
        <v>57</v>
      </c>
      <c r="N4" s="541">
        <v>2167.3000000000002</v>
      </c>
      <c r="O4" s="469" t="s">
        <v>57</v>
      </c>
      <c r="P4" s="623" t="s">
        <v>300</v>
      </c>
      <c r="Q4" s="471">
        <v>45908</v>
      </c>
      <c r="R4" s="471"/>
      <c r="S4" s="471"/>
      <c r="T4" s="471"/>
      <c r="U4" s="471"/>
      <c r="V4" s="416">
        <v>158</v>
      </c>
      <c r="W4" s="578">
        <v>429</v>
      </c>
      <c r="X4" s="106">
        <f>SUM(V4-W4)</f>
        <v>-271</v>
      </c>
      <c r="Y4" s="654">
        <f>IFERROR($W4/$V4, 0)</f>
        <v>2.7151898734177213</v>
      </c>
      <c r="Z4" s="72" t="s">
        <v>356</v>
      </c>
      <c r="AA4" s="355">
        <v>0</v>
      </c>
      <c r="AB4" s="355">
        <v>0</v>
      </c>
      <c r="AC4" s="41">
        <v>0</v>
      </c>
      <c r="AD4" s="1468" t="s">
        <v>357</v>
      </c>
    </row>
    <row r="5" spans="1:30" ht="39.75" customHeight="1">
      <c r="A5" s="837" t="s">
        <v>358</v>
      </c>
      <c r="B5" s="826" t="s">
        <v>186</v>
      </c>
      <c r="C5" s="467">
        <v>45991</v>
      </c>
      <c r="D5" s="476" t="s">
        <v>198</v>
      </c>
      <c r="E5" s="476">
        <v>45950</v>
      </c>
      <c r="F5" s="475" t="s">
        <v>199</v>
      </c>
      <c r="G5" s="823"/>
      <c r="H5" s="827">
        <v>82</v>
      </c>
      <c r="I5" s="824" t="s">
        <v>299</v>
      </c>
      <c r="J5" s="827" t="s">
        <v>63</v>
      </c>
      <c r="K5" s="486"/>
      <c r="L5" s="51">
        <v>45902</v>
      </c>
      <c r="M5" s="1094" t="s">
        <v>57</v>
      </c>
      <c r="N5" s="828">
        <v>87830</v>
      </c>
      <c r="O5" s="824" t="s">
        <v>57</v>
      </c>
      <c r="P5" s="623" t="s">
        <v>300</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359</v>
      </c>
    </row>
    <row r="6" spans="1:30" ht="39.75" customHeight="1">
      <c r="A6" s="921" t="s">
        <v>360</v>
      </c>
      <c r="B6" s="826" t="s">
        <v>186</v>
      </c>
      <c r="C6" s="467">
        <v>45989</v>
      </c>
      <c r="D6" s="476" t="s">
        <v>198</v>
      </c>
      <c r="E6" s="476">
        <v>45964</v>
      </c>
      <c r="F6" s="475" t="s">
        <v>199</v>
      </c>
      <c r="G6" s="823" t="s">
        <v>361</v>
      </c>
      <c r="H6" s="827">
        <v>74</v>
      </c>
      <c r="I6" s="469" t="s">
        <v>299</v>
      </c>
      <c r="J6" s="469" t="s">
        <v>63</v>
      </c>
      <c r="K6" s="469"/>
      <c r="L6" s="51">
        <v>45932</v>
      </c>
      <c r="M6" s="1094" t="s">
        <v>57</v>
      </c>
      <c r="N6" s="828">
        <v>47064</v>
      </c>
      <c r="O6" s="824" t="s">
        <v>57</v>
      </c>
      <c r="P6" s="623" t="s">
        <v>300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362</v>
      </c>
      <c r="B7" s="826" t="s">
        <v>186</v>
      </c>
      <c r="C7" s="467">
        <v>45960</v>
      </c>
      <c r="D7" s="476" t="s">
        <v>198</v>
      </c>
      <c r="E7" s="476">
        <v>45930</v>
      </c>
      <c r="F7" s="475" t="s">
        <v>199</v>
      </c>
      <c r="G7" s="823"/>
      <c r="H7" s="827">
        <v>80</v>
      </c>
      <c r="I7" s="824" t="s">
        <v>299</v>
      </c>
      <c r="J7" s="827" t="s">
        <v>63</v>
      </c>
      <c r="K7" s="824"/>
      <c r="L7" s="51">
        <v>45902</v>
      </c>
      <c r="M7" s="1094" t="s">
        <v>57</v>
      </c>
      <c r="N7" s="828">
        <v>90173</v>
      </c>
      <c r="O7" s="824" t="s">
        <v>57</v>
      </c>
      <c r="P7" s="623" t="s">
        <v>300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359</v>
      </c>
    </row>
    <row r="8" spans="1:30" ht="39.75" customHeight="1">
      <c r="A8" s="921" t="s">
        <v>363</v>
      </c>
      <c r="B8" s="826" t="s">
        <v>186</v>
      </c>
      <c r="C8" s="467">
        <v>45960</v>
      </c>
      <c r="D8" s="476" t="s">
        <v>209</v>
      </c>
      <c r="E8" s="476">
        <v>45950</v>
      </c>
      <c r="F8" s="475" t="s">
        <v>210</v>
      </c>
      <c r="G8" s="823"/>
      <c r="H8" s="827">
        <v>80</v>
      </c>
      <c r="I8" s="824" t="s">
        <v>299</v>
      </c>
      <c r="J8" s="827" t="s">
        <v>63</v>
      </c>
      <c r="K8" s="824"/>
      <c r="L8" s="1095">
        <v>45905</v>
      </c>
      <c r="M8" s="824" t="s">
        <v>57</v>
      </c>
      <c r="N8" s="828">
        <v>66674.3</v>
      </c>
      <c r="O8" s="824" t="s">
        <v>57</v>
      </c>
      <c r="P8" s="623" t="s">
        <v>300</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364</v>
      </c>
    </row>
    <row r="9" spans="1:30" ht="39.75" customHeight="1">
      <c r="A9" s="921" t="s">
        <v>365</v>
      </c>
      <c r="B9" s="826" t="s">
        <v>186</v>
      </c>
      <c r="C9" s="467">
        <v>45960</v>
      </c>
      <c r="D9" s="476" t="s">
        <v>209</v>
      </c>
      <c r="E9" s="476">
        <v>45937</v>
      </c>
      <c r="F9" s="475" t="s">
        <v>210</v>
      </c>
      <c r="G9" s="823"/>
      <c r="H9" s="827">
        <v>82</v>
      </c>
      <c r="I9" s="824" t="s">
        <v>299</v>
      </c>
      <c r="J9" s="827" t="s">
        <v>63</v>
      </c>
      <c r="K9" s="469"/>
      <c r="L9" s="476">
        <v>45903</v>
      </c>
      <c r="M9" s="824" t="s">
        <v>57</v>
      </c>
      <c r="N9" s="828">
        <v>93666.75</v>
      </c>
      <c r="O9" s="824" t="s">
        <v>57</v>
      </c>
      <c r="P9" s="623" t="s">
        <v>300</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359</v>
      </c>
    </row>
    <row r="10" spans="1:30" ht="39.75" customHeight="1">
      <c r="A10" s="921" t="s">
        <v>366</v>
      </c>
      <c r="B10" s="490" t="s">
        <v>186</v>
      </c>
      <c r="C10" s="467">
        <v>45991</v>
      </c>
      <c r="D10" s="475" t="s">
        <v>367</v>
      </c>
      <c r="E10" s="476">
        <v>45716</v>
      </c>
      <c r="F10" s="475" t="s">
        <v>199</v>
      </c>
      <c r="G10" s="477" t="s">
        <v>368</v>
      </c>
      <c r="H10" s="478">
        <v>44</v>
      </c>
      <c r="I10" s="483" t="s">
        <v>299</v>
      </c>
      <c r="J10" s="478" t="s">
        <v>63</v>
      </c>
      <c r="K10" s="478"/>
      <c r="L10" s="476">
        <v>45716</v>
      </c>
      <c r="M10" s="478" t="s">
        <v>57</v>
      </c>
      <c r="N10" s="542">
        <v>57973.5</v>
      </c>
      <c r="O10" s="478" t="s">
        <v>57</v>
      </c>
      <c r="P10" s="623" t="s">
        <v>300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369</v>
      </c>
      <c r="B11" s="826" t="s">
        <v>186</v>
      </c>
      <c r="C11" s="467">
        <v>45991</v>
      </c>
      <c r="D11" s="475" t="s">
        <v>198</v>
      </c>
      <c r="E11" s="476">
        <v>45880</v>
      </c>
      <c r="F11" s="475" t="s">
        <v>199</v>
      </c>
      <c r="G11" s="820" t="s">
        <v>370</v>
      </c>
      <c r="H11" s="478">
        <v>57</v>
      </c>
      <c r="I11" s="824" t="s">
        <v>299</v>
      </c>
      <c r="J11" s="478" t="s">
        <v>63</v>
      </c>
      <c r="K11" s="486"/>
      <c r="L11" s="476">
        <v>45863</v>
      </c>
      <c r="M11" s="478" t="s">
        <v>57</v>
      </c>
      <c r="N11" s="542">
        <v>49223.7</v>
      </c>
      <c r="O11" s="478" t="s">
        <v>57</v>
      </c>
      <c r="P11" s="623" t="s">
        <v>300</v>
      </c>
      <c r="Q11" s="479">
        <v>45863</v>
      </c>
      <c r="R11" s="479"/>
      <c r="S11" s="479"/>
      <c r="T11" s="479"/>
      <c r="U11" s="479"/>
      <c r="V11" s="472">
        <v>3394</v>
      </c>
      <c r="W11" s="507">
        <v>3394</v>
      </c>
      <c r="X11" s="472">
        <f t="shared" si="2"/>
        <v>0</v>
      </c>
      <c r="Y11" s="659">
        <f t="shared" si="3"/>
        <v>1</v>
      </c>
      <c r="Z11" s="479">
        <v>45916</v>
      </c>
      <c r="AA11" s="355">
        <v>1</v>
      </c>
      <c r="AB11" s="355">
        <v>1</v>
      </c>
      <c r="AC11" s="41">
        <v>0</v>
      </c>
      <c r="AD11" s="1468" t="s">
        <v>371</v>
      </c>
    </row>
    <row r="12" spans="1:30" ht="39.75" customHeight="1">
      <c r="A12" s="921" t="s">
        <v>372</v>
      </c>
      <c r="B12" s="826" t="s">
        <v>186</v>
      </c>
      <c r="C12" s="467">
        <v>45991</v>
      </c>
      <c r="D12" s="475" t="s">
        <v>198</v>
      </c>
      <c r="E12" s="476">
        <v>45880</v>
      </c>
      <c r="F12" s="475" t="s">
        <v>199</v>
      </c>
      <c r="G12" s="820" t="s">
        <v>373</v>
      </c>
      <c r="H12" s="478">
        <v>75</v>
      </c>
      <c r="I12" s="824" t="s">
        <v>299</v>
      </c>
      <c r="J12" s="478" t="s">
        <v>63</v>
      </c>
      <c r="K12" s="486"/>
      <c r="L12" s="476">
        <v>45879</v>
      </c>
      <c r="M12" s="478" t="s">
        <v>57</v>
      </c>
      <c r="N12" s="542">
        <v>68151.75</v>
      </c>
      <c r="O12" s="478" t="s">
        <v>57</v>
      </c>
      <c r="P12" s="623" t="s">
        <v>300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374</v>
      </c>
      <c r="B13" s="826" t="s">
        <v>186</v>
      </c>
      <c r="C13" s="467">
        <v>45960</v>
      </c>
      <c r="D13" s="475" t="s">
        <v>209</v>
      </c>
      <c r="E13" s="476">
        <v>45966</v>
      </c>
      <c r="F13" s="475" t="s">
        <v>210</v>
      </c>
      <c r="G13" s="820"/>
      <c r="H13" s="478">
        <v>0</v>
      </c>
      <c r="I13" s="824" t="s">
        <v>299</v>
      </c>
      <c r="J13" s="478" t="s">
        <v>63</v>
      </c>
      <c r="K13" s="486"/>
      <c r="L13" s="476" t="s">
        <v>52</v>
      </c>
      <c r="M13" s="478" t="s">
        <v>57</v>
      </c>
      <c r="N13" s="542">
        <v>29960</v>
      </c>
      <c r="O13" s="478" t="s">
        <v>57</v>
      </c>
      <c r="P13" s="623" t="s">
        <v>300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375</v>
      </c>
    </row>
    <row r="14" spans="1:30" ht="39.75" customHeight="1">
      <c r="A14" s="1347" t="s">
        <v>376</v>
      </c>
      <c r="B14" s="826" t="s">
        <v>186</v>
      </c>
      <c r="C14" s="467" t="s">
        <v>377</v>
      </c>
      <c r="D14" s="475" t="s">
        <v>187</v>
      </c>
      <c r="E14" s="476">
        <v>45964</v>
      </c>
      <c r="F14" s="475" t="s">
        <v>378</v>
      </c>
      <c r="G14" s="820"/>
      <c r="H14" s="478">
        <v>0</v>
      </c>
      <c r="I14" s="469" t="s">
        <v>299</v>
      </c>
      <c r="J14" s="478" t="s">
        <v>63</v>
      </c>
      <c r="K14" s="469"/>
      <c r="L14" s="476" t="s">
        <v>52</v>
      </c>
      <c r="M14" s="478" t="s">
        <v>57</v>
      </c>
      <c r="N14" s="542">
        <v>2670.65</v>
      </c>
      <c r="O14" s="478" t="s">
        <v>57</v>
      </c>
      <c r="P14" s="623" t="s">
        <v>300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379</v>
      </c>
    </row>
    <row r="15" spans="1:30" ht="39.75" customHeight="1">
      <c r="A15" s="1260" t="s">
        <v>380</v>
      </c>
      <c r="B15" s="826" t="s">
        <v>186</v>
      </c>
      <c r="C15" s="1328">
        <v>46053</v>
      </c>
      <c r="D15" s="1329" t="s">
        <v>381</v>
      </c>
      <c r="E15" s="1330">
        <v>46030</v>
      </c>
      <c r="F15" s="475" t="s">
        <v>210</v>
      </c>
      <c r="G15" s="1210"/>
      <c r="H15" s="1211">
        <v>0</v>
      </c>
      <c r="I15" s="658" t="s">
        <v>299</v>
      </c>
      <c r="J15" s="1503" t="s">
        <v>63</v>
      </c>
      <c r="K15" s="1503"/>
      <c r="L15" s="476" t="s">
        <v>52</v>
      </c>
      <c r="M15" s="478" t="s">
        <v>57</v>
      </c>
      <c r="N15" s="1504">
        <v>1035</v>
      </c>
      <c r="O15" s="1211" t="s">
        <v>57</v>
      </c>
      <c r="P15" s="1261" t="s">
        <v>300</v>
      </c>
      <c r="Q15" s="1505">
        <v>46030</v>
      </c>
      <c r="R15" s="1324"/>
      <c r="S15" s="1324"/>
      <c r="T15" s="1324"/>
      <c r="U15" s="1324"/>
      <c r="V15" s="1506">
        <v>0</v>
      </c>
      <c r="W15" s="1522">
        <v>0</v>
      </c>
      <c r="X15" s="1507">
        <f>SUM(V15-W15)</f>
        <v>0</v>
      </c>
      <c r="Y15" s="659">
        <v>1</v>
      </c>
      <c r="Z15" s="1505">
        <v>46030</v>
      </c>
      <c r="AA15" s="1197">
        <v>0</v>
      </c>
      <c r="AB15" s="1197">
        <v>0</v>
      </c>
      <c r="AC15" s="1215">
        <v>0</v>
      </c>
      <c r="AD15" s="1471" t="s">
        <v>382</v>
      </c>
    </row>
    <row r="16" spans="1:30" ht="39.75" customHeight="1">
      <c r="A16" s="921" t="s">
        <v>383</v>
      </c>
      <c r="B16" s="826" t="s">
        <v>274</v>
      </c>
      <c r="C16" s="467">
        <v>46006</v>
      </c>
      <c r="D16" s="475" t="s">
        <v>209</v>
      </c>
      <c r="E16" s="476">
        <v>45987</v>
      </c>
      <c r="F16" s="475" t="s">
        <v>199</v>
      </c>
      <c r="G16" s="820" t="s">
        <v>384</v>
      </c>
      <c r="H16" s="478">
        <v>35</v>
      </c>
      <c r="I16" s="824" t="s">
        <v>299</v>
      </c>
      <c r="J16" s="478" t="s">
        <v>63</v>
      </c>
      <c r="K16" s="469"/>
      <c r="L16" s="476" t="s">
        <v>52</v>
      </c>
      <c r="M16" s="478" t="s">
        <v>57</v>
      </c>
      <c r="N16" s="542">
        <v>35942</v>
      </c>
      <c r="O16" s="478" t="s">
        <v>57</v>
      </c>
      <c r="P16" s="623" t="s">
        <v>300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385</v>
      </c>
    </row>
    <row r="17" spans="1:30" ht="39.75" customHeight="1">
      <c r="A17" s="1260" t="s">
        <v>386</v>
      </c>
      <c r="B17" s="826" t="s">
        <v>274</v>
      </c>
      <c r="C17" s="1189">
        <v>46006</v>
      </c>
      <c r="D17" s="1210" t="s">
        <v>209</v>
      </c>
      <c r="E17" s="1209">
        <v>45987</v>
      </c>
      <c r="F17" s="1210" t="s">
        <v>199</v>
      </c>
      <c r="G17" s="1210" t="s">
        <v>387</v>
      </c>
      <c r="H17" s="1211">
        <v>30</v>
      </c>
      <c r="I17" s="824" t="s">
        <v>299</v>
      </c>
      <c r="J17" s="827" t="s">
        <v>63</v>
      </c>
      <c r="K17" s="1191"/>
      <c r="L17" s="476" t="s">
        <v>52</v>
      </c>
      <c r="M17" s="1211" t="s">
        <v>57</v>
      </c>
      <c r="N17" s="1222">
        <v>31387.05</v>
      </c>
      <c r="O17" s="1211" t="s">
        <v>57</v>
      </c>
      <c r="P17" s="1261" t="s">
        <v>300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388</v>
      </c>
    </row>
    <row r="18" spans="1:30" ht="39.75" customHeight="1">
      <c r="A18" s="921" t="s">
        <v>389</v>
      </c>
      <c r="B18" s="490" t="s">
        <v>274</v>
      </c>
      <c r="C18" s="467">
        <v>46006</v>
      </c>
      <c r="D18" s="475" t="s">
        <v>209</v>
      </c>
      <c r="E18" s="476">
        <v>45975</v>
      </c>
      <c r="F18" s="475" t="s">
        <v>199</v>
      </c>
      <c r="G18" s="477" t="s">
        <v>390</v>
      </c>
      <c r="H18" s="478">
        <v>86</v>
      </c>
      <c r="I18" s="824" t="s">
        <v>299</v>
      </c>
      <c r="J18" s="827" t="s">
        <v>63</v>
      </c>
      <c r="K18" s="469"/>
      <c r="L18" s="476" t="s">
        <v>52</v>
      </c>
      <c r="M18" s="478" t="s">
        <v>57</v>
      </c>
      <c r="N18" s="542">
        <v>111432</v>
      </c>
      <c r="O18" s="478" t="s">
        <v>57</v>
      </c>
      <c r="P18" s="623" t="s">
        <v>300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391</v>
      </c>
    </row>
    <row r="19" spans="1:30" ht="39.75" customHeight="1">
      <c r="A19" s="1260" t="s">
        <v>392</v>
      </c>
      <c r="B19" s="826" t="s">
        <v>274</v>
      </c>
      <c r="C19" s="1189">
        <v>46040</v>
      </c>
      <c r="D19" s="1210" t="s">
        <v>209</v>
      </c>
      <c r="E19" s="1209">
        <v>46031</v>
      </c>
      <c r="F19" s="1210" t="s">
        <v>199</v>
      </c>
      <c r="G19" s="1210" t="s">
        <v>393</v>
      </c>
      <c r="H19" s="1211">
        <v>73</v>
      </c>
      <c r="I19" s="824" t="s">
        <v>299</v>
      </c>
      <c r="J19" s="827" t="s">
        <v>63</v>
      </c>
      <c r="K19" s="1191"/>
      <c r="L19" s="476" t="s">
        <v>52</v>
      </c>
      <c r="M19" s="1211" t="s">
        <v>57</v>
      </c>
      <c r="N19" s="1222">
        <v>77814</v>
      </c>
      <c r="O19" s="1211" t="s">
        <v>57</v>
      </c>
      <c r="P19" s="1261" t="s">
        <v>300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394</v>
      </c>
    </row>
    <row r="20" spans="1:30" ht="39.75" customHeight="1">
      <c r="A20" s="921" t="s">
        <v>395</v>
      </c>
      <c r="B20" s="490" t="s">
        <v>274</v>
      </c>
      <c r="C20" s="467">
        <v>46053</v>
      </c>
      <c r="D20" s="475" t="s">
        <v>209</v>
      </c>
      <c r="E20" s="476">
        <v>45964</v>
      </c>
      <c r="F20" s="475" t="s">
        <v>199</v>
      </c>
      <c r="G20" s="477"/>
      <c r="H20" s="478">
        <v>82</v>
      </c>
      <c r="I20" s="824" t="s">
        <v>299</v>
      </c>
      <c r="J20" s="478" t="s">
        <v>63</v>
      </c>
      <c r="K20" s="469"/>
      <c r="L20" s="476" t="s">
        <v>52</v>
      </c>
      <c r="M20" s="478" t="s">
        <v>57</v>
      </c>
      <c r="N20" s="542">
        <v>101871</v>
      </c>
      <c r="O20" s="478" t="s">
        <v>57</v>
      </c>
      <c r="P20" s="623" t="s">
        <v>300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282</v>
      </c>
    </row>
    <row r="21" spans="1:30" ht="39.75" customHeight="1">
      <c r="A21" s="921" t="s">
        <v>396</v>
      </c>
      <c r="B21" s="490" t="s">
        <v>274</v>
      </c>
      <c r="C21" s="467">
        <v>46053</v>
      </c>
      <c r="D21" s="475" t="s">
        <v>209</v>
      </c>
      <c r="E21" s="476">
        <v>45974</v>
      </c>
      <c r="F21" s="475" t="s">
        <v>199</v>
      </c>
      <c r="G21" s="477" t="s">
        <v>397</v>
      </c>
      <c r="H21" s="478">
        <v>77</v>
      </c>
      <c r="I21" s="824" t="s">
        <v>299</v>
      </c>
      <c r="J21" s="478" t="s">
        <v>63</v>
      </c>
      <c r="K21" s="469"/>
      <c r="L21" s="476">
        <v>45965</v>
      </c>
      <c r="M21" s="478" t="s">
        <v>57</v>
      </c>
      <c r="N21" s="542">
        <v>90786</v>
      </c>
      <c r="O21" s="478" t="s">
        <v>57</v>
      </c>
      <c r="P21" s="623" t="s">
        <v>300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282</v>
      </c>
    </row>
    <row r="22" spans="1:30" ht="39.75" customHeight="1">
      <c r="A22" s="921" t="s">
        <v>398</v>
      </c>
      <c r="B22" s="490" t="s">
        <v>274</v>
      </c>
      <c r="C22" s="467">
        <v>46006</v>
      </c>
      <c r="D22" s="475" t="s">
        <v>209</v>
      </c>
      <c r="E22" s="476">
        <v>45980</v>
      </c>
      <c r="F22" s="475" t="s">
        <v>199</v>
      </c>
      <c r="G22" s="820" t="s">
        <v>399</v>
      </c>
      <c r="H22" s="478">
        <v>75</v>
      </c>
      <c r="I22" s="824" t="s">
        <v>299</v>
      </c>
      <c r="J22" s="478" t="s">
        <v>63</v>
      </c>
      <c r="K22" s="469"/>
      <c r="L22" s="476" t="s">
        <v>52</v>
      </c>
      <c r="M22" s="478" t="s">
        <v>57</v>
      </c>
      <c r="N22" s="542">
        <v>82330</v>
      </c>
      <c r="O22" s="478" t="s">
        <v>57</v>
      </c>
      <c r="P22" s="623" t="s">
        <v>300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385</v>
      </c>
    </row>
    <row r="23" spans="1:30" ht="39.75" customHeight="1">
      <c r="A23" s="1401" t="s">
        <v>400</v>
      </c>
      <c r="B23" s="1009" t="s">
        <v>274</v>
      </c>
      <c r="C23" s="1189">
        <v>46040</v>
      </c>
      <c r="D23" s="1210" t="s">
        <v>209</v>
      </c>
      <c r="E23" s="1209">
        <v>45996</v>
      </c>
      <c r="F23" s="1210" t="s">
        <v>199</v>
      </c>
      <c r="G23" s="1210" t="s">
        <v>401</v>
      </c>
      <c r="H23" s="1211">
        <v>78</v>
      </c>
      <c r="I23" s="824" t="s">
        <v>299</v>
      </c>
      <c r="J23" s="1211" t="s">
        <v>63</v>
      </c>
      <c r="K23" s="1191"/>
      <c r="L23" s="476" t="s">
        <v>52</v>
      </c>
      <c r="M23" s="1211" t="s">
        <v>57</v>
      </c>
      <c r="N23" s="1222">
        <v>84477</v>
      </c>
      <c r="O23" s="1211" t="s">
        <v>57</v>
      </c>
      <c r="P23" s="1261" t="s">
        <v>300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385</v>
      </c>
    </row>
    <row r="24" spans="1:30" ht="39.75" customHeight="1">
      <c r="A24" s="921" t="s">
        <v>402</v>
      </c>
      <c r="B24" s="465" t="s">
        <v>101</v>
      </c>
      <c r="C24" s="476">
        <v>45976</v>
      </c>
      <c r="D24" s="467" t="s">
        <v>139</v>
      </c>
      <c r="E24" s="467">
        <v>45959</v>
      </c>
      <c r="F24" s="465" t="s">
        <v>315</v>
      </c>
      <c r="G24" s="679"/>
      <c r="H24" s="469">
        <v>69</v>
      </c>
      <c r="I24" s="658" t="s">
        <v>299</v>
      </c>
      <c r="J24" s="469" t="s">
        <v>63</v>
      </c>
      <c r="K24" s="469"/>
      <c r="L24" s="467">
        <v>45962</v>
      </c>
      <c r="M24" s="469" t="s">
        <v>57</v>
      </c>
      <c r="N24" s="541">
        <v>37418</v>
      </c>
      <c r="O24" s="469" t="s">
        <v>57</v>
      </c>
      <c r="P24" s="623" t="s">
        <v>300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403</v>
      </c>
    </row>
    <row r="25" spans="1:30" ht="39.75" customHeight="1">
      <c r="A25" s="1260" t="s">
        <v>404</v>
      </c>
      <c r="B25" s="1190" t="s">
        <v>101</v>
      </c>
      <c r="C25" s="1189">
        <v>46006</v>
      </c>
      <c r="D25" s="1189" t="s">
        <v>139</v>
      </c>
      <c r="E25" s="1189">
        <v>46021</v>
      </c>
      <c r="F25" s="1190" t="s">
        <v>102</v>
      </c>
      <c r="G25" s="1190" t="s">
        <v>405</v>
      </c>
      <c r="H25" s="1191">
        <v>85</v>
      </c>
      <c r="I25" s="658" t="s">
        <v>299</v>
      </c>
      <c r="J25" s="1191" t="s">
        <v>63</v>
      </c>
      <c r="K25" s="1191"/>
      <c r="L25" s="1189">
        <v>46027</v>
      </c>
      <c r="M25" s="1191" t="s">
        <v>57</v>
      </c>
      <c r="N25" s="1192">
        <v>38323.550000000003</v>
      </c>
      <c r="O25" s="1191" t="s">
        <v>57</v>
      </c>
      <c r="P25" s="1261" t="s">
        <v>300</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406</v>
      </c>
    </row>
    <row r="26" spans="1:30" ht="39.75" customHeight="1">
      <c r="A26" s="1260" t="s">
        <v>407</v>
      </c>
      <c r="B26" s="1190" t="s">
        <v>101</v>
      </c>
      <c r="C26" s="1189">
        <v>46006</v>
      </c>
      <c r="D26" s="1189" t="s">
        <v>139</v>
      </c>
      <c r="E26" s="1189">
        <v>46021</v>
      </c>
      <c r="F26" s="1190" t="s">
        <v>102</v>
      </c>
      <c r="G26" s="1190" t="s">
        <v>408</v>
      </c>
      <c r="H26" s="1191">
        <v>87</v>
      </c>
      <c r="I26" s="658" t="s">
        <v>299</v>
      </c>
      <c r="J26" s="1191" t="s">
        <v>63</v>
      </c>
      <c r="K26" s="1191"/>
      <c r="L26" s="1189">
        <v>46027</v>
      </c>
      <c r="M26" s="1191" t="s">
        <v>57</v>
      </c>
      <c r="N26" s="1192">
        <v>63322.45</v>
      </c>
      <c r="O26" s="1191" t="s">
        <v>57</v>
      </c>
      <c r="P26" s="1261" t="s">
        <v>300</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409</v>
      </c>
    </row>
    <row r="27" spans="1:30" ht="39.75" customHeight="1">
      <c r="A27" s="921" t="s">
        <v>410</v>
      </c>
      <c r="B27" s="465" t="s">
        <v>101</v>
      </c>
      <c r="C27" s="467">
        <v>45991</v>
      </c>
      <c r="D27" s="467" t="s">
        <v>139</v>
      </c>
      <c r="E27" s="467">
        <v>45966</v>
      </c>
      <c r="F27" s="465" t="s">
        <v>102</v>
      </c>
      <c r="G27" s="679" t="s">
        <v>411</v>
      </c>
      <c r="H27" s="469">
        <v>83</v>
      </c>
      <c r="I27" s="658" t="s">
        <v>299</v>
      </c>
      <c r="J27" s="469" t="s">
        <v>63</v>
      </c>
      <c r="K27" s="469"/>
      <c r="L27" s="467">
        <v>45969</v>
      </c>
      <c r="M27" s="469" t="s">
        <v>57</v>
      </c>
      <c r="N27" s="541">
        <v>66402</v>
      </c>
      <c r="O27" s="469" t="s">
        <v>57</v>
      </c>
      <c r="P27" s="623" t="s">
        <v>300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412</v>
      </c>
    </row>
    <row r="28" spans="1:30" ht="39.75" customHeight="1">
      <c r="A28" s="921" t="s">
        <v>413</v>
      </c>
      <c r="B28" s="465" t="s">
        <v>101</v>
      </c>
      <c r="C28" s="467">
        <v>46001</v>
      </c>
      <c r="D28" s="467" t="s">
        <v>139</v>
      </c>
      <c r="E28" s="467">
        <v>45966</v>
      </c>
      <c r="F28" s="465" t="s">
        <v>102</v>
      </c>
      <c r="G28" s="679" t="s">
        <v>414</v>
      </c>
      <c r="H28" s="469">
        <v>77</v>
      </c>
      <c r="I28" s="658" t="s">
        <v>299</v>
      </c>
      <c r="J28" s="469" t="s">
        <v>63</v>
      </c>
      <c r="K28" s="469"/>
      <c r="L28" s="467">
        <v>45967</v>
      </c>
      <c r="M28" s="469" t="s">
        <v>57</v>
      </c>
      <c r="N28" s="541">
        <v>63997.35</v>
      </c>
      <c r="O28" s="469" t="s">
        <v>57</v>
      </c>
      <c r="P28" s="623" t="s">
        <v>300</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415</v>
      </c>
    </row>
    <row r="29" spans="1:30" ht="39.75" customHeight="1">
      <c r="A29" s="1461" t="s">
        <v>416</v>
      </c>
      <c r="B29" s="1425" t="s">
        <v>101</v>
      </c>
      <c r="C29" s="1328">
        <v>45959</v>
      </c>
      <c r="D29" s="1328" t="s">
        <v>139</v>
      </c>
      <c r="E29" s="1328">
        <v>45961</v>
      </c>
      <c r="F29" s="1425" t="s">
        <v>124</v>
      </c>
      <c r="G29" s="1190"/>
      <c r="H29" s="1503">
        <v>0</v>
      </c>
      <c r="I29" s="658" t="s">
        <v>299</v>
      </c>
      <c r="J29" s="1503" t="s">
        <v>63</v>
      </c>
      <c r="K29" s="1503"/>
      <c r="L29" s="1328" t="s">
        <v>141</v>
      </c>
      <c r="M29" s="1503" t="s">
        <v>57</v>
      </c>
      <c r="N29" s="1523">
        <v>15670.45</v>
      </c>
      <c r="O29" s="1503" t="s">
        <v>57</v>
      </c>
      <c r="P29" s="1524" t="s">
        <v>300</v>
      </c>
      <c r="Q29" s="1525">
        <v>46031</v>
      </c>
      <c r="R29" s="1525"/>
      <c r="S29" s="1525"/>
      <c r="T29" s="1525"/>
      <c r="U29" s="1525"/>
      <c r="V29" s="783">
        <v>1202</v>
      </c>
      <c r="W29" s="1262">
        <v>1208</v>
      </c>
      <c r="X29" s="1507">
        <f>SUM(V29-W29)</f>
        <v>-6</v>
      </c>
      <c r="Y29" s="659">
        <v>1</v>
      </c>
      <c r="Z29" s="1214">
        <v>46035</v>
      </c>
      <c r="AA29" s="355">
        <v>1</v>
      </c>
      <c r="AB29" s="1526">
        <v>0</v>
      </c>
      <c r="AC29" s="1507">
        <v>0</v>
      </c>
      <c r="AD29" s="1471" t="s">
        <v>417</v>
      </c>
    </row>
    <row r="30" spans="1:30" ht="39.75" customHeight="1">
      <c r="A30" s="1260" t="s">
        <v>418</v>
      </c>
      <c r="B30" s="1190" t="s">
        <v>101</v>
      </c>
      <c r="C30" s="1189">
        <v>45675</v>
      </c>
      <c r="D30" s="1189" t="s">
        <v>139</v>
      </c>
      <c r="E30" s="1189">
        <v>46006</v>
      </c>
      <c r="F30" s="1190" t="s">
        <v>124</v>
      </c>
      <c r="G30" s="1190"/>
      <c r="H30" s="1191">
        <v>0</v>
      </c>
      <c r="I30" s="1191" t="s">
        <v>299</v>
      </c>
      <c r="J30" s="1191" t="s">
        <v>63</v>
      </c>
      <c r="K30" s="1191"/>
      <c r="L30" s="1189">
        <v>46006</v>
      </c>
      <c r="M30" s="1191" t="s">
        <v>57</v>
      </c>
      <c r="N30" s="1192">
        <v>45512.75</v>
      </c>
      <c r="O30" s="1191" t="s">
        <v>57</v>
      </c>
      <c r="P30" s="1261" t="s">
        <v>300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419</v>
      </c>
    </row>
    <row r="31" spans="1:30" ht="39.75" customHeight="1">
      <c r="A31" s="921" t="s">
        <v>420</v>
      </c>
      <c r="B31" s="465" t="s">
        <v>101</v>
      </c>
      <c r="C31" s="467">
        <v>46021</v>
      </c>
      <c r="D31" s="465" t="s">
        <v>51</v>
      </c>
      <c r="E31" s="467" t="s">
        <v>52</v>
      </c>
      <c r="F31" s="465" t="s">
        <v>124</v>
      </c>
      <c r="G31" s="468" t="s">
        <v>421</v>
      </c>
      <c r="H31" s="469">
        <v>0</v>
      </c>
      <c r="I31" s="469" t="s">
        <v>299</v>
      </c>
      <c r="J31" s="469" t="s">
        <v>63</v>
      </c>
      <c r="K31" s="469"/>
      <c r="L31" s="467" t="s">
        <v>141</v>
      </c>
      <c r="M31" s="469" t="s">
        <v>57</v>
      </c>
      <c r="N31" s="541">
        <v>1931.75</v>
      </c>
      <c r="O31" s="469" t="s">
        <v>57</v>
      </c>
      <c r="P31" s="1054" t="s">
        <v>300</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422</v>
      </c>
    </row>
    <row r="32" spans="1:30" ht="39.75" customHeight="1">
      <c r="A32" s="921" t="s">
        <v>423</v>
      </c>
      <c r="B32" s="678" t="s">
        <v>101</v>
      </c>
      <c r="C32" s="476">
        <v>45991</v>
      </c>
      <c r="D32" s="465" t="s">
        <v>424</v>
      </c>
      <c r="E32" s="467">
        <v>45936</v>
      </c>
      <c r="F32" s="465" t="s">
        <v>102</v>
      </c>
      <c r="G32" s="679"/>
      <c r="H32" s="469">
        <v>0</v>
      </c>
      <c r="I32" s="469" t="s">
        <v>299</v>
      </c>
      <c r="J32" s="469" t="s">
        <v>63</v>
      </c>
      <c r="K32" s="469"/>
      <c r="L32" s="467" t="s">
        <v>141</v>
      </c>
      <c r="M32" s="469" t="s">
        <v>57</v>
      </c>
      <c r="N32" s="541">
        <v>74164.05</v>
      </c>
      <c r="O32" s="469" t="s">
        <v>57</v>
      </c>
      <c r="P32" s="1054" t="s">
        <v>300</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425</v>
      </c>
    </row>
    <row r="33" spans="1:30" ht="39.75" customHeight="1">
      <c r="A33" s="921" t="s">
        <v>426</v>
      </c>
      <c r="B33" s="465" t="s">
        <v>101</v>
      </c>
      <c r="C33" s="476">
        <v>45960</v>
      </c>
      <c r="D33" s="467" t="s">
        <v>427</v>
      </c>
      <c r="E33" s="467">
        <v>45939</v>
      </c>
      <c r="F33" s="465" t="s">
        <v>144</v>
      </c>
      <c r="G33" s="679"/>
      <c r="H33" s="469">
        <v>385</v>
      </c>
      <c r="I33" s="658" t="s">
        <v>299</v>
      </c>
      <c r="J33" s="469" t="s">
        <v>56</v>
      </c>
      <c r="K33" s="469"/>
      <c r="L33" s="467">
        <v>45937</v>
      </c>
      <c r="M33" s="469" t="s">
        <v>57</v>
      </c>
      <c r="N33" s="541">
        <v>210533.1</v>
      </c>
      <c r="O33" s="469" t="s">
        <v>57</v>
      </c>
      <c r="P33" s="623" t="s">
        <v>300</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428</v>
      </c>
    </row>
    <row r="34" spans="1:30" ht="39.75" customHeight="1">
      <c r="A34" s="1260" t="s">
        <v>429</v>
      </c>
      <c r="B34" s="678" t="s">
        <v>101</v>
      </c>
      <c r="C34" s="1189">
        <v>46020</v>
      </c>
      <c r="D34" s="1189" t="s">
        <v>430</v>
      </c>
      <c r="E34" s="1189">
        <v>45978</v>
      </c>
      <c r="F34" s="1190" t="s">
        <v>124</v>
      </c>
      <c r="G34" s="1190" t="s">
        <v>431</v>
      </c>
      <c r="H34" s="1191">
        <v>197</v>
      </c>
      <c r="I34" s="658" t="s">
        <v>299</v>
      </c>
      <c r="J34" s="1191" t="s">
        <v>56</v>
      </c>
      <c r="K34" s="469"/>
      <c r="L34" s="1189">
        <v>45978</v>
      </c>
      <c r="M34" s="1191" t="s">
        <v>57</v>
      </c>
      <c r="N34" s="1192">
        <v>87807.5</v>
      </c>
      <c r="O34" s="1191" t="s">
        <v>57</v>
      </c>
      <c r="P34" s="1261" t="s">
        <v>300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432</v>
      </c>
    </row>
    <row r="35" spans="1:30" ht="39.75" customHeight="1">
      <c r="A35" s="1460" t="s">
        <v>433</v>
      </c>
      <c r="B35" s="1276" t="s">
        <v>293</v>
      </c>
      <c r="C35" s="1372">
        <v>46052</v>
      </c>
      <c r="D35" s="1361" t="s">
        <v>139</v>
      </c>
      <c r="E35" s="1277">
        <v>46027</v>
      </c>
      <c r="F35" s="1383" t="s">
        <v>315</v>
      </c>
      <c r="G35" s="1279"/>
      <c r="H35" s="52">
        <v>85</v>
      </c>
      <c r="I35" s="657" t="s">
        <v>299</v>
      </c>
      <c r="J35" s="1284" t="s">
        <v>63</v>
      </c>
      <c r="K35" s="1386"/>
      <c r="L35" s="1277">
        <v>46027</v>
      </c>
      <c r="M35" s="1211" t="s">
        <v>57</v>
      </c>
      <c r="N35" s="1308">
        <v>73334</v>
      </c>
      <c r="O35" s="1365" t="s">
        <v>57</v>
      </c>
      <c r="P35" s="1309" t="s">
        <v>300</v>
      </c>
      <c r="Q35" s="1241">
        <v>46027</v>
      </c>
      <c r="R35" s="1479"/>
      <c r="S35" s="1350"/>
      <c r="T35" s="1391"/>
      <c r="U35" s="1350"/>
      <c r="V35" s="31">
        <v>5860</v>
      </c>
      <c r="W35" s="1527">
        <v>5829</v>
      </c>
      <c r="X35" s="1393">
        <f t="shared" ref="X35:X37" si="15">SUM(V35-W35)</f>
        <v>31</v>
      </c>
      <c r="Y35" s="1140">
        <f t="shared" si="13"/>
        <v>0.99470989761092155</v>
      </c>
      <c r="Z35" s="1514">
        <v>46034</v>
      </c>
      <c r="AA35" s="1271">
        <v>0</v>
      </c>
      <c r="AB35" s="1271">
        <v>0</v>
      </c>
      <c r="AC35" s="1270">
        <v>0</v>
      </c>
      <c r="AD35" s="1243" t="s">
        <v>434</v>
      </c>
    </row>
    <row r="36" spans="1:30" ht="39.75" customHeight="1">
      <c r="A36" s="1460" t="s">
        <v>435</v>
      </c>
      <c r="B36" s="1276" t="s">
        <v>293</v>
      </c>
      <c r="C36" s="1372">
        <v>46052</v>
      </c>
      <c r="D36" s="1361" t="s">
        <v>139</v>
      </c>
      <c r="E36" s="1277">
        <v>46027</v>
      </c>
      <c r="F36" s="1383" t="s">
        <v>315</v>
      </c>
      <c r="G36" s="1279"/>
      <c r="H36" s="52">
        <v>81</v>
      </c>
      <c r="I36" s="657" t="s">
        <v>299</v>
      </c>
      <c r="J36" s="1284" t="s">
        <v>63</v>
      </c>
      <c r="K36" s="1386"/>
      <c r="L36" s="1277">
        <v>46027</v>
      </c>
      <c r="M36" s="1211" t="s">
        <v>57</v>
      </c>
      <c r="N36" s="1308">
        <v>73885</v>
      </c>
      <c r="O36" s="1365" t="s">
        <v>57</v>
      </c>
      <c r="P36" s="1309" t="s">
        <v>300</v>
      </c>
      <c r="Q36" s="1241">
        <v>46027</v>
      </c>
      <c r="R36" s="1479"/>
      <c r="S36" s="1350"/>
      <c r="T36" s="1391"/>
      <c r="U36" s="1350"/>
      <c r="V36" s="31">
        <v>6021</v>
      </c>
      <c r="W36" s="1527">
        <v>6080</v>
      </c>
      <c r="X36" s="1393">
        <f t="shared" si="15"/>
        <v>-59</v>
      </c>
      <c r="Y36" s="1140">
        <f t="shared" si="13"/>
        <v>1.0097990367048664</v>
      </c>
      <c r="Z36" s="1514">
        <v>46035</v>
      </c>
      <c r="AA36" s="1271">
        <v>0</v>
      </c>
      <c r="AB36" s="1271">
        <v>0</v>
      </c>
      <c r="AC36" s="1270">
        <v>0</v>
      </c>
      <c r="AD36" s="1243" t="s">
        <v>436</v>
      </c>
    </row>
    <row r="37" spans="1:30" ht="39.75" customHeight="1">
      <c r="A37" s="1460" t="s">
        <v>437</v>
      </c>
      <c r="B37" s="1276" t="s">
        <v>293</v>
      </c>
      <c r="C37" s="1372">
        <v>46052</v>
      </c>
      <c r="D37" s="1361" t="s">
        <v>139</v>
      </c>
      <c r="E37" s="1277">
        <v>46027</v>
      </c>
      <c r="F37" s="1383" t="s">
        <v>315</v>
      </c>
      <c r="G37" s="1279"/>
      <c r="H37" s="52">
        <v>68</v>
      </c>
      <c r="I37" s="657" t="s">
        <v>299</v>
      </c>
      <c r="J37" s="1284" t="s">
        <v>63</v>
      </c>
      <c r="K37" s="1386"/>
      <c r="L37" s="1277">
        <v>46027</v>
      </c>
      <c r="M37" s="1211" t="s">
        <v>57</v>
      </c>
      <c r="N37" s="1308">
        <v>59114.5</v>
      </c>
      <c r="O37" s="1365" t="s">
        <v>57</v>
      </c>
      <c r="P37" s="1309" t="s">
        <v>300</v>
      </c>
      <c r="Q37" s="1241">
        <v>46027</v>
      </c>
      <c r="R37" s="1479"/>
      <c r="S37" s="1350"/>
      <c r="T37" s="1391"/>
      <c r="U37" s="1350"/>
      <c r="V37" s="31">
        <v>4836</v>
      </c>
      <c r="W37" s="1527">
        <v>4810</v>
      </c>
      <c r="X37" s="1394">
        <f t="shared" si="15"/>
        <v>26</v>
      </c>
      <c r="Y37" s="1380">
        <f t="shared" si="13"/>
        <v>0.9946236559139785</v>
      </c>
      <c r="Z37" s="1520">
        <v>46036</v>
      </c>
      <c r="AA37" s="1271">
        <v>0</v>
      </c>
      <c r="AB37" s="1271">
        <v>0</v>
      </c>
      <c r="AC37" s="1270">
        <v>0</v>
      </c>
      <c r="AD37" s="1243" t="s">
        <v>438</v>
      </c>
    </row>
    <row r="38" spans="1:30" ht="39.75" customHeight="1">
      <c r="A38" s="1138" t="s">
        <v>439</v>
      </c>
      <c r="B38" s="1139" t="s">
        <v>293</v>
      </c>
      <c r="C38" s="375">
        <v>46019</v>
      </c>
      <c r="D38" s="968" t="s">
        <v>139</v>
      </c>
      <c r="E38" s="375">
        <v>45959</v>
      </c>
      <c r="F38" s="374" t="s">
        <v>294</v>
      </c>
      <c r="G38" s="668" t="s">
        <v>440</v>
      </c>
      <c r="H38" s="1058">
        <v>89</v>
      </c>
      <c r="I38" s="969" t="s">
        <v>299</v>
      </c>
      <c r="J38" s="970" t="s">
        <v>63</v>
      </c>
      <c r="K38" s="469"/>
      <c r="L38" s="375">
        <v>45964</v>
      </c>
      <c r="M38" s="970" t="s">
        <v>57</v>
      </c>
      <c r="N38" s="1059">
        <v>62937.05</v>
      </c>
      <c r="O38" s="52" t="s">
        <v>57</v>
      </c>
      <c r="P38" s="1061" t="s">
        <v>300</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441</v>
      </c>
    </row>
    <row r="39" spans="1:30" ht="39.75" customHeight="1">
      <c r="A39" s="1076" t="s">
        <v>442</v>
      </c>
      <c r="B39" s="972" t="s">
        <v>293</v>
      </c>
      <c r="C39" s="467">
        <v>46045</v>
      </c>
      <c r="D39" s="639" t="s">
        <v>139</v>
      </c>
      <c r="E39" s="467"/>
      <c r="F39" s="465"/>
      <c r="G39" s="468"/>
      <c r="H39" s="1066">
        <v>77</v>
      </c>
      <c r="I39" s="824" t="s">
        <v>299</v>
      </c>
      <c r="J39" s="478" t="s">
        <v>63</v>
      </c>
      <c r="K39" s="1067"/>
      <c r="L39" s="476" t="s">
        <v>52</v>
      </c>
      <c r="M39" s="478" t="s">
        <v>57</v>
      </c>
      <c r="N39" s="1068">
        <v>4046.5</v>
      </c>
      <c r="O39" s="478" t="s">
        <v>57</v>
      </c>
      <c r="P39" s="623" t="s">
        <v>300</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443</v>
      </c>
    </row>
    <row r="40" spans="1:30" ht="39.75" customHeight="1">
      <c r="A40" s="1063" t="s">
        <v>444</v>
      </c>
      <c r="B40" s="972" t="s">
        <v>293</v>
      </c>
      <c r="C40" s="467">
        <v>46045</v>
      </c>
      <c r="D40" s="639" t="s">
        <v>139</v>
      </c>
      <c r="E40" s="467">
        <v>45959</v>
      </c>
      <c r="F40" s="465" t="s">
        <v>294</v>
      </c>
      <c r="G40" s="468" t="s">
        <v>445</v>
      </c>
      <c r="H40" s="1066">
        <v>78</v>
      </c>
      <c r="I40" s="824" t="s">
        <v>299</v>
      </c>
      <c r="J40" s="478" t="s">
        <v>63</v>
      </c>
      <c r="K40" s="1067"/>
      <c r="L40" s="467">
        <v>45964</v>
      </c>
      <c r="M40" s="478" t="s">
        <v>57</v>
      </c>
      <c r="N40" s="1068">
        <v>170</v>
      </c>
      <c r="O40" s="478" t="s">
        <v>57</v>
      </c>
      <c r="P40" s="623" t="s">
        <v>300</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446</v>
      </c>
    </row>
    <row r="41" spans="1:30" ht="39.75" customHeight="1">
      <c r="A41" s="1062" t="s">
        <v>447</v>
      </c>
      <c r="B41" s="450" t="s">
        <v>293</v>
      </c>
      <c r="C41" s="375">
        <v>46045</v>
      </c>
      <c r="D41" s="968" t="s">
        <v>139</v>
      </c>
      <c r="E41" s="375"/>
      <c r="F41" s="374"/>
      <c r="G41" s="634"/>
      <c r="H41" s="1058">
        <v>88</v>
      </c>
      <c r="I41" s="969" t="s">
        <v>299</v>
      </c>
      <c r="J41" s="970" t="s">
        <v>63</v>
      </c>
      <c r="K41" s="1000"/>
      <c r="L41" s="476" t="s">
        <v>52</v>
      </c>
      <c r="M41" s="970" t="s">
        <v>57</v>
      </c>
      <c r="N41" s="1059">
        <v>5668</v>
      </c>
      <c r="O41" s="52" t="s">
        <v>57</v>
      </c>
      <c r="P41" s="1061" t="s">
        <v>300</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448</v>
      </c>
    </row>
    <row r="42" spans="1:30" ht="39.75" customHeight="1">
      <c r="A42" s="1062" t="s">
        <v>449</v>
      </c>
      <c r="B42" s="450" t="s">
        <v>293</v>
      </c>
      <c r="C42" s="375">
        <v>46045</v>
      </c>
      <c r="D42" s="968" t="s">
        <v>139</v>
      </c>
      <c r="E42" s="375"/>
      <c r="F42" s="374"/>
      <c r="G42" s="634"/>
      <c r="H42" s="1058">
        <v>30</v>
      </c>
      <c r="I42" s="969" t="s">
        <v>299</v>
      </c>
      <c r="J42" s="970" t="s">
        <v>63</v>
      </c>
      <c r="K42" s="1000"/>
      <c r="L42" s="476" t="s">
        <v>52</v>
      </c>
      <c r="M42" s="970" t="s">
        <v>57</v>
      </c>
      <c r="N42" s="1059">
        <v>170</v>
      </c>
      <c r="O42" s="52" t="s">
        <v>57</v>
      </c>
      <c r="P42" s="1061" t="s">
        <v>300</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448</v>
      </c>
    </row>
    <row r="43" spans="1:30" ht="39.75" customHeight="1">
      <c r="A43" s="1062" t="s">
        <v>450</v>
      </c>
      <c r="B43" s="450" t="s">
        <v>293</v>
      </c>
      <c r="C43" s="375">
        <v>46045</v>
      </c>
      <c r="D43" s="968" t="s">
        <v>139</v>
      </c>
      <c r="E43" s="375">
        <v>45959</v>
      </c>
      <c r="F43" s="374" t="s">
        <v>144</v>
      </c>
      <c r="G43" s="634"/>
      <c r="H43" s="376">
        <v>89</v>
      </c>
      <c r="I43" s="969" t="s">
        <v>299</v>
      </c>
      <c r="J43" s="970" t="s">
        <v>63</v>
      </c>
      <c r="K43" s="647"/>
      <c r="L43" s="51">
        <v>45964</v>
      </c>
      <c r="M43" s="52" t="s">
        <v>57</v>
      </c>
      <c r="N43" s="834">
        <v>84750.5</v>
      </c>
      <c r="O43" s="52" t="s">
        <v>57</v>
      </c>
      <c r="P43" s="1061" t="s">
        <v>300</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451</v>
      </c>
    </row>
    <row r="44" spans="1:30" ht="39.75" customHeight="1">
      <c r="A44" s="1062" t="s">
        <v>452</v>
      </c>
      <c r="B44" s="450" t="s">
        <v>293</v>
      </c>
      <c r="C44" s="375">
        <v>45989</v>
      </c>
      <c r="D44" s="968" t="s">
        <v>139</v>
      </c>
      <c r="E44" s="375">
        <v>45959</v>
      </c>
      <c r="F44" s="374" t="s">
        <v>144</v>
      </c>
      <c r="G44" s="634" t="s">
        <v>453</v>
      </c>
      <c r="H44" s="376">
        <v>59</v>
      </c>
      <c r="I44" s="969" t="s">
        <v>299</v>
      </c>
      <c r="J44" s="970" t="s">
        <v>63</v>
      </c>
      <c r="K44" s="647"/>
      <c r="L44" s="51">
        <v>45964</v>
      </c>
      <c r="M44" s="970" t="s">
        <v>57</v>
      </c>
      <c r="N44" s="834">
        <v>65066.5</v>
      </c>
      <c r="O44" s="52" t="s">
        <v>57</v>
      </c>
      <c r="P44" s="1061" t="s">
        <v>300</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454</v>
      </c>
    </row>
    <row r="45" spans="1:30" ht="39.75" customHeight="1">
      <c r="A45" s="1062" t="s">
        <v>455</v>
      </c>
      <c r="B45" s="450" t="s">
        <v>293</v>
      </c>
      <c r="C45" s="375">
        <v>46010</v>
      </c>
      <c r="D45" s="968" t="s">
        <v>139</v>
      </c>
      <c r="E45" s="375">
        <v>45959</v>
      </c>
      <c r="F45" s="374" t="s">
        <v>144</v>
      </c>
      <c r="G45" s="634" t="s">
        <v>456</v>
      </c>
      <c r="H45" s="376">
        <v>89</v>
      </c>
      <c r="I45" s="969" t="s">
        <v>299</v>
      </c>
      <c r="J45" s="970" t="s">
        <v>63</v>
      </c>
      <c r="K45" s="647"/>
      <c r="L45" s="51">
        <v>45964</v>
      </c>
      <c r="M45" s="970" t="s">
        <v>57</v>
      </c>
      <c r="N45" s="834">
        <v>81602</v>
      </c>
      <c r="O45" s="52" t="s">
        <v>57</v>
      </c>
      <c r="P45" s="1061" t="s">
        <v>300</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457</v>
      </c>
    </row>
    <row r="46" spans="1:30" ht="39.75" customHeight="1">
      <c r="A46" s="1062" t="s">
        <v>458</v>
      </c>
      <c r="B46" s="450" t="s">
        <v>293</v>
      </c>
      <c r="C46" s="375">
        <v>46045</v>
      </c>
      <c r="D46" s="968" t="s">
        <v>139</v>
      </c>
      <c r="E46" s="375">
        <v>45959</v>
      </c>
      <c r="F46" s="374" t="s">
        <v>144</v>
      </c>
      <c r="G46" s="634"/>
      <c r="H46" s="376">
        <v>88</v>
      </c>
      <c r="I46" s="969" t="s">
        <v>299</v>
      </c>
      <c r="J46" s="970" t="s">
        <v>63</v>
      </c>
      <c r="K46" s="647"/>
      <c r="L46" s="51">
        <v>45961</v>
      </c>
      <c r="M46" s="52" t="s">
        <v>57</v>
      </c>
      <c r="N46" s="834">
        <v>88231.9</v>
      </c>
      <c r="O46" s="52" t="s">
        <v>57</v>
      </c>
      <c r="P46" s="1061" t="s">
        <v>300</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459</v>
      </c>
    </row>
    <row r="47" spans="1:30" ht="39.75" customHeight="1">
      <c r="A47" s="1062" t="s">
        <v>460</v>
      </c>
      <c r="B47" s="450" t="s">
        <v>293</v>
      </c>
      <c r="C47" s="375">
        <v>45989</v>
      </c>
      <c r="D47" s="968" t="s">
        <v>139</v>
      </c>
      <c r="E47" s="375">
        <v>45959</v>
      </c>
      <c r="F47" s="374" t="s">
        <v>144</v>
      </c>
      <c r="G47" s="634" t="s">
        <v>461</v>
      </c>
      <c r="H47" s="376">
        <v>87</v>
      </c>
      <c r="I47" s="969" t="s">
        <v>299</v>
      </c>
      <c r="J47" s="970" t="s">
        <v>63</v>
      </c>
      <c r="K47" s="647"/>
      <c r="L47" s="51">
        <v>45964</v>
      </c>
      <c r="M47" s="970" t="s">
        <v>57</v>
      </c>
      <c r="N47" s="834">
        <v>93578</v>
      </c>
      <c r="O47" s="52" t="s">
        <v>57</v>
      </c>
      <c r="P47" s="1061" t="s">
        <v>300</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462</v>
      </c>
    </row>
    <row r="48" spans="1:30" ht="39.75" customHeight="1">
      <c r="A48" s="1062" t="s">
        <v>463</v>
      </c>
      <c r="B48" s="450" t="s">
        <v>293</v>
      </c>
      <c r="C48" s="375">
        <v>46045</v>
      </c>
      <c r="D48" s="968" t="s">
        <v>139</v>
      </c>
      <c r="E48" s="375">
        <v>45959</v>
      </c>
      <c r="F48" s="374" t="s">
        <v>144</v>
      </c>
      <c r="G48" s="634"/>
      <c r="H48" s="376">
        <v>90</v>
      </c>
      <c r="I48" s="969" t="s">
        <v>299</v>
      </c>
      <c r="J48" s="970" t="s">
        <v>63</v>
      </c>
      <c r="K48" s="647"/>
      <c r="L48" s="51">
        <v>45964</v>
      </c>
      <c r="M48" s="52" t="s">
        <v>57</v>
      </c>
      <c r="N48" s="834">
        <v>84896</v>
      </c>
      <c r="O48" s="52" t="s">
        <v>57</v>
      </c>
      <c r="P48" s="1061" t="s">
        <v>300</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464</v>
      </c>
    </row>
    <row r="49" spans="1:30" ht="39.75" customHeight="1">
      <c r="A49" s="1307" t="s">
        <v>465</v>
      </c>
      <c r="B49" s="1139" t="s">
        <v>293</v>
      </c>
      <c r="C49" s="1278">
        <v>46019</v>
      </c>
      <c r="D49" s="968" t="s">
        <v>139</v>
      </c>
      <c r="E49" s="1278">
        <v>45959</v>
      </c>
      <c r="F49" s="1279" t="s">
        <v>144</v>
      </c>
      <c r="G49" s="1279" t="s">
        <v>466</v>
      </c>
      <c r="H49" s="1280">
        <v>90</v>
      </c>
      <c r="I49" s="969" t="s">
        <v>299</v>
      </c>
      <c r="J49" s="1265" t="s">
        <v>63</v>
      </c>
      <c r="K49" s="647"/>
      <c r="L49" s="1282">
        <v>45961</v>
      </c>
      <c r="M49" s="1265" t="s">
        <v>57</v>
      </c>
      <c r="N49" s="1308">
        <v>91897</v>
      </c>
      <c r="O49" s="1284" t="s">
        <v>57</v>
      </c>
      <c r="P49" s="1309" t="s">
        <v>300</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467</v>
      </c>
    </row>
    <row r="50" spans="1:30" ht="39.75" customHeight="1">
      <c r="A50" s="1062" t="s">
        <v>468</v>
      </c>
      <c r="B50" s="450" t="s">
        <v>293</v>
      </c>
      <c r="C50" s="375">
        <v>45989</v>
      </c>
      <c r="D50" s="968" t="s">
        <v>139</v>
      </c>
      <c r="E50" s="375">
        <v>45959</v>
      </c>
      <c r="F50" s="374" t="s">
        <v>144</v>
      </c>
      <c r="G50" s="634" t="s">
        <v>469</v>
      </c>
      <c r="H50" s="376">
        <v>90</v>
      </c>
      <c r="I50" s="969" t="s">
        <v>299</v>
      </c>
      <c r="J50" s="970" t="s">
        <v>63</v>
      </c>
      <c r="K50" s="647"/>
      <c r="L50" s="51">
        <v>45964</v>
      </c>
      <c r="M50" s="970" t="s">
        <v>57</v>
      </c>
      <c r="N50" s="834">
        <v>96685</v>
      </c>
      <c r="O50" s="52" t="s">
        <v>57</v>
      </c>
      <c r="P50" s="1061" t="s">
        <v>300</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470</v>
      </c>
    </row>
    <row r="51" spans="1:30" ht="39.75" customHeight="1">
      <c r="A51" s="1307" t="s">
        <v>471</v>
      </c>
      <c r="B51" s="1139" t="s">
        <v>293</v>
      </c>
      <c r="C51" s="1278">
        <v>46019</v>
      </c>
      <c r="D51" s="968" t="s">
        <v>139</v>
      </c>
      <c r="E51" s="1278">
        <v>45959</v>
      </c>
      <c r="F51" s="1279" t="s">
        <v>144</v>
      </c>
      <c r="G51" s="1279" t="s">
        <v>472</v>
      </c>
      <c r="H51" s="1280">
        <v>90</v>
      </c>
      <c r="I51" s="969" t="s">
        <v>299</v>
      </c>
      <c r="J51" s="1265" t="s">
        <v>63</v>
      </c>
      <c r="K51" s="1281"/>
      <c r="L51" s="1282">
        <v>45964</v>
      </c>
      <c r="M51" s="1265" t="s">
        <v>57</v>
      </c>
      <c r="N51" s="1308">
        <v>85815</v>
      </c>
      <c r="O51" s="1284" t="s">
        <v>57</v>
      </c>
      <c r="P51" s="1309" t="s">
        <v>300</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473</v>
      </c>
    </row>
    <row r="52" spans="1:30" ht="39.75" customHeight="1">
      <c r="A52" s="1062" t="s">
        <v>474</v>
      </c>
      <c r="B52" s="450" t="s">
        <v>293</v>
      </c>
      <c r="C52" s="375">
        <v>46021</v>
      </c>
      <c r="D52" s="968" t="s">
        <v>139</v>
      </c>
      <c r="E52" s="375">
        <v>45959</v>
      </c>
      <c r="F52" s="374" t="s">
        <v>144</v>
      </c>
      <c r="G52" s="634" t="s">
        <v>475</v>
      </c>
      <c r="H52" s="376">
        <v>89</v>
      </c>
      <c r="I52" s="969" t="s">
        <v>299</v>
      </c>
      <c r="J52" s="970" t="s">
        <v>63</v>
      </c>
      <c r="K52" s="647"/>
      <c r="L52" s="51">
        <v>45961</v>
      </c>
      <c r="M52" s="970" t="s">
        <v>57</v>
      </c>
      <c r="N52" s="834">
        <v>83615</v>
      </c>
      <c r="O52" s="52" t="s">
        <v>57</v>
      </c>
      <c r="P52" s="1061" t="s">
        <v>300</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476</v>
      </c>
    </row>
    <row r="53" spans="1:30" ht="39.75" customHeight="1">
      <c r="A53" s="1307" t="s">
        <v>477</v>
      </c>
      <c r="B53" s="1139" t="s">
        <v>293</v>
      </c>
      <c r="C53" s="1278">
        <v>46021</v>
      </c>
      <c r="D53" s="968" t="s">
        <v>139</v>
      </c>
      <c r="E53" s="1278">
        <v>45959</v>
      </c>
      <c r="F53" s="1279" t="s">
        <v>144</v>
      </c>
      <c r="G53" s="1279" t="s">
        <v>478</v>
      </c>
      <c r="H53" s="1280">
        <v>88</v>
      </c>
      <c r="I53" s="969" t="s">
        <v>299</v>
      </c>
      <c r="J53" s="1265" t="s">
        <v>63</v>
      </c>
      <c r="K53" s="647"/>
      <c r="L53" s="1282">
        <v>45964</v>
      </c>
      <c r="M53" s="1265" t="s">
        <v>57</v>
      </c>
      <c r="N53" s="1308">
        <v>78736.5</v>
      </c>
      <c r="O53" s="1284" t="s">
        <v>57</v>
      </c>
      <c r="P53" s="1309" t="s">
        <v>300</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479</v>
      </c>
    </row>
    <row r="54" spans="1:30" ht="39.75" customHeight="1">
      <c r="A54" s="1307" t="s">
        <v>480</v>
      </c>
      <c r="B54" s="1139" t="s">
        <v>293</v>
      </c>
      <c r="C54" s="1278">
        <v>46021</v>
      </c>
      <c r="D54" s="968" t="s">
        <v>139</v>
      </c>
      <c r="E54" s="1278">
        <v>45959</v>
      </c>
      <c r="F54" s="1279" t="s">
        <v>144</v>
      </c>
      <c r="G54" s="1279" t="s">
        <v>481</v>
      </c>
      <c r="H54" s="1280">
        <v>86</v>
      </c>
      <c r="I54" s="969" t="s">
        <v>299</v>
      </c>
      <c r="J54" s="1265" t="s">
        <v>63</v>
      </c>
      <c r="K54" s="647"/>
      <c r="L54" s="1282">
        <v>45964</v>
      </c>
      <c r="M54" s="1265" t="s">
        <v>57</v>
      </c>
      <c r="N54" s="1308">
        <v>80698</v>
      </c>
      <c r="O54" s="1284" t="s">
        <v>57</v>
      </c>
      <c r="P54" s="1309" t="s">
        <v>300</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482</v>
      </c>
    </row>
    <row r="55" spans="1:30" ht="39.75" customHeight="1">
      <c r="A55" s="1307" t="s">
        <v>483</v>
      </c>
      <c r="B55" s="1139" t="s">
        <v>293</v>
      </c>
      <c r="C55" s="1278">
        <v>46021</v>
      </c>
      <c r="D55" s="968" t="s">
        <v>139</v>
      </c>
      <c r="E55" s="1278">
        <v>45959</v>
      </c>
      <c r="F55" s="1279" t="s">
        <v>144</v>
      </c>
      <c r="G55" s="1279" t="s">
        <v>484</v>
      </c>
      <c r="H55" s="1280">
        <v>85</v>
      </c>
      <c r="I55" s="969" t="s">
        <v>299</v>
      </c>
      <c r="J55" s="1265" t="s">
        <v>63</v>
      </c>
      <c r="K55" s="647"/>
      <c r="L55" s="1282">
        <v>45964</v>
      </c>
      <c r="M55" s="1265" t="s">
        <v>57</v>
      </c>
      <c r="N55" s="1308">
        <v>84770</v>
      </c>
      <c r="O55" s="1284" t="s">
        <v>57</v>
      </c>
      <c r="P55" s="1309" t="s">
        <v>300</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485</v>
      </c>
    </row>
    <row r="56" spans="1:30" ht="39.75" customHeight="1">
      <c r="A56" s="1307" t="s">
        <v>486</v>
      </c>
      <c r="B56" s="1139" t="s">
        <v>293</v>
      </c>
      <c r="C56" s="1278">
        <v>46019</v>
      </c>
      <c r="D56" s="968" t="s">
        <v>139</v>
      </c>
      <c r="E56" s="1278">
        <v>45959</v>
      </c>
      <c r="F56" s="1279" t="s">
        <v>144</v>
      </c>
      <c r="G56" s="1279" t="s">
        <v>487</v>
      </c>
      <c r="H56" s="1280">
        <v>87</v>
      </c>
      <c r="I56" s="969" t="s">
        <v>299</v>
      </c>
      <c r="J56" s="1265" t="s">
        <v>63</v>
      </c>
      <c r="K56" s="1281"/>
      <c r="L56" s="1282">
        <v>45964</v>
      </c>
      <c r="M56" s="1265" t="s">
        <v>57</v>
      </c>
      <c r="N56" s="1308">
        <v>87875</v>
      </c>
      <c r="O56" s="1284" t="s">
        <v>57</v>
      </c>
      <c r="P56" s="1309" t="s">
        <v>300</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488</v>
      </c>
      <c r="AD56" s="1475" t="s">
        <v>489</v>
      </c>
    </row>
    <row r="57" spans="1:30" ht="39.75" customHeight="1">
      <c r="A57" s="1307" t="s">
        <v>490</v>
      </c>
      <c r="B57" s="1139" t="s">
        <v>293</v>
      </c>
      <c r="C57" s="1372">
        <v>46052</v>
      </c>
      <c r="D57" s="968" t="s">
        <v>139</v>
      </c>
      <c r="E57" s="1278">
        <v>45987</v>
      </c>
      <c r="F57" s="1279" t="s">
        <v>144</v>
      </c>
      <c r="G57" s="1279" t="s">
        <v>491</v>
      </c>
      <c r="H57" s="1280">
        <v>76</v>
      </c>
      <c r="I57" s="969" t="s">
        <v>299</v>
      </c>
      <c r="J57" s="1265" t="s">
        <v>63</v>
      </c>
      <c r="K57" s="1281"/>
      <c r="L57" s="1282">
        <v>45987</v>
      </c>
      <c r="M57" s="1265" t="s">
        <v>57</v>
      </c>
      <c r="N57" s="1308">
        <v>74892.5</v>
      </c>
      <c r="O57" s="1284" t="s">
        <v>57</v>
      </c>
      <c r="P57" s="1346" t="s">
        <v>300</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492</v>
      </c>
    </row>
    <row r="58" spans="1:30" ht="39.75" customHeight="1">
      <c r="A58" s="1307" t="s">
        <v>493</v>
      </c>
      <c r="B58" s="1139" t="s">
        <v>293</v>
      </c>
      <c r="C58" s="1372">
        <v>46052</v>
      </c>
      <c r="D58" s="968" t="s">
        <v>139</v>
      </c>
      <c r="E58" s="1278">
        <v>45987</v>
      </c>
      <c r="F58" s="1382" t="s">
        <v>144</v>
      </c>
      <c r="G58" s="1279" t="s">
        <v>494</v>
      </c>
      <c r="H58" s="1280">
        <v>78</v>
      </c>
      <c r="I58" s="657" t="s">
        <v>299</v>
      </c>
      <c r="J58" s="1284" t="s">
        <v>63</v>
      </c>
      <c r="K58" s="1384"/>
      <c r="L58" s="1282">
        <v>45987</v>
      </c>
      <c r="M58" s="1265" t="s">
        <v>57</v>
      </c>
      <c r="N58" s="1308">
        <v>68606.5</v>
      </c>
      <c r="O58" s="1284" t="s">
        <v>57</v>
      </c>
      <c r="P58" s="1346" t="s">
        <v>300</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495</v>
      </c>
    </row>
    <row r="59" spans="1:30" ht="39.75" customHeight="1">
      <c r="A59" s="1307" t="s">
        <v>496</v>
      </c>
      <c r="B59" s="1139" t="s">
        <v>293</v>
      </c>
      <c r="C59" s="1278">
        <v>46019</v>
      </c>
      <c r="D59" s="968" t="s">
        <v>139</v>
      </c>
      <c r="E59" s="1278">
        <v>45959</v>
      </c>
      <c r="F59" s="1279" t="s">
        <v>144</v>
      </c>
      <c r="G59" s="1279" t="s">
        <v>497</v>
      </c>
      <c r="H59" s="1280">
        <v>0</v>
      </c>
      <c r="I59" s="969" t="s">
        <v>299</v>
      </c>
      <c r="J59" s="1265" t="s">
        <v>63</v>
      </c>
      <c r="K59" s="1281"/>
      <c r="L59" s="1282">
        <v>45961</v>
      </c>
      <c r="M59" s="1265" t="s">
        <v>57</v>
      </c>
      <c r="N59" s="1308">
        <v>64985.65</v>
      </c>
      <c r="O59" s="1284" t="s">
        <v>57</v>
      </c>
      <c r="P59" s="1346" t="s">
        <v>300</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498</v>
      </c>
    </row>
    <row r="60" spans="1:30" ht="39.75" customHeight="1">
      <c r="A60" s="1307" t="s">
        <v>499</v>
      </c>
      <c r="B60" s="1139" t="s">
        <v>293</v>
      </c>
      <c r="C60" s="1278">
        <v>46019</v>
      </c>
      <c r="D60" s="968" t="s">
        <v>139</v>
      </c>
      <c r="E60" s="1278">
        <v>45959</v>
      </c>
      <c r="F60" s="1279" t="s">
        <v>144</v>
      </c>
      <c r="G60" s="1279" t="s">
        <v>500</v>
      </c>
      <c r="H60" s="1280">
        <v>0</v>
      </c>
      <c r="I60" s="969" t="s">
        <v>299</v>
      </c>
      <c r="J60" s="1265" t="s">
        <v>63</v>
      </c>
      <c r="K60" s="1281"/>
      <c r="L60" s="1282">
        <v>45961</v>
      </c>
      <c r="M60" s="1265" t="s">
        <v>57</v>
      </c>
      <c r="N60" s="1308">
        <v>54043.5</v>
      </c>
      <c r="O60" s="1284" t="s">
        <v>57</v>
      </c>
      <c r="P60" s="1309" t="s">
        <v>300</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501</v>
      </c>
    </row>
    <row r="61" spans="1:30" ht="39.75" customHeight="1">
      <c r="A61" s="1064" t="s">
        <v>502</v>
      </c>
      <c r="B61" s="784" t="s">
        <v>50</v>
      </c>
      <c r="C61" s="882">
        <v>45991</v>
      </c>
      <c r="D61" s="1078" t="s">
        <v>187</v>
      </c>
      <c r="E61" s="57">
        <v>45743</v>
      </c>
      <c r="F61" s="767" t="s">
        <v>77</v>
      </c>
      <c r="G61" s="785" t="s">
        <v>503</v>
      </c>
      <c r="H61" s="771">
        <v>69</v>
      </c>
      <c r="I61" s="658" t="s">
        <v>299</v>
      </c>
      <c r="J61" s="469" t="s">
        <v>63</v>
      </c>
      <c r="K61" s="898"/>
      <c r="L61" s="51">
        <v>45741</v>
      </c>
      <c r="M61" s="376" t="s">
        <v>57</v>
      </c>
      <c r="N61" s="834">
        <v>67734.5</v>
      </c>
      <c r="O61" s="376" t="s">
        <v>57</v>
      </c>
      <c r="P61" s="1061" t="s">
        <v>300</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504</v>
      </c>
    </row>
    <row r="62" spans="1:30" ht="39.75" customHeight="1">
      <c r="A62" s="1260" t="s">
        <v>505</v>
      </c>
      <c r="B62" s="819" t="s">
        <v>50</v>
      </c>
      <c r="C62" s="1189">
        <v>46008</v>
      </c>
      <c r="D62" s="1189" t="s">
        <v>76</v>
      </c>
      <c r="E62" s="1209">
        <v>45743</v>
      </c>
      <c r="F62" s="1210" t="s">
        <v>77</v>
      </c>
      <c r="G62" s="1210" t="s">
        <v>506</v>
      </c>
      <c r="H62" s="1211">
        <v>54</v>
      </c>
      <c r="I62" s="658" t="s">
        <v>299</v>
      </c>
      <c r="J62" s="1191" t="s">
        <v>63</v>
      </c>
      <c r="K62" s="1212"/>
      <c r="L62" s="1209">
        <v>45741</v>
      </c>
      <c r="M62" s="1191" t="s">
        <v>57</v>
      </c>
      <c r="N62" s="1222">
        <v>48215.5</v>
      </c>
      <c r="O62" s="1191" t="s">
        <v>57</v>
      </c>
      <c r="P62" s="1463" t="s">
        <v>300</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507</v>
      </c>
    </row>
    <row r="63" spans="1:30" ht="39.75" customHeight="1">
      <c r="A63" s="1064" t="s">
        <v>508</v>
      </c>
      <c r="B63" s="766" t="s">
        <v>50</v>
      </c>
      <c r="C63" s="882">
        <v>45991</v>
      </c>
      <c r="D63" s="1065" t="s">
        <v>509</v>
      </c>
      <c r="E63" s="768">
        <v>45735</v>
      </c>
      <c r="F63" s="767" t="s">
        <v>77</v>
      </c>
      <c r="G63" s="770" t="s">
        <v>510</v>
      </c>
      <c r="H63" s="771">
        <v>70</v>
      </c>
      <c r="I63" s="470" t="s">
        <v>299</v>
      </c>
      <c r="J63" s="478" t="s">
        <v>63</v>
      </c>
      <c r="K63" s="52"/>
      <c r="L63" s="375">
        <v>45716</v>
      </c>
      <c r="M63" s="52" t="s">
        <v>57</v>
      </c>
      <c r="N63" s="1069">
        <v>56262.5</v>
      </c>
      <c r="O63" s="52" t="s">
        <v>57</v>
      </c>
      <c r="P63" s="1061" t="s">
        <v>300</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511</v>
      </c>
    </row>
    <row r="64" spans="1:30" ht="39.75" customHeight="1">
      <c r="A64" s="921" t="s">
        <v>512</v>
      </c>
      <c r="B64" s="819" t="s">
        <v>50</v>
      </c>
      <c r="C64" s="467">
        <v>45991</v>
      </c>
      <c r="D64" s="467" t="s">
        <v>187</v>
      </c>
      <c r="E64" s="476">
        <v>45748</v>
      </c>
      <c r="F64" s="475" t="s">
        <v>77</v>
      </c>
      <c r="G64" s="820" t="s">
        <v>513</v>
      </c>
      <c r="H64" s="478">
        <v>0</v>
      </c>
      <c r="I64" s="478" t="s">
        <v>299</v>
      </c>
      <c r="J64" s="469" t="s">
        <v>63</v>
      </c>
      <c r="K64" s="821"/>
      <c r="L64" s="476">
        <v>45741</v>
      </c>
      <c r="M64" s="469" t="s">
        <v>57</v>
      </c>
      <c r="N64" s="542">
        <v>17203.45</v>
      </c>
      <c r="O64" s="469" t="s">
        <v>57</v>
      </c>
      <c r="P64" s="967" t="s">
        <v>300</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514</v>
      </c>
    </row>
    <row r="65" spans="1:30" ht="39.75" customHeight="1">
      <c r="A65" s="1064" t="s">
        <v>515</v>
      </c>
      <c r="B65" s="784" t="s">
        <v>50</v>
      </c>
      <c r="C65" s="882">
        <v>45991</v>
      </c>
      <c r="D65" s="1078" t="s">
        <v>187</v>
      </c>
      <c r="E65" s="57">
        <v>45779</v>
      </c>
      <c r="F65" s="767" t="s">
        <v>77</v>
      </c>
      <c r="G65" s="785" t="s">
        <v>516</v>
      </c>
      <c r="H65" s="771">
        <v>0</v>
      </c>
      <c r="I65" s="478" t="s">
        <v>299</v>
      </c>
      <c r="J65" s="469" t="s">
        <v>63</v>
      </c>
      <c r="K65" s="898"/>
      <c r="L65" s="51">
        <v>45742</v>
      </c>
      <c r="M65" s="904" t="s">
        <v>57</v>
      </c>
      <c r="N65" s="1069">
        <v>23800.25</v>
      </c>
      <c r="O65" s="376" t="s">
        <v>57</v>
      </c>
      <c r="P65" s="1061" t="s">
        <v>300</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517</v>
      </c>
    </row>
    <row r="66" spans="1:30" ht="39.75" customHeight="1">
      <c r="A66" s="1260" t="s">
        <v>518</v>
      </c>
      <c r="B66" s="819" t="s">
        <v>50</v>
      </c>
      <c r="C66" s="1189">
        <v>46044</v>
      </c>
      <c r="D66" s="1189" t="s">
        <v>187</v>
      </c>
      <c r="E66" s="1209">
        <v>45700</v>
      </c>
      <c r="F66" s="1209" t="s">
        <v>77</v>
      </c>
      <c r="G66" s="1209" t="s">
        <v>519</v>
      </c>
      <c r="H66" s="1211">
        <v>0</v>
      </c>
      <c r="I66" s="1211" t="s">
        <v>299</v>
      </c>
      <c r="J66" s="1211" t="s">
        <v>63</v>
      </c>
      <c r="K66" s="1211"/>
      <c r="L66" s="1209">
        <v>45700</v>
      </c>
      <c r="M66" s="1211" t="s">
        <v>57</v>
      </c>
      <c r="N66" s="1222">
        <v>19745.25</v>
      </c>
      <c r="O66" s="1211" t="s">
        <v>57</v>
      </c>
      <c r="P66" s="1462" t="s">
        <v>300</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520</v>
      </c>
    </row>
    <row r="67" spans="1:30" ht="39.75" customHeight="1">
      <c r="A67" s="1260" t="s">
        <v>521</v>
      </c>
      <c r="B67" s="819" t="s">
        <v>50</v>
      </c>
      <c r="C67" s="1189">
        <v>46218</v>
      </c>
      <c r="D67" s="1189" t="s">
        <v>522</v>
      </c>
      <c r="E67" s="51" t="s">
        <v>52</v>
      </c>
      <c r="F67" s="1210" t="s">
        <v>77</v>
      </c>
      <c r="G67" s="1210" t="s">
        <v>523</v>
      </c>
      <c r="H67" s="1211">
        <v>380</v>
      </c>
      <c r="I67" s="658" t="s">
        <v>299</v>
      </c>
      <c r="J67" s="1191" t="s">
        <v>56</v>
      </c>
      <c r="K67" s="1235"/>
      <c r="L67" s="1209">
        <v>45964</v>
      </c>
      <c r="M67" s="1211" t="s">
        <v>57</v>
      </c>
      <c r="N67" s="1222">
        <v>117414</v>
      </c>
      <c r="O67" s="1211" t="s">
        <v>57</v>
      </c>
      <c r="P67" s="1261" t="s">
        <v>300</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524</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299</v>
      </c>
      <c r="J2" s="469" t="s">
        <v>63</v>
      </c>
      <c r="K2" s="469"/>
      <c r="L2" s="467">
        <v>45852</v>
      </c>
      <c r="M2" s="469" t="s">
        <v>57</v>
      </c>
      <c r="N2" s="541">
        <v>42837.2</v>
      </c>
      <c r="O2" s="469" t="s">
        <v>57</v>
      </c>
      <c r="P2" s="802" t="s">
        <v>300</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299</v>
      </c>
      <c r="J3" s="478" t="s">
        <v>63</v>
      </c>
      <c r="K3" s="486"/>
      <c r="L3" s="467">
        <v>45716</v>
      </c>
      <c r="M3" s="478" t="s">
        <v>57</v>
      </c>
      <c r="N3" s="542">
        <v>64932.55</v>
      </c>
      <c r="O3" s="478" t="s">
        <v>57</v>
      </c>
      <c r="P3" s="802" t="s">
        <v>300</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299</v>
      </c>
      <c r="J4" s="904" t="s">
        <v>63</v>
      </c>
      <c r="K4" s="904"/>
      <c r="L4" s="51">
        <v>45960</v>
      </c>
      <c r="M4" s="1423" t="s">
        <v>57</v>
      </c>
      <c r="N4" s="980">
        <v>4911.8999999999996</v>
      </c>
      <c r="O4" s="970" t="s">
        <v>57</v>
      </c>
      <c r="P4" s="908" t="s">
        <v>300</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367</v>
      </c>
      <c r="E5" s="428">
        <v>45707</v>
      </c>
      <c r="F5" s="475" t="s">
        <v>199</v>
      </c>
      <c r="G5" s="491" t="s">
        <v>535</v>
      </c>
      <c r="H5" s="483">
        <v>0</v>
      </c>
      <c r="I5" s="483" t="s">
        <v>299</v>
      </c>
      <c r="J5" s="483" t="s">
        <v>63</v>
      </c>
      <c r="K5" s="483"/>
      <c r="L5" s="476">
        <v>45708</v>
      </c>
      <c r="M5" s="483" t="s">
        <v>57</v>
      </c>
      <c r="N5" s="543">
        <v>87944.4</v>
      </c>
      <c r="O5" s="483" t="s">
        <v>57</v>
      </c>
      <c r="P5" s="802" t="s">
        <v>300</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299</v>
      </c>
      <c r="J6" s="478" t="s">
        <v>63</v>
      </c>
      <c r="K6" s="839"/>
      <c r="L6" s="467">
        <v>45716</v>
      </c>
      <c r="M6" s="478" t="s">
        <v>57</v>
      </c>
      <c r="N6" s="541">
        <v>2812.95</v>
      </c>
      <c r="O6" s="478" t="s">
        <v>57</v>
      </c>
      <c r="P6" s="802" t="s">
        <v>300</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367</v>
      </c>
      <c r="E7" s="476">
        <v>45866</v>
      </c>
      <c r="F7" s="475" t="s">
        <v>199</v>
      </c>
      <c r="G7" s="477" t="s">
        <v>540</v>
      </c>
      <c r="H7" s="478">
        <v>0</v>
      </c>
      <c r="I7" s="483" t="s">
        <v>299</v>
      </c>
      <c r="J7" s="478" t="s">
        <v>63</v>
      </c>
      <c r="K7" s="486"/>
      <c r="L7" s="476">
        <v>45863</v>
      </c>
      <c r="M7" s="478" t="s">
        <v>57</v>
      </c>
      <c r="N7" s="542">
        <v>143407.25</v>
      </c>
      <c r="O7" s="478" t="s">
        <v>57</v>
      </c>
      <c r="P7" s="802" t="s">
        <v>300</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299</v>
      </c>
      <c r="J8" s="478" t="s">
        <v>63</v>
      </c>
      <c r="K8" s="486"/>
      <c r="L8" s="476">
        <v>45881</v>
      </c>
      <c r="M8" s="478" t="s">
        <v>57</v>
      </c>
      <c r="N8" s="542">
        <v>4815.6499999999996</v>
      </c>
      <c r="O8" s="478" t="s">
        <v>57</v>
      </c>
      <c r="P8" s="802" t="s">
        <v>300</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299</v>
      </c>
      <c r="J9" s="393" t="s">
        <v>63</v>
      </c>
      <c r="K9" s="393"/>
      <c r="L9" s="831" t="s">
        <v>52</v>
      </c>
      <c r="M9" s="393" t="s">
        <v>57</v>
      </c>
      <c r="N9" s="834">
        <v>4646.75</v>
      </c>
      <c r="O9" s="393" t="s">
        <v>84</v>
      </c>
      <c r="P9" s="908" t="s">
        <v>300</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299</v>
      </c>
      <c r="J10" s="469" t="s">
        <v>63</v>
      </c>
      <c r="K10" s="469"/>
      <c r="L10" s="476">
        <v>45918</v>
      </c>
      <c r="M10" s="478" t="s">
        <v>57</v>
      </c>
      <c r="N10" s="542">
        <v>9611.9500000000007</v>
      </c>
      <c r="O10" s="478" t="s">
        <v>57</v>
      </c>
      <c r="P10" s="802" t="s">
        <v>300</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299</v>
      </c>
      <c r="J11" s="1191" t="s">
        <v>63</v>
      </c>
      <c r="K11" s="1191"/>
      <c r="L11" s="1189">
        <v>45994</v>
      </c>
      <c r="M11" s="1211" t="s">
        <v>57</v>
      </c>
      <c r="N11" s="1192">
        <v>42150</v>
      </c>
      <c r="O11" s="1211" t="s">
        <v>57</v>
      </c>
      <c r="P11" s="1357" t="s">
        <v>300</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299</v>
      </c>
      <c r="J12" s="478" t="s">
        <v>63</v>
      </c>
      <c r="K12" s="486"/>
      <c r="L12" s="476">
        <v>45888</v>
      </c>
      <c r="M12" s="478" t="s">
        <v>57</v>
      </c>
      <c r="N12" s="542">
        <v>53902</v>
      </c>
      <c r="O12" s="478" t="s">
        <v>57</v>
      </c>
      <c r="P12" s="802" t="s">
        <v>300</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299</v>
      </c>
      <c r="J13" s="469" t="s">
        <v>63</v>
      </c>
      <c r="K13" s="469"/>
      <c r="L13" s="467">
        <v>45897</v>
      </c>
      <c r="M13" s="469" t="s">
        <v>57</v>
      </c>
      <c r="N13" s="541">
        <v>44896.1</v>
      </c>
      <c r="O13" s="469" t="s">
        <v>57</v>
      </c>
      <c r="P13" s="802" t="s">
        <v>300</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299</v>
      </c>
      <c r="J14" s="469" t="s">
        <v>63</v>
      </c>
      <c r="K14" s="469"/>
      <c r="L14" s="467">
        <v>45903</v>
      </c>
      <c r="M14" s="469" t="s">
        <v>57</v>
      </c>
      <c r="N14" s="541">
        <v>59116.7</v>
      </c>
      <c r="O14" s="469" t="s">
        <v>57</v>
      </c>
      <c r="P14" s="802" t="s">
        <v>300</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299</v>
      </c>
      <c r="J15" s="1191" t="s">
        <v>63</v>
      </c>
      <c r="K15" s="1191"/>
      <c r="L15" s="1189">
        <v>45936</v>
      </c>
      <c r="M15" s="1191" t="s">
        <v>57</v>
      </c>
      <c r="N15" s="1192">
        <v>38192</v>
      </c>
      <c r="O15" s="1191" t="s">
        <v>57</v>
      </c>
      <c r="P15" s="1357" t="s">
        <v>300</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299</v>
      </c>
      <c r="J16" s="469" t="s">
        <v>63</v>
      </c>
      <c r="K16" s="469"/>
      <c r="L16" s="467">
        <v>45903</v>
      </c>
      <c r="M16" s="469" t="s">
        <v>57</v>
      </c>
      <c r="N16" s="541">
        <v>40406</v>
      </c>
      <c r="O16" s="469" t="s">
        <v>57</v>
      </c>
      <c r="P16" s="802" t="s">
        <v>300</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299</v>
      </c>
      <c r="J17" s="1191" t="s">
        <v>63</v>
      </c>
      <c r="K17" s="1191"/>
      <c r="L17" s="1189">
        <v>45936</v>
      </c>
      <c r="M17" s="1191" t="s">
        <v>57</v>
      </c>
      <c r="N17" s="1192">
        <v>37755.599999999999</v>
      </c>
      <c r="O17" s="1191" t="s">
        <v>57</v>
      </c>
      <c r="P17" s="1357" t="s">
        <v>300</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299</v>
      </c>
      <c r="J18" s="1191" t="s">
        <v>63</v>
      </c>
      <c r="K18" s="1191"/>
      <c r="L18" s="1189">
        <v>45972</v>
      </c>
      <c r="M18" s="1191" t="s">
        <v>57</v>
      </c>
      <c r="N18" s="1192">
        <v>27615.5</v>
      </c>
      <c r="O18" s="1191" t="s">
        <v>57</v>
      </c>
      <c r="P18" s="1357" t="s">
        <v>300</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299</v>
      </c>
      <c r="J19" s="1191" t="s">
        <v>63</v>
      </c>
      <c r="K19" s="469"/>
      <c r="L19" s="1189">
        <v>45999</v>
      </c>
      <c r="M19" s="1191" t="s">
        <v>57</v>
      </c>
      <c r="N19" s="1192">
        <v>74384</v>
      </c>
      <c r="O19" s="1191" t="s">
        <v>57</v>
      </c>
      <c r="P19" s="1357" t="s">
        <v>300</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299</v>
      </c>
      <c r="J20" s="469" t="s">
        <v>63</v>
      </c>
      <c r="K20" s="469"/>
      <c r="L20" s="467">
        <v>45979</v>
      </c>
      <c r="M20" s="469" t="s">
        <v>57</v>
      </c>
      <c r="N20" s="541">
        <v>29683</v>
      </c>
      <c r="O20" s="469" t="s">
        <v>57</v>
      </c>
      <c r="P20" s="802" t="s">
        <v>300</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299</v>
      </c>
      <c r="J21" s="469" t="s">
        <v>63</v>
      </c>
      <c r="K21" s="469"/>
      <c r="L21" s="467">
        <v>45933</v>
      </c>
      <c r="M21" s="469" t="s">
        <v>57</v>
      </c>
      <c r="N21" s="541">
        <v>26026</v>
      </c>
      <c r="O21" s="469" t="s">
        <v>57</v>
      </c>
      <c r="P21" s="802" t="s">
        <v>300</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299</v>
      </c>
      <c r="J22" s="469" t="s">
        <v>63</v>
      </c>
      <c r="K22" s="469"/>
      <c r="L22" s="467">
        <v>45912</v>
      </c>
      <c r="M22" s="469" t="s">
        <v>57</v>
      </c>
      <c r="N22" s="541">
        <v>82621.149999999994</v>
      </c>
      <c r="O22" s="469" t="s">
        <v>57</v>
      </c>
      <c r="P22" s="802" t="s">
        <v>300</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299</v>
      </c>
      <c r="J23" s="469" t="s">
        <v>63</v>
      </c>
      <c r="K23" s="469"/>
      <c r="L23" s="467">
        <v>45933</v>
      </c>
      <c r="M23" s="469" t="s">
        <v>57</v>
      </c>
      <c r="N23" s="541">
        <v>29646</v>
      </c>
      <c r="O23" s="469" t="s">
        <v>57</v>
      </c>
      <c r="P23" s="802" t="s">
        <v>300</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299</v>
      </c>
      <c r="J24" s="469" t="s">
        <v>63</v>
      </c>
      <c r="K24" s="469"/>
      <c r="L24" s="467">
        <v>45933</v>
      </c>
      <c r="M24" s="469" t="s">
        <v>57</v>
      </c>
      <c r="N24" s="541">
        <v>45014</v>
      </c>
      <c r="O24" s="469" t="s">
        <v>57</v>
      </c>
      <c r="P24" s="802" t="s">
        <v>300</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299</v>
      </c>
      <c r="J25" s="469" t="s">
        <v>63</v>
      </c>
      <c r="K25" s="469"/>
      <c r="L25" s="467">
        <v>45936</v>
      </c>
      <c r="M25" s="469" t="s">
        <v>57</v>
      </c>
      <c r="N25" s="541">
        <v>38796</v>
      </c>
      <c r="O25" s="469" t="s">
        <v>57</v>
      </c>
      <c r="P25" s="802" t="s">
        <v>300</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299</v>
      </c>
      <c r="J26" s="469" t="s">
        <v>63</v>
      </c>
      <c r="K26" s="469"/>
      <c r="L26" s="467">
        <v>45962</v>
      </c>
      <c r="M26" s="469" t="s">
        <v>57</v>
      </c>
      <c r="N26" s="541">
        <v>35050</v>
      </c>
      <c r="O26" s="469" t="s">
        <v>57</v>
      </c>
      <c r="P26" s="802" t="s">
        <v>300</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299</v>
      </c>
      <c r="J27" s="469" t="s">
        <v>63</v>
      </c>
      <c r="K27" s="469"/>
      <c r="L27" s="467">
        <v>45954</v>
      </c>
      <c r="M27" s="469" t="s">
        <v>57</v>
      </c>
      <c r="N27" s="541">
        <v>54228.7</v>
      </c>
      <c r="O27" s="469" t="s">
        <v>57</v>
      </c>
      <c r="P27" s="802" t="s">
        <v>300</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299</v>
      </c>
      <c r="J28" s="469" t="s">
        <v>63</v>
      </c>
      <c r="K28" s="469"/>
      <c r="L28" s="467">
        <v>45936</v>
      </c>
      <c r="M28" s="469" t="s">
        <v>57</v>
      </c>
      <c r="N28" s="541">
        <v>96748</v>
      </c>
      <c r="O28" s="469" t="s">
        <v>57</v>
      </c>
      <c r="P28" s="840" t="s">
        <v>300</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299</v>
      </c>
      <c r="J29" s="469" t="s">
        <v>63</v>
      </c>
      <c r="K29" s="469"/>
      <c r="L29" s="467">
        <v>45969</v>
      </c>
      <c r="M29" s="469" t="s">
        <v>57</v>
      </c>
      <c r="N29" s="541">
        <v>75672.100000000006</v>
      </c>
      <c r="O29" s="469" t="s">
        <v>57</v>
      </c>
      <c r="P29" s="1141" t="s">
        <v>300</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299</v>
      </c>
      <c r="J30" s="469" t="s">
        <v>63</v>
      </c>
      <c r="K30" s="469"/>
      <c r="L30" s="467">
        <v>45967</v>
      </c>
      <c r="M30" s="469" t="s">
        <v>57</v>
      </c>
      <c r="N30" s="541">
        <v>76565.850000000006</v>
      </c>
      <c r="O30" s="469" t="s">
        <v>57</v>
      </c>
      <c r="P30" s="1141" t="s">
        <v>300</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299</v>
      </c>
      <c r="J31" s="469" t="s">
        <v>63</v>
      </c>
      <c r="K31" s="469"/>
      <c r="L31" s="467">
        <v>45967</v>
      </c>
      <c r="M31" s="469" t="s">
        <v>57</v>
      </c>
      <c r="N31" s="541">
        <v>60620</v>
      </c>
      <c r="O31" s="469" t="s">
        <v>57</v>
      </c>
      <c r="P31" s="1407" t="s">
        <v>300</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299</v>
      </c>
      <c r="J32" s="1191" t="s">
        <v>63</v>
      </c>
      <c r="K32" s="1191"/>
      <c r="L32" s="1189">
        <v>45965</v>
      </c>
      <c r="M32" s="1191" t="s">
        <v>57</v>
      </c>
      <c r="N32" s="1192">
        <v>18021.7</v>
      </c>
      <c r="O32" s="1191" t="s">
        <v>57</v>
      </c>
      <c r="P32" s="1357" t="s">
        <v>300</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299</v>
      </c>
      <c r="J33" s="1191" t="s">
        <v>63</v>
      </c>
      <c r="K33" s="1191"/>
      <c r="L33" s="1189">
        <v>45965</v>
      </c>
      <c r="M33" s="1191" t="s">
        <v>57</v>
      </c>
      <c r="N33" s="1192">
        <v>20705</v>
      </c>
      <c r="O33" s="1191" t="s">
        <v>57</v>
      </c>
      <c r="P33" s="1357" t="s">
        <v>300</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299</v>
      </c>
      <c r="J34" s="469" t="s">
        <v>63</v>
      </c>
      <c r="K34" s="469"/>
      <c r="L34" s="467">
        <v>45968</v>
      </c>
      <c r="M34" s="469" t="s">
        <v>57</v>
      </c>
      <c r="N34" s="541">
        <v>12840.7</v>
      </c>
      <c r="O34" s="469" t="s">
        <v>57</v>
      </c>
      <c r="P34" s="802" t="s">
        <v>300</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299</v>
      </c>
      <c r="J35" s="1191" t="s">
        <v>63</v>
      </c>
      <c r="K35" s="469"/>
      <c r="L35" s="1189" t="s">
        <v>141</v>
      </c>
      <c r="M35" s="1191" t="s">
        <v>57</v>
      </c>
      <c r="N35" s="1192">
        <v>23475.5</v>
      </c>
      <c r="O35" s="1255" t="s">
        <v>57</v>
      </c>
      <c r="P35" s="1413" t="s">
        <v>300</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299</v>
      </c>
      <c r="J36" s="1191" t="s">
        <v>63</v>
      </c>
      <c r="K36" s="1191"/>
      <c r="L36" s="1189" t="s">
        <v>141</v>
      </c>
      <c r="M36" s="1191" t="s">
        <v>57</v>
      </c>
      <c r="N36" s="1192">
        <v>11500.3</v>
      </c>
      <c r="O36" s="1255" t="s">
        <v>57</v>
      </c>
      <c r="P36" s="1413" t="s">
        <v>300</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299</v>
      </c>
      <c r="J37" s="469" t="s">
        <v>63</v>
      </c>
      <c r="K37" s="469"/>
      <c r="L37" s="467" t="s">
        <v>141</v>
      </c>
      <c r="M37" s="469" t="s">
        <v>57</v>
      </c>
      <c r="N37" s="541">
        <v>51970</v>
      </c>
      <c r="O37" s="87" t="s">
        <v>57</v>
      </c>
      <c r="P37" s="1414" t="s">
        <v>300</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299</v>
      </c>
      <c r="J38" s="469" t="s">
        <v>63</v>
      </c>
      <c r="K38" s="469"/>
      <c r="L38" s="467" t="s">
        <v>141</v>
      </c>
      <c r="M38" s="469" t="s">
        <v>57</v>
      </c>
      <c r="N38" s="541">
        <v>39221.800000000003</v>
      </c>
      <c r="O38" s="1412" t="s">
        <v>57</v>
      </c>
      <c r="P38" s="1326" t="s">
        <v>300</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427</v>
      </c>
      <c r="E39" s="467">
        <v>45958</v>
      </c>
      <c r="F39" s="465" t="s">
        <v>124</v>
      </c>
      <c r="G39" s="468" t="s">
        <v>622</v>
      </c>
      <c r="H39" s="469">
        <v>303</v>
      </c>
      <c r="I39" s="658" t="s">
        <v>299</v>
      </c>
      <c r="J39" s="469" t="s">
        <v>56</v>
      </c>
      <c r="K39" s="469"/>
      <c r="L39" s="467">
        <v>45953</v>
      </c>
      <c r="M39" s="469" t="s">
        <v>57</v>
      </c>
      <c r="N39" s="541">
        <v>168480.8</v>
      </c>
      <c r="O39" s="469" t="s">
        <v>57</v>
      </c>
      <c r="P39" s="802" t="s">
        <v>300</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299</v>
      </c>
      <c r="J40" s="469" t="s">
        <v>56</v>
      </c>
      <c r="K40" s="469"/>
      <c r="L40" s="467">
        <v>45905</v>
      </c>
      <c r="M40" s="469" t="s">
        <v>57</v>
      </c>
      <c r="N40" s="541">
        <v>145985.5</v>
      </c>
      <c r="O40" s="469" t="s">
        <v>57</v>
      </c>
      <c r="P40" s="1096" t="s">
        <v>300</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299</v>
      </c>
      <c r="J41" s="469" t="s">
        <v>56</v>
      </c>
      <c r="K41" s="469"/>
      <c r="L41" s="465" t="s">
        <v>300</v>
      </c>
      <c r="M41" s="469" t="s">
        <v>57</v>
      </c>
      <c r="N41" s="541">
        <v>30892</v>
      </c>
      <c r="O41" s="469" t="s">
        <v>57</v>
      </c>
      <c r="P41" s="802" t="s">
        <v>300</v>
      </c>
      <c r="Q41" s="471">
        <v>45911</v>
      </c>
      <c r="R41" s="471"/>
      <c r="S41" s="471"/>
      <c r="T41" s="471"/>
      <c r="U41" s="485" t="s">
        <v>527</v>
      </c>
      <c r="V41" s="783">
        <v>2811</v>
      </c>
      <c r="W41" s="874">
        <v>2732</v>
      </c>
      <c r="X41" s="106">
        <f>SUM(V41-W41)</f>
        <v>79</v>
      </c>
      <c r="Y41" s="22">
        <f>IFERROR($W41/$V41, 0)</f>
        <v>0.97189612237637857</v>
      </c>
      <c r="Z41" s="54">
        <v>45922</v>
      </c>
      <c r="AA41" s="1427">
        <v>1</v>
      </c>
      <c r="AB41" s="355">
        <v>1</v>
      </c>
      <c r="AC41" s="472">
        <v>0</v>
      </c>
      <c r="AD41" s="661" t="s">
        <v>630</v>
      </c>
    </row>
    <row r="42" spans="1:30" ht="39.75" customHeight="1">
      <c r="A42" s="849" t="s">
        <v>631</v>
      </c>
      <c r="B42" s="465" t="s">
        <v>101</v>
      </c>
      <c r="C42" s="467">
        <v>46017</v>
      </c>
      <c r="D42" s="467" t="s">
        <v>430</v>
      </c>
      <c r="E42" s="467">
        <v>45936</v>
      </c>
      <c r="F42" s="465" t="s">
        <v>102</v>
      </c>
      <c r="G42" s="468"/>
      <c r="H42" s="469">
        <v>157</v>
      </c>
      <c r="I42" s="658" t="s">
        <v>299</v>
      </c>
      <c r="J42" s="469" t="s">
        <v>56</v>
      </c>
      <c r="K42" s="469"/>
      <c r="L42" s="467">
        <v>45943</v>
      </c>
      <c r="M42" s="469" t="s">
        <v>57</v>
      </c>
      <c r="N42" s="541">
        <v>64059.5</v>
      </c>
      <c r="O42" s="469" t="s">
        <v>57</v>
      </c>
      <c r="P42" s="855" t="s">
        <v>300</v>
      </c>
      <c r="Q42" s="471">
        <v>45943</v>
      </c>
      <c r="R42" s="471"/>
      <c r="S42" s="471"/>
      <c r="T42" s="471"/>
      <c r="U42" s="485" t="s">
        <v>527</v>
      </c>
      <c r="V42" s="472">
        <v>4725</v>
      </c>
      <c r="W42" s="874">
        <v>4535</v>
      </c>
      <c r="X42" s="106">
        <v>0</v>
      </c>
      <c r="Y42" s="654">
        <v>0.96</v>
      </c>
      <c r="Z42" s="54">
        <v>45971</v>
      </c>
      <c r="AA42" s="1427">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300</v>
      </c>
      <c r="M43" s="380" t="s">
        <v>57</v>
      </c>
      <c r="N43" s="1069">
        <v>64790.5</v>
      </c>
      <c r="O43" s="380" t="s">
        <v>57</v>
      </c>
      <c r="P43" s="1088" t="s">
        <v>300</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299</v>
      </c>
      <c r="J44" s="469" t="s">
        <v>63</v>
      </c>
      <c r="K44" s="478"/>
      <c r="L44" s="467">
        <v>45917</v>
      </c>
      <c r="M44" s="469" t="s">
        <v>57</v>
      </c>
      <c r="N44" s="541">
        <v>45500</v>
      </c>
      <c r="O44" s="469" t="s">
        <v>57</v>
      </c>
      <c r="P44" s="802" t="s">
        <v>300</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299</v>
      </c>
      <c r="J45" s="469" t="s">
        <v>63</v>
      </c>
      <c r="K45" s="821"/>
      <c r="L45" s="476">
        <v>45741</v>
      </c>
      <c r="M45" s="469" t="s">
        <v>57</v>
      </c>
      <c r="N45" s="542">
        <v>67735.5</v>
      </c>
      <c r="O45" s="469" t="s">
        <v>57</v>
      </c>
      <c r="P45" s="802" t="s">
        <v>300</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300</v>
      </c>
      <c r="J46" s="824" t="s">
        <v>63</v>
      </c>
      <c r="K46" s="824"/>
      <c r="L46" s="822">
        <v>45705</v>
      </c>
      <c r="M46" s="824" t="s">
        <v>57</v>
      </c>
      <c r="N46" s="845">
        <v>1295</v>
      </c>
      <c r="O46" s="824" t="s">
        <v>57</v>
      </c>
      <c r="P46" s="802" t="s">
        <v>300</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299</v>
      </c>
      <c r="J47" s="469" t="s">
        <v>56</v>
      </c>
      <c r="K47" s="824"/>
      <c r="L47" s="822">
        <v>46303</v>
      </c>
      <c r="M47" s="853" t="s">
        <v>57</v>
      </c>
      <c r="N47" s="1069">
        <v>86136</v>
      </c>
      <c r="O47" s="853" t="s">
        <v>57</v>
      </c>
      <c r="P47" s="855" t="s">
        <v>300</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299</v>
      </c>
      <c r="J48" s="469" t="s">
        <v>56</v>
      </c>
      <c r="K48" s="771"/>
      <c r="L48" s="57" t="s">
        <v>52</v>
      </c>
      <c r="M48" s="970" t="s">
        <v>57</v>
      </c>
      <c r="N48" s="1069">
        <v>42766.5</v>
      </c>
      <c r="O48" s="52" t="s">
        <v>57</v>
      </c>
      <c r="P48" s="1088" t="s">
        <v>300</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300</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348</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299</v>
      </c>
      <c r="J2" s="52" t="s">
        <v>63</v>
      </c>
      <c r="K2" s="51">
        <v>45701</v>
      </c>
      <c r="L2" s="380" t="s">
        <v>57</v>
      </c>
      <c r="M2" s="426">
        <v>55089</v>
      </c>
      <c r="N2" s="551">
        <v>57509</v>
      </c>
      <c r="O2" s="765" t="s">
        <v>57</v>
      </c>
      <c r="P2" s="376" t="s">
        <v>300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299</v>
      </c>
      <c r="J3" s="478" t="s">
        <v>63</v>
      </c>
      <c r="K3" s="467">
        <v>45716</v>
      </c>
      <c r="L3" s="478" t="s">
        <v>57</v>
      </c>
      <c r="M3" s="773">
        <v>28777</v>
      </c>
      <c r="N3" s="551">
        <v>28496.799999999999</v>
      </c>
      <c r="O3" s="478" t="s">
        <v>57</v>
      </c>
      <c r="P3" s="781" t="s">
        <v>300</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299</v>
      </c>
      <c r="J4" s="52" t="s">
        <v>63</v>
      </c>
      <c r="K4" s="609">
        <v>45718</v>
      </c>
      <c r="L4" s="52" t="s">
        <v>57</v>
      </c>
      <c r="M4" s="426">
        <v>200394.1</v>
      </c>
      <c r="N4" s="426">
        <v>209003.94</v>
      </c>
      <c r="O4" s="52" t="s">
        <v>57</v>
      </c>
      <c r="P4" s="437" t="s">
        <v>300</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299</v>
      </c>
      <c r="J5" s="52" t="s">
        <v>63</v>
      </c>
      <c r="K5" s="51">
        <v>45708</v>
      </c>
      <c r="L5" s="52" t="s">
        <v>57</v>
      </c>
      <c r="M5" s="426">
        <v>62460.45</v>
      </c>
      <c r="N5" s="551">
        <v>61491.05</v>
      </c>
      <c r="O5" s="52" t="s">
        <v>57</v>
      </c>
      <c r="P5" s="52" t="s">
        <v>300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299</v>
      </c>
      <c r="J6" s="376" t="s">
        <v>63</v>
      </c>
      <c r="K6" s="375">
        <v>45735</v>
      </c>
      <c r="L6" s="376" t="s">
        <v>57</v>
      </c>
      <c r="M6" s="429">
        <v>15690.1</v>
      </c>
      <c r="N6" s="551">
        <v>16153.75</v>
      </c>
      <c r="O6" s="376" t="s">
        <v>57</v>
      </c>
      <c r="P6" s="376" t="s">
        <v>300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299</v>
      </c>
      <c r="J7" s="376" t="s">
        <v>63</v>
      </c>
      <c r="K7" s="375">
        <v>45793</v>
      </c>
      <c r="L7" s="376" t="s">
        <v>57</v>
      </c>
      <c r="M7" s="429">
        <v>104070.8</v>
      </c>
      <c r="N7" s="426">
        <v>106593.55</v>
      </c>
      <c r="O7" s="376" t="s">
        <v>57</v>
      </c>
      <c r="P7" s="437" t="s">
        <v>300</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299</v>
      </c>
      <c r="J8" s="376" t="s">
        <v>63</v>
      </c>
      <c r="K8" s="375">
        <v>45782</v>
      </c>
      <c r="L8" s="376" t="s">
        <v>57</v>
      </c>
      <c r="M8" s="429">
        <v>119135.3</v>
      </c>
      <c r="N8" s="426">
        <v>121256.65</v>
      </c>
      <c r="O8" s="376" t="s">
        <v>57</v>
      </c>
      <c r="P8" s="376" t="s">
        <v>300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299</v>
      </c>
      <c r="J9" s="52" t="s">
        <v>63</v>
      </c>
      <c r="K9" s="50" t="s">
        <v>300</v>
      </c>
      <c r="L9" s="52" t="s">
        <v>57</v>
      </c>
      <c r="M9" s="426">
        <v>12601.45</v>
      </c>
      <c r="N9" s="551">
        <v>13008.1</v>
      </c>
      <c r="O9" s="52" t="s">
        <v>57</v>
      </c>
      <c r="P9" s="52" t="s">
        <v>300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299</v>
      </c>
      <c r="J10" s="52" t="s">
        <v>63</v>
      </c>
      <c r="K10" s="375">
        <v>45826</v>
      </c>
      <c r="L10" s="376" t="s">
        <v>57</v>
      </c>
      <c r="M10" s="429">
        <v>144886</v>
      </c>
      <c r="N10" s="426">
        <v>138688</v>
      </c>
      <c r="O10" s="376" t="s">
        <v>57</v>
      </c>
      <c r="P10" s="437" t="s">
        <v>300</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300</v>
      </c>
      <c r="L11" s="664" t="s">
        <v>57</v>
      </c>
      <c r="M11" s="429">
        <v>47461.5</v>
      </c>
      <c r="N11" s="566">
        <v>45340</v>
      </c>
      <c r="O11" s="664" t="s">
        <v>57</v>
      </c>
      <c r="P11" s="376" t="s">
        <v>300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300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300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299</v>
      </c>
      <c r="J14" s="52" t="s">
        <v>63</v>
      </c>
      <c r="K14" s="662">
        <v>45756</v>
      </c>
      <c r="L14" s="52" t="s">
        <v>57</v>
      </c>
      <c r="M14" s="426">
        <v>67171.5</v>
      </c>
      <c r="N14" s="551">
        <v>64739</v>
      </c>
      <c r="O14" s="52" t="s">
        <v>57</v>
      </c>
      <c r="P14" s="52" t="s">
        <v>300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299</v>
      </c>
      <c r="J15" s="52" t="s">
        <v>63</v>
      </c>
      <c r="K15" s="51">
        <v>45749</v>
      </c>
      <c r="L15" s="52" t="s">
        <v>57</v>
      </c>
      <c r="M15" s="426">
        <v>72492</v>
      </c>
      <c r="N15" s="551">
        <v>73087.5</v>
      </c>
      <c r="O15" s="52" t="s">
        <v>57</v>
      </c>
      <c r="P15" s="52" t="s">
        <v>300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299</v>
      </c>
      <c r="J16" s="52" t="s">
        <v>63</v>
      </c>
      <c r="K16" s="51">
        <v>45750</v>
      </c>
      <c r="L16" s="52" t="s">
        <v>57</v>
      </c>
      <c r="M16" s="426">
        <v>51295</v>
      </c>
      <c r="N16" s="551">
        <v>51485.5</v>
      </c>
      <c r="O16" s="52" t="s">
        <v>57</v>
      </c>
      <c r="P16" s="52" t="s">
        <v>300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299</v>
      </c>
      <c r="J17" s="52" t="s">
        <v>63</v>
      </c>
      <c r="K17" s="50" t="s">
        <v>300</v>
      </c>
      <c r="L17" s="657" t="s">
        <v>57</v>
      </c>
      <c r="M17" s="426">
        <v>26617</v>
      </c>
      <c r="N17" s="567">
        <v>25405</v>
      </c>
      <c r="O17" s="657" t="s">
        <v>57</v>
      </c>
      <c r="P17" s="52" t="s">
        <v>300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300</v>
      </c>
      <c r="L18" s="657" t="s">
        <v>57</v>
      </c>
      <c r="M18" s="426">
        <v>72118</v>
      </c>
      <c r="N18" s="670">
        <v>70778</v>
      </c>
      <c r="O18" s="657" t="s">
        <v>57</v>
      </c>
      <c r="P18" s="52" t="s">
        <v>300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300</v>
      </c>
      <c r="L19" s="657" t="s">
        <v>57</v>
      </c>
      <c r="M19" s="426">
        <v>69288</v>
      </c>
      <c r="N19" s="567">
        <v>70664</v>
      </c>
      <c r="O19" s="657" t="s">
        <v>57</v>
      </c>
      <c r="P19" s="52" t="s">
        <v>300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300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300</v>
      </c>
      <c r="L21" s="657" t="s">
        <v>57</v>
      </c>
      <c r="M21" s="426">
        <v>83754</v>
      </c>
      <c r="N21" s="567">
        <v>80572.5</v>
      </c>
      <c r="O21" s="657" t="s">
        <v>57</v>
      </c>
      <c r="P21" s="52" t="s">
        <v>300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300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299</v>
      </c>
      <c r="J23" s="52" t="s">
        <v>63</v>
      </c>
      <c r="K23" s="51">
        <v>45733</v>
      </c>
      <c r="L23" s="52" t="s">
        <v>57</v>
      </c>
      <c r="M23" s="426">
        <v>50824.5</v>
      </c>
      <c r="N23" s="567">
        <v>50928.5</v>
      </c>
      <c r="O23" s="52" t="s">
        <v>57</v>
      </c>
      <c r="P23" s="52" t="s">
        <v>300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299</v>
      </c>
      <c r="J24" s="52" t="s">
        <v>63</v>
      </c>
      <c r="K24" s="51">
        <v>45737</v>
      </c>
      <c r="L24" s="52" t="s">
        <v>57</v>
      </c>
      <c r="M24" s="426">
        <v>83462</v>
      </c>
      <c r="N24" s="567">
        <v>83033</v>
      </c>
      <c r="O24" s="52" t="s">
        <v>57</v>
      </c>
      <c r="P24" s="52" t="s">
        <v>300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300</v>
      </c>
      <c r="L25" s="52" t="s">
        <v>57</v>
      </c>
      <c r="M25" s="426">
        <v>47414</v>
      </c>
      <c r="N25" s="567">
        <v>45744</v>
      </c>
      <c r="O25" s="52" t="s">
        <v>57</v>
      </c>
      <c r="P25" s="52" t="s">
        <v>300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299</v>
      </c>
      <c r="J26" s="52" t="s">
        <v>63</v>
      </c>
      <c r="K26" s="51">
        <v>45736</v>
      </c>
      <c r="L26" s="52" t="s">
        <v>57</v>
      </c>
      <c r="M26" s="426">
        <v>59562.5</v>
      </c>
      <c r="N26" s="567">
        <v>52525.5</v>
      </c>
      <c r="O26" s="52" t="s">
        <v>57</v>
      </c>
      <c r="P26" s="52" t="s">
        <v>300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299</v>
      </c>
      <c r="J27" s="52" t="s">
        <v>63</v>
      </c>
      <c r="K27" s="51">
        <v>45735</v>
      </c>
      <c r="L27" s="52" t="s">
        <v>57</v>
      </c>
      <c r="M27" s="426">
        <v>41187</v>
      </c>
      <c r="N27" s="567">
        <v>39597.5</v>
      </c>
      <c r="O27" s="52" t="s">
        <v>57</v>
      </c>
      <c r="P27" s="52" t="s">
        <v>300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299</v>
      </c>
      <c r="J28" s="52" t="s">
        <v>63</v>
      </c>
      <c r="K28" s="50" t="s">
        <v>300</v>
      </c>
      <c r="L28" s="52" t="s">
        <v>57</v>
      </c>
      <c r="M28" s="426">
        <v>14497.5</v>
      </c>
      <c r="N28" s="567">
        <v>14042</v>
      </c>
      <c r="O28" s="52" t="s">
        <v>57</v>
      </c>
      <c r="P28" s="52" t="s">
        <v>300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299</v>
      </c>
      <c r="J29" s="376" t="s">
        <v>63</v>
      </c>
      <c r="K29" s="375">
        <v>45840</v>
      </c>
      <c r="L29" s="376" t="s">
        <v>57</v>
      </c>
      <c r="M29" s="429">
        <v>10430.549999999999</v>
      </c>
      <c r="N29" s="426">
        <v>37639.800000000003</v>
      </c>
      <c r="O29" s="376" t="s">
        <v>57</v>
      </c>
      <c r="P29" s="1397" t="s">
        <v>300</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299</v>
      </c>
      <c r="J30" s="376" t="s">
        <v>63</v>
      </c>
      <c r="K30" s="375">
        <v>45912</v>
      </c>
      <c r="L30" s="376" t="s">
        <v>57</v>
      </c>
      <c r="M30" s="429">
        <v>60115.95</v>
      </c>
      <c r="N30" s="426">
        <v>58210</v>
      </c>
      <c r="O30" s="376" t="s">
        <v>57</v>
      </c>
      <c r="P30" s="1043" t="s">
        <v>300</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299</v>
      </c>
      <c r="J31" s="376" t="s">
        <v>63</v>
      </c>
      <c r="K31" s="375">
        <v>45847</v>
      </c>
      <c r="L31" s="376" t="s">
        <v>57</v>
      </c>
      <c r="M31" s="429">
        <v>71310.899999999994</v>
      </c>
      <c r="N31" s="426">
        <v>62984.35</v>
      </c>
      <c r="O31" s="376" t="s">
        <v>57</v>
      </c>
      <c r="P31" s="437" t="s">
        <v>300</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299</v>
      </c>
      <c r="J32" s="376" t="s">
        <v>63</v>
      </c>
      <c r="K32" s="375">
        <v>45840</v>
      </c>
      <c r="L32" s="376" t="s">
        <v>57</v>
      </c>
      <c r="M32" s="429">
        <v>53605.2</v>
      </c>
      <c r="N32" s="426">
        <v>52185.2</v>
      </c>
      <c r="O32" s="376" t="s">
        <v>57</v>
      </c>
      <c r="P32" s="437" t="s">
        <v>300</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299</v>
      </c>
      <c r="J33" s="376" t="s">
        <v>63</v>
      </c>
      <c r="K33" s="375">
        <v>45833</v>
      </c>
      <c r="L33" s="376" t="s">
        <v>57</v>
      </c>
      <c r="M33" s="429">
        <v>32940.449999999997</v>
      </c>
      <c r="N33" s="426">
        <v>43258.2</v>
      </c>
      <c r="O33" s="376" t="s">
        <v>57</v>
      </c>
      <c r="P33" s="1035" t="s">
        <v>300</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299</v>
      </c>
      <c r="J34" s="376" t="s">
        <v>63</v>
      </c>
      <c r="K34" s="375">
        <v>45840</v>
      </c>
      <c r="L34" s="376" t="s">
        <v>57</v>
      </c>
      <c r="M34" s="429">
        <v>23404.75</v>
      </c>
      <c r="N34" s="426">
        <v>18702.400000000001</v>
      </c>
      <c r="O34" s="376" t="s">
        <v>57</v>
      </c>
      <c r="P34" s="1043" t="s">
        <v>300</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299</v>
      </c>
      <c r="J35" s="376" t="s">
        <v>63</v>
      </c>
      <c r="K35" s="375">
        <v>45887</v>
      </c>
      <c r="L35" s="376" t="s">
        <v>57</v>
      </c>
      <c r="M35" s="429">
        <v>37930</v>
      </c>
      <c r="N35" s="426">
        <v>38208</v>
      </c>
      <c r="O35" s="376" t="s">
        <v>57</v>
      </c>
      <c r="P35" s="1035" t="s">
        <v>300</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299</v>
      </c>
      <c r="J36" s="52" t="s">
        <v>63</v>
      </c>
      <c r="K36" s="51">
        <v>45762</v>
      </c>
      <c r="L36" s="52" t="s">
        <v>57</v>
      </c>
      <c r="M36" s="426">
        <v>62502</v>
      </c>
      <c r="N36" s="551">
        <v>59129.5</v>
      </c>
      <c r="O36" s="52" t="s">
        <v>57</v>
      </c>
      <c r="P36" s="52" t="s">
        <v>300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299</v>
      </c>
      <c r="J37" s="52" t="s">
        <v>63</v>
      </c>
      <c r="K37" s="51">
        <v>45762</v>
      </c>
      <c r="L37" s="52" t="s">
        <v>57</v>
      </c>
      <c r="M37" s="426">
        <v>70705.5</v>
      </c>
      <c r="N37" s="551">
        <v>67666</v>
      </c>
      <c r="O37" s="52" t="s">
        <v>57</v>
      </c>
      <c r="P37" s="52" t="s">
        <v>300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299</v>
      </c>
      <c r="J38" s="52" t="s">
        <v>63</v>
      </c>
      <c r="K38" s="51">
        <v>45762</v>
      </c>
      <c r="L38" s="52" t="s">
        <v>57</v>
      </c>
      <c r="M38" s="426">
        <v>66004.5</v>
      </c>
      <c r="N38" s="551">
        <v>64943.5</v>
      </c>
      <c r="O38" s="52" t="s">
        <v>57</v>
      </c>
      <c r="P38" s="52" t="s">
        <v>300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299</v>
      </c>
      <c r="J39" s="376" t="s">
        <v>63</v>
      </c>
      <c r="K39" s="375">
        <v>45790</v>
      </c>
      <c r="L39" s="376" t="s">
        <v>57</v>
      </c>
      <c r="M39" s="429">
        <v>57237</v>
      </c>
      <c r="N39" s="565">
        <v>55777</v>
      </c>
      <c r="O39" s="52" t="s">
        <v>57</v>
      </c>
      <c r="P39" s="376" t="s">
        <v>300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300</v>
      </c>
      <c r="J40" s="116" t="s">
        <v>63</v>
      </c>
      <c r="K40" s="508">
        <v>45673</v>
      </c>
      <c r="L40" s="503" t="s">
        <v>57</v>
      </c>
      <c r="M40" s="772">
        <v>24886.5</v>
      </c>
      <c r="N40" s="803">
        <v>7262</v>
      </c>
      <c r="O40" s="503" t="s">
        <v>57</v>
      </c>
      <c r="P40" s="809" t="s">
        <v>300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299</v>
      </c>
      <c r="J41" s="904" t="s">
        <v>63</v>
      </c>
      <c r="K41" s="375">
        <v>45848</v>
      </c>
      <c r="L41" s="376" t="s">
        <v>57</v>
      </c>
      <c r="M41" s="992">
        <v>23436.55</v>
      </c>
      <c r="N41" s="426">
        <v>15484.65</v>
      </c>
      <c r="O41" s="376" t="s">
        <v>57</v>
      </c>
      <c r="P41" s="1043" t="s">
        <v>300</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299</v>
      </c>
      <c r="J42" s="1151" t="s">
        <v>63</v>
      </c>
      <c r="K42" s="51" t="s">
        <v>52</v>
      </c>
      <c r="L42" s="376" t="s">
        <v>57</v>
      </c>
      <c r="M42" s="429">
        <v>1343</v>
      </c>
      <c r="N42" s="1153">
        <v>2310</v>
      </c>
      <c r="O42" s="376" t="s">
        <v>57</v>
      </c>
      <c r="P42" s="1043" t="s">
        <v>300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299</v>
      </c>
      <c r="J43" s="469" t="s">
        <v>63</v>
      </c>
      <c r="K43" s="476">
        <v>45902</v>
      </c>
      <c r="L43" s="469" t="s">
        <v>57</v>
      </c>
      <c r="M43" s="992">
        <v>5604.6</v>
      </c>
      <c r="N43" s="551">
        <v>7746.35</v>
      </c>
      <c r="O43" s="469" t="s">
        <v>57</v>
      </c>
      <c r="P43" s="485" t="s">
        <v>300</v>
      </c>
      <c r="Q43" s="54">
        <v>45902</v>
      </c>
      <c r="R43" s="106">
        <v>328</v>
      </c>
      <c r="S43" s="106">
        <v>335</v>
      </c>
      <c r="T43" s="1429">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299</v>
      </c>
      <c r="J44" s="952" t="s">
        <v>63</v>
      </c>
      <c r="K44" s="935">
        <v>45870</v>
      </c>
      <c r="L44" s="952" t="s">
        <v>57</v>
      </c>
      <c r="M44" s="954">
        <v>49307.5</v>
      </c>
      <c r="N44" s="426">
        <v>47409</v>
      </c>
      <c r="O44" s="952" t="s">
        <v>57</v>
      </c>
      <c r="P44" s="1173" t="s">
        <v>300</v>
      </c>
      <c r="Q44" s="1431">
        <v>45870</v>
      </c>
      <c r="R44" s="1430">
        <v>3914</v>
      </c>
      <c r="S44" s="1430">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299</v>
      </c>
      <c r="J45" s="376" t="s">
        <v>63</v>
      </c>
      <c r="K45" s="375">
        <v>45705</v>
      </c>
      <c r="L45" s="376" t="s">
        <v>57</v>
      </c>
      <c r="M45" s="429">
        <v>88491.8</v>
      </c>
      <c r="N45" s="426">
        <v>85791.25</v>
      </c>
      <c r="O45" s="376" t="s">
        <v>57</v>
      </c>
      <c r="P45" s="376" t="s">
        <v>300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299</v>
      </c>
      <c r="J46" s="952" t="s">
        <v>63</v>
      </c>
      <c r="K46" s="935">
        <v>45870</v>
      </c>
      <c r="L46" s="952" t="s">
        <v>57</v>
      </c>
      <c r="M46" s="954">
        <v>12886.4</v>
      </c>
      <c r="N46" s="1153">
        <v>18418.349999999999</v>
      </c>
      <c r="O46" s="952" t="s">
        <v>57</v>
      </c>
      <c r="P46" s="1174" t="s">
        <v>300</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299</v>
      </c>
      <c r="J47" s="787" t="s">
        <v>63</v>
      </c>
      <c r="K47" s="375">
        <v>45882</v>
      </c>
      <c r="L47" s="376" t="s">
        <v>57</v>
      </c>
      <c r="M47" s="429">
        <v>13056.5</v>
      </c>
      <c r="N47" s="636">
        <v>15624.85</v>
      </c>
      <c r="O47" s="376" t="s">
        <v>57</v>
      </c>
      <c r="P47" s="437" t="s">
        <v>300</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299</v>
      </c>
      <c r="J48" s="469" t="s">
        <v>63</v>
      </c>
      <c r="K48" s="467">
        <v>45790</v>
      </c>
      <c r="L48" s="469" t="s">
        <v>57</v>
      </c>
      <c r="M48" s="992">
        <v>63283</v>
      </c>
      <c r="N48" s="551">
        <v>84546.7</v>
      </c>
      <c r="O48" s="469" t="s">
        <v>57</v>
      </c>
      <c r="P48" s="781" t="s">
        <v>300</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299</v>
      </c>
      <c r="J49" s="1151" t="s">
        <v>63</v>
      </c>
      <c r="K49" s="935">
        <v>45868</v>
      </c>
      <c r="L49" s="952" t="s">
        <v>57</v>
      </c>
      <c r="M49" s="954">
        <v>14179.65</v>
      </c>
      <c r="N49" s="1153">
        <v>15936.8</v>
      </c>
      <c r="O49" s="952" t="s">
        <v>57</v>
      </c>
      <c r="P49" s="1173" t="s">
        <v>300</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299</v>
      </c>
      <c r="J50" s="478" t="s">
        <v>63</v>
      </c>
      <c r="K50" s="508">
        <v>45838</v>
      </c>
      <c r="L50" s="1019" t="s">
        <v>57</v>
      </c>
      <c r="M50" s="773">
        <v>72566</v>
      </c>
      <c r="N50" s="426">
        <v>9904.1</v>
      </c>
      <c r="O50" s="478" t="s">
        <v>57</v>
      </c>
      <c r="P50" s="781" t="s">
        <v>300</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299</v>
      </c>
      <c r="J51" s="1164" t="s">
        <v>63</v>
      </c>
      <c r="K51" s="902">
        <v>45902</v>
      </c>
      <c r="L51" s="904" t="s">
        <v>57</v>
      </c>
      <c r="M51" s="1160">
        <v>3067.9</v>
      </c>
      <c r="N51" s="1153">
        <v>8729.7000000000007</v>
      </c>
      <c r="O51" s="904" t="s">
        <v>57</v>
      </c>
      <c r="P51" s="1028" t="s">
        <v>300</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299</v>
      </c>
      <c r="J52" s="904" t="s">
        <v>63</v>
      </c>
      <c r="K52" s="375">
        <v>45848</v>
      </c>
      <c r="L52" s="376" t="s">
        <v>57</v>
      </c>
      <c r="M52" s="429">
        <v>1206</v>
      </c>
      <c r="N52" s="426">
        <v>1195</v>
      </c>
      <c r="O52" s="376" t="s">
        <v>57</v>
      </c>
      <c r="P52" s="1043" t="s">
        <v>300</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299</v>
      </c>
      <c r="J53" s="904" t="s">
        <v>63</v>
      </c>
      <c r="K53" s="902" t="s">
        <v>52</v>
      </c>
      <c r="L53" s="904" t="s">
        <v>57</v>
      </c>
      <c r="M53" s="1160">
        <v>18903.7</v>
      </c>
      <c r="N53" s="426">
        <v>7007.75</v>
      </c>
      <c r="O53" s="904" t="s">
        <v>57</v>
      </c>
      <c r="P53" s="1028" t="s">
        <v>300</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299</v>
      </c>
      <c r="J54" s="501" t="s">
        <v>63</v>
      </c>
      <c r="K54" s="502" t="s">
        <v>791</v>
      </c>
      <c r="L54" s="501" t="s">
        <v>57</v>
      </c>
      <c r="M54" s="890">
        <v>21888.65</v>
      </c>
      <c r="N54" s="426">
        <v>21950.85</v>
      </c>
      <c r="O54" s="501" t="s">
        <v>57</v>
      </c>
      <c r="P54" s="1086" t="s">
        <v>300</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300</v>
      </c>
      <c r="J55" s="52" t="s">
        <v>63</v>
      </c>
      <c r="K55" s="50" t="s">
        <v>300</v>
      </c>
      <c r="L55" s="52" t="s">
        <v>57</v>
      </c>
      <c r="M55" s="426">
        <v>3425.55</v>
      </c>
      <c r="N55" s="551">
        <v>7741.4</v>
      </c>
      <c r="O55" s="52" t="s">
        <v>57</v>
      </c>
      <c r="P55" s="52" t="s">
        <v>300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299</v>
      </c>
      <c r="J56" s="376" t="s">
        <v>63</v>
      </c>
      <c r="K56" s="374" t="s">
        <v>300</v>
      </c>
      <c r="L56" s="376" t="s">
        <v>57</v>
      </c>
      <c r="M56" s="429">
        <v>3707.3</v>
      </c>
      <c r="N56" s="426">
        <v>8209.69</v>
      </c>
      <c r="O56" s="376" t="s">
        <v>57</v>
      </c>
      <c r="P56" s="376" t="s">
        <v>300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300</v>
      </c>
      <c r="L57" s="52" t="s">
        <v>57</v>
      </c>
      <c r="M57" s="426">
        <v>21648.75</v>
      </c>
      <c r="N57" s="551">
        <v>35235</v>
      </c>
      <c r="O57" s="52" t="s">
        <v>57</v>
      </c>
      <c r="P57" s="52" t="s">
        <v>300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299</v>
      </c>
      <c r="J58" s="787" t="s">
        <v>63</v>
      </c>
      <c r="K58" s="502">
        <v>45817</v>
      </c>
      <c r="L58" s="501" t="s">
        <v>57</v>
      </c>
      <c r="M58" s="890">
        <v>75953</v>
      </c>
      <c r="N58" s="961">
        <v>61562</v>
      </c>
      <c r="O58" s="501" t="s">
        <v>57</v>
      </c>
      <c r="P58" s="1322" t="s">
        <v>300</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299</v>
      </c>
      <c r="J59" s="52" t="s">
        <v>63</v>
      </c>
      <c r="K59" s="51">
        <v>45716</v>
      </c>
      <c r="L59" s="52" t="s">
        <v>57</v>
      </c>
      <c r="M59" s="426">
        <v>64727</v>
      </c>
      <c r="N59" s="551">
        <v>68203</v>
      </c>
      <c r="O59" s="52" t="s">
        <v>57</v>
      </c>
      <c r="P59" s="376" t="s">
        <v>300</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300</v>
      </c>
      <c r="J60" s="52" t="s">
        <v>63</v>
      </c>
      <c r="K60" s="51">
        <v>45728</v>
      </c>
      <c r="L60" s="52" t="s">
        <v>57</v>
      </c>
      <c r="M60" s="426">
        <v>88033.5</v>
      </c>
      <c r="N60" s="551">
        <v>88045.5</v>
      </c>
      <c r="O60" s="52" t="s">
        <v>57</v>
      </c>
      <c r="P60" s="52" t="s">
        <v>300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300</v>
      </c>
      <c r="J61" s="52" t="s">
        <v>63</v>
      </c>
      <c r="K61" s="51">
        <v>45728</v>
      </c>
      <c r="L61" s="52" t="s">
        <v>57</v>
      </c>
      <c r="M61" s="426">
        <v>82979.5</v>
      </c>
      <c r="N61" s="551">
        <v>78032</v>
      </c>
      <c r="O61" s="52" t="s">
        <v>57</v>
      </c>
      <c r="P61" s="376" t="s">
        <v>300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299</v>
      </c>
      <c r="J62" s="478" t="s">
        <v>63</v>
      </c>
      <c r="K62" s="476">
        <v>45728</v>
      </c>
      <c r="L62" s="478" t="s">
        <v>57</v>
      </c>
      <c r="M62" s="773">
        <v>60843.5</v>
      </c>
      <c r="N62" s="551">
        <v>59355.5</v>
      </c>
      <c r="O62" s="478" t="s">
        <v>57</v>
      </c>
      <c r="P62" s="781" t="s">
        <v>300</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300</v>
      </c>
      <c r="J63" s="52" t="s">
        <v>63</v>
      </c>
      <c r="K63" s="51">
        <v>45716</v>
      </c>
      <c r="L63" s="52" t="s">
        <v>57</v>
      </c>
      <c r="M63" s="426">
        <v>74446</v>
      </c>
      <c r="N63" s="565">
        <v>73894</v>
      </c>
      <c r="O63" s="52" t="s">
        <v>57</v>
      </c>
      <c r="P63" s="376" t="s">
        <v>300</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300</v>
      </c>
      <c r="J64" s="52" t="s">
        <v>63</v>
      </c>
      <c r="K64" s="609">
        <v>45716</v>
      </c>
      <c r="L64" s="52" t="s">
        <v>57</v>
      </c>
      <c r="M64" s="671">
        <v>84935.5</v>
      </c>
      <c r="N64" s="566">
        <v>81445</v>
      </c>
      <c r="O64" s="52" t="s">
        <v>57</v>
      </c>
      <c r="P64" s="376" t="s">
        <v>300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820</v>
      </c>
      <c r="B65" s="509" t="s">
        <v>50</v>
      </c>
      <c r="C65" s="495">
        <v>45772</v>
      </c>
      <c r="D65" s="510" t="s">
        <v>821</v>
      </c>
      <c r="E65" s="510">
        <v>45693</v>
      </c>
      <c r="F65" s="500" t="s">
        <v>77</v>
      </c>
      <c r="G65" s="511" t="s">
        <v>822</v>
      </c>
      <c r="H65" s="503">
        <v>86</v>
      </c>
      <c r="I65" s="505" t="s">
        <v>299</v>
      </c>
      <c r="J65" s="503" t="s">
        <v>63</v>
      </c>
      <c r="K65" s="510">
        <v>45714</v>
      </c>
      <c r="L65" s="503" t="s">
        <v>57</v>
      </c>
      <c r="M65" s="1444">
        <v>94170.5</v>
      </c>
      <c r="N65" s="1443">
        <v>90860.5</v>
      </c>
      <c r="O65" s="503" t="s">
        <v>57</v>
      </c>
      <c r="P65" s="1086" t="s">
        <v>300</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299</v>
      </c>
      <c r="J66" s="657" t="s">
        <v>63</v>
      </c>
      <c r="K66" s="655">
        <v>45692</v>
      </c>
      <c r="L66" s="657" t="s">
        <v>57</v>
      </c>
      <c r="M66" s="660">
        <v>90302</v>
      </c>
      <c r="N66" s="426">
        <v>98764.5</v>
      </c>
      <c r="O66" s="657" t="s">
        <v>57</v>
      </c>
      <c r="P66" s="376" t="s">
        <v>300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9" t="s">
        <v>827</v>
      </c>
      <c r="B67" s="509" t="s">
        <v>50</v>
      </c>
      <c r="C67" s="495">
        <v>45772</v>
      </c>
      <c r="D67" s="510" t="s">
        <v>821</v>
      </c>
      <c r="E67" s="510">
        <v>45698</v>
      </c>
      <c r="F67" s="495" t="s">
        <v>77</v>
      </c>
      <c r="G67" s="511" t="s">
        <v>828</v>
      </c>
      <c r="H67" s="503">
        <v>89</v>
      </c>
      <c r="I67" s="503" t="s">
        <v>299</v>
      </c>
      <c r="J67" s="503" t="s">
        <v>63</v>
      </c>
      <c r="K67" s="510">
        <v>45695</v>
      </c>
      <c r="L67" s="503" t="s">
        <v>57</v>
      </c>
      <c r="M67" s="1440">
        <v>89698.5</v>
      </c>
      <c r="N67" s="551">
        <v>86876.5</v>
      </c>
      <c r="O67" s="503" t="s">
        <v>57</v>
      </c>
      <c r="P67" s="1086" t="s">
        <v>300</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299</v>
      </c>
      <c r="J68" s="380" t="s">
        <v>63</v>
      </c>
      <c r="K68" s="381">
        <v>45698</v>
      </c>
      <c r="L68" s="380" t="s">
        <v>57</v>
      </c>
      <c r="M68" s="637">
        <v>71361</v>
      </c>
      <c r="N68" s="551">
        <v>72125</v>
      </c>
      <c r="O68" s="380" t="s">
        <v>57</v>
      </c>
      <c r="P68" s="52" t="s">
        <v>300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831</v>
      </c>
      <c r="B69" s="819" t="s">
        <v>50</v>
      </c>
      <c r="C69" s="476">
        <v>45772</v>
      </c>
      <c r="D69" s="476" t="s">
        <v>812</v>
      </c>
      <c r="E69" s="822">
        <v>45686</v>
      </c>
      <c r="F69" s="475" t="s">
        <v>77</v>
      </c>
      <c r="G69" s="844" t="s">
        <v>832</v>
      </c>
      <c r="H69" s="824">
        <v>77</v>
      </c>
      <c r="I69" s="658" t="s">
        <v>299</v>
      </c>
      <c r="J69" s="824" t="s">
        <v>63</v>
      </c>
      <c r="K69" s="822">
        <v>45686</v>
      </c>
      <c r="L69" s="824" t="s">
        <v>57</v>
      </c>
      <c r="M69" s="1442">
        <v>61924</v>
      </c>
      <c r="N69" s="551">
        <v>61494</v>
      </c>
      <c r="O69" s="824" t="s">
        <v>57</v>
      </c>
      <c r="P69" s="781" t="s">
        <v>300</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299</v>
      </c>
      <c r="J70" s="380" t="s">
        <v>63</v>
      </c>
      <c r="K70" s="381">
        <v>45700</v>
      </c>
      <c r="L70" s="380" t="s">
        <v>57</v>
      </c>
      <c r="M70" s="637">
        <v>76139.5</v>
      </c>
      <c r="N70" s="565">
        <v>79581.5</v>
      </c>
      <c r="O70" s="380" t="s">
        <v>57</v>
      </c>
      <c r="P70" s="376" t="s">
        <v>300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299</v>
      </c>
      <c r="J71" s="380" t="s">
        <v>63</v>
      </c>
      <c r="K71" s="381">
        <v>45699</v>
      </c>
      <c r="L71" s="380" t="s">
        <v>57</v>
      </c>
      <c r="M71" s="637">
        <v>73583.5</v>
      </c>
      <c r="N71" s="551">
        <v>84066</v>
      </c>
      <c r="O71" s="765" t="s">
        <v>57</v>
      </c>
      <c r="P71" s="376" t="s">
        <v>300</v>
      </c>
      <c r="Q71" s="195">
        <v>45691</v>
      </c>
      <c r="R71" s="388">
        <v>6205</v>
      </c>
      <c r="S71" s="107">
        <v>6180</v>
      </c>
      <c r="T71" s="653">
        <v>0</v>
      </c>
      <c r="U71" s="857">
        <v>1</v>
      </c>
      <c r="V71" s="54">
        <v>45699</v>
      </c>
      <c r="W71" s="34">
        <v>1</v>
      </c>
      <c r="X71" s="34">
        <v>1</v>
      </c>
      <c r="Y71" s="34">
        <v>1</v>
      </c>
      <c r="Z71" s="356">
        <v>45916</v>
      </c>
      <c r="AA71" s="895" t="s">
        <v>839</v>
      </c>
    </row>
    <row r="72" spans="1:27" ht="39.75" customHeight="1">
      <c r="A72" s="1441" t="s">
        <v>840</v>
      </c>
      <c r="B72" s="819" t="s">
        <v>50</v>
      </c>
      <c r="C72" s="476">
        <v>45772</v>
      </c>
      <c r="D72" s="822" t="s">
        <v>841</v>
      </c>
      <c r="E72" s="822">
        <v>45694</v>
      </c>
      <c r="F72" s="822" t="s">
        <v>77</v>
      </c>
      <c r="G72" s="844" t="s">
        <v>842</v>
      </c>
      <c r="H72" s="824">
        <v>84</v>
      </c>
      <c r="I72" s="658" t="s">
        <v>299</v>
      </c>
      <c r="J72" s="824" t="s">
        <v>63</v>
      </c>
      <c r="K72" s="822">
        <v>45698</v>
      </c>
      <c r="L72" s="824" t="s">
        <v>57</v>
      </c>
      <c r="M72" s="1442">
        <v>63402.5</v>
      </c>
      <c r="N72" s="551">
        <v>62670.5</v>
      </c>
      <c r="O72" s="824" t="s">
        <v>57</v>
      </c>
      <c r="P72" s="781" t="s">
        <v>300</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300</v>
      </c>
      <c r="L73" s="380" t="s">
        <v>57</v>
      </c>
      <c r="M73" s="637">
        <v>51958</v>
      </c>
      <c r="N73" s="551">
        <v>20330.259999999998</v>
      </c>
      <c r="O73" s="380" t="s">
        <v>57</v>
      </c>
      <c r="P73" s="52" t="s">
        <v>300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300</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300</v>
      </c>
      <c r="L75" s="657" t="s">
        <v>57</v>
      </c>
      <c r="M75" s="426">
        <v>82480.5</v>
      </c>
      <c r="N75" s="426">
        <v>77870.5</v>
      </c>
      <c r="O75" s="657" t="s">
        <v>57</v>
      </c>
      <c r="P75" s="376" t="s">
        <v>300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300</v>
      </c>
      <c r="L76" s="905" t="s">
        <v>57</v>
      </c>
      <c r="M76" s="429">
        <v>43130</v>
      </c>
      <c r="N76" s="426">
        <v>43560</v>
      </c>
      <c r="O76" s="664" t="s">
        <v>57</v>
      </c>
      <c r="P76" s="1043" t="s">
        <v>300</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300</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299</v>
      </c>
      <c r="J78" s="376" t="s">
        <v>63</v>
      </c>
      <c r="K78" s="51">
        <v>45741</v>
      </c>
      <c r="L78" s="376" t="s">
        <v>57</v>
      </c>
      <c r="M78" s="426">
        <v>74508.5</v>
      </c>
      <c r="N78" s="551">
        <v>75008.5</v>
      </c>
      <c r="O78" s="376" t="s">
        <v>57</v>
      </c>
      <c r="P78" s="376" t="s">
        <v>300</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299</v>
      </c>
      <c r="J79" s="52" t="s">
        <v>63</v>
      </c>
      <c r="K79" s="51">
        <v>45741</v>
      </c>
      <c r="L79" s="52" t="s">
        <v>57</v>
      </c>
      <c r="M79" s="426">
        <v>73070.5</v>
      </c>
      <c r="N79" s="551">
        <v>72678</v>
      </c>
      <c r="O79" s="52" t="s">
        <v>57</v>
      </c>
      <c r="P79" s="52" t="s">
        <v>300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299</v>
      </c>
      <c r="J80" s="904" t="s">
        <v>63</v>
      </c>
      <c r="K80" s="978">
        <v>45741</v>
      </c>
      <c r="L80" s="904" t="s">
        <v>57</v>
      </c>
      <c r="M80" s="426">
        <v>49071</v>
      </c>
      <c r="N80" s="426">
        <v>51376.61</v>
      </c>
      <c r="O80" s="376" t="s">
        <v>57</v>
      </c>
      <c r="P80" s="1043" t="s">
        <v>300</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300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300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299</v>
      </c>
      <c r="J83" s="376" t="s">
        <v>63</v>
      </c>
      <c r="K83" s="51">
        <v>45741</v>
      </c>
      <c r="L83" s="376" t="s">
        <v>57</v>
      </c>
      <c r="M83" s="426">
        <v>62104</v>
      </c>
      <c r="N83" s="566">
        <v>64186</v>
      </c>
      <c r="O83" s="376" t="s">
        <v>57</v>
      </c>
      <c r="P83" s="376" t="s">
        <v>300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299</v>
      </c>
      <c r="J84" s="376" t="s">
        <v>63</v>
      </c>
      <c r="K84" s="51">
        <v>45741</v>
      </c>
      <c r="L84" s="376" t="s">
        <v>57</v>
      </c>
      <c r="M84" s="426">
        <v>63756.5</v>
      </c>
      <c r="N84" s="566">
        <v>64902.5</v>
      </c>
      <c r="O84" s="376" t="s">
        <v>57</v>
      </c>
      <c r="P84" s="376" t="s">
        <v>300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299</v>
      </c>
      <c r="J85" s="52" t="s">
        <v>63</v>
      </c>
      <c r="K85" s="51">
        <v>45741</v>
      </c>
      <c r="L85" s="52" t="s">
        <v>57</v>
      </c>
      <c r="M85" s="426">
        <v>67840.5</v>
      </c>
      <c r="N85" s="551">
        <v>66607.5</v>
      </c>
      <c r="O85" s="52" t="s">
        <v>57</v>
      </c>
      <c r="P85" s="52" t="s">
        <v>300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299</v>
      </c>
      <c r="J86" s="52" t="s">
        <v>63</v>
      </c>
      <c r="K86" s="51">
        <v>45757</v>
      </c>
      <c r="L86" s="52" t="s">
        <v>57</v>
      </c>
      <c r="M86" s="426">
        <v>53906.75</v>
      </c>
      <c r="N86" s="551">
        <v>54578.5</v>
      </c>
      <c r="O86" s="52" t="s">
        <v>57</v>
      </c>
      <c r="P86" s="52" t="s">
        <v>300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299</v>
      </c>
      <c r="J87" s="376" t="s">
        <v>63</v>
      </c>
      <c r="K87" s="375">
        <v>45757</v>
      </c>
      <c r="L87" s="376" t="s">
        <v>57</v>
      </c>
      <c r="M87" s="429">
        <v>47432.5</v>
      </c>
      <c r="N87" s="551">
        <v>54385.09</v>
      </c>
      <c r="O87" s="376" t="s">
        <v>57</v>
      </c>
      <c r="P87" s="376" t="s">
        <v>300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300</v>
      </c>
      <c r="J88" s="52" t="s">
        <v>63</v>
      </c>
      <c r="K88" s="51">
        <v>45757</v>
      </c>
      <c r="L88" s="52" t="s">
        <v>57</v>
      </c>
      <c r="M88" s="426">
        <v>62383</v>
      </c>
      <c r="N88" s="551">
        <v>61939</v>
      </c>
      <c r="O88" s="52" t="s">
        <v>57</v>
      </c>
      <c r="P88" s="52" t="s">
        <v>300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300</v>
      </c>
      <c r="J89" s="376" t="s">
        <v>63</v>
      </c>
      <c r="K89" s="375">
        <v>45757</v>
      </c>
      <c r="L89" s="376" t="s">
        <v>57</v>
      </c>
      <c r="M89" s="429">
        <v>80443.5</v>
      </c>
      <c r="N89" s="551">
        <v>81941</v>
      </c>
      <c r="O89" s="376" t="s">
        <v>57</v>
      </c>
      <c r="P89" s="376" t="s">
        <v>300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299</v>
      </c>
      <c r="J90" s="376" t="s">
        <v>63</v>
      </c>
      <c r="K90" s="375">
        <v>45757</v>
      </c>
      <c r="L90" s="376" t="s">
        <v>57</v>
      </c>
      <c r="M90" s="429">
        <v>68736.5</v>
      </c>
      <c r="N90" s="551">
        <v>68249</v>
      </c>
      <c r="O90" s="376" t="s">
        <v>57</v>
      </c>
      <c r="P90" s="376" t="s">
        <v>300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299</v>
      </c>
      <c r="J91" s="376" t="s">
        <v>63</v>
      </c>
      <c r="K91" s="51">
        <v>45741</v>
      </c>
      <c r="L91" s="376" t="s">
        <v>57</v>
      </c>
      <c r="M91" s="426">
        <v>73491.5</v>
      </c>
      <c r="N91" s="565">
        <v>202651</v>
      </c>
      <c r="O91" s="376" t="s">
        <v>57</v>
      </c>
      <c r="P91" s="376" t="s">
        <v>300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299</v>
      </c>
      <c r="J92" s="376" t="s">
        <v>63</v>
      </c>
      <c r="K92" s="375">
        <v>45757</v>
      </c>
      <c r="L92" s="393" t="s">
        <v>57</v>
      </c>
      <c r="M92" s="429">
        <v>78331</v>
      </c>
      <c r="N92" s="426">
        <v>82072.25</v>
      </c>
      <c r="O92" s="376" t="s">
        <v>57</v>
      </c>
      <c r="P92" s="437" t="s">
        <v>300</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299</v>
      </c>
      <c r="J93" s="376" t="s">
        <v>63</v>
      </c>
      <c r="K93" s="51">
        <v>45741</v>
      </c>
      <c r="L93" s="376" t="s">
        <v>57</v>
      </c>
      <c r="M93" s="426">
        <v>74961</v>
      </c>
      <c r="N93" s="426">
        <v>77123</v>
      </c>
      <c r="O93" s="376" t="s">
        <v>57</v>
      </c>
      <c r="P93" s="376" t="s">
        <v>300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299</v>
      </c>
      <c r="J94" s="376" t="s">
        <v>63</v>
      </c>
      <c r="K94" s="51">
        <v>45741</v>
      </c>
      <c r="L94" s="376" t="s">
        <v>57</v>
      </c>
      <c r="M94" s="426">
        <v>70235</v>
      </c>
      <c r="N94" s="565">
        <v>134171.5</v>
      </c>
      <c r="O94" s="376" t="s">
        <v>57</v>
      </c>
      <c r="P94" s="376" t="s">
        <v>300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300</v>
      </c>
      <c r="L95" s="657" t="s">
        <v>57</v>
      </c>
      <c r="M95" s="426">
        <v>60625.5</v>
      </c>
      <c r="N95" s="551">
        <v>59084</v>
      </c>
      <c r="O95" s="657" t="s">
        <v>57</v>
      </c>
      <c r="P95" s="52" t="s">
        <v>300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299</v>
      </c>
      <c r="J96" s="52" t="s">
        <v>63</v>
      </c>
      <c r="K96" s="51">
        <v>45721</v>
      </c>
      <c r="L96" s="52" t="s">
        <v>57</v>
      </c>
      <c r="M96" s="588">
        <v>79507</v>
      </c>
      <c r="N96" s="551">
        <v>86709.5</v>
      </c>
      <c r="O96" s="52" t="s">
        <v>57</v>
      </c>
      <c r="P96" s="52" t="s">
        <v>300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300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299</v>
      </c>
      <c r="J98" s="52" t="s">
        <v>63</v>
      </c>
      <c r="K98" s="51">
        <v>45716</v>
      </c>
      <c r="L98" s="52" t="s">
        <v>57</v>
      </c>
      <c r="M98" s="426">
        <v>64609</v>
      </c>
      <c r="N98" s="565">
        <v>76965</v>
      </c>
      <c r="O98" s="52" t="s">
        <v>57</v>
      </c>
      <c r="P98" s="376" t="s">
        <v>300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299</v>
      </c>
      <c r="J99" s="52" t="s">
        <v>63</v>
      </c>
      <c r="K99" s="51">
        <v>45701</v>
      </c>
      <c r="L99" s="380" t="s">
        <v>57</v>
      </c>
      <c r="M99" s="426">
        <v>48609</v>
      </c>
      <c r="N99" s="551">
        <v>48682.5</v>
      </c>
      <c r="O99" s="765" t="s">
        <v>57</v>
      </c>
      <c r="P99" s="376" t="s">
        <v>300</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299</v>
      </c>
      <c r="J100" s="52" t="s">
        <v>63</v>
      </c>
      <c r="K100" s="51">
        <v>45698</v>
      </c>
      <c r="L100" s="657" t="s">
        <v>57</v>
      </c>
      <c r="M100" s="426">
        <v>52222</v>
      </c>
      <c r="N100" s="551">
        <v>51838</v>
      </c>
      <c r="O100" s="657" t="s">
        <v>57</v>
      </c>
      <c r="P100" s="52" t="s">
        <v>300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299</v>
      </c>
      <c r="J101" s="52" t="s">
        <v>63</v>
      </c>
      <c r="K101" s="51">
        <v>45698</v>
      </c>
      <c r="L101" s="1179" t="s">
        <v>57</v>
      </c>
      <c r="M101" s="426">
        <v>67892.5</v>
      </c>
      <c r="N101" s="426">
        <v>65771.429999999993</v>
      </c>
      <c r="O101" s="657" t="s">
        <v>57</v>
      </c>
      <c r="P101" s="354" t="s">
        <v>300</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300</v>
      </c>
      <c r="J102" s="52" t="s">
        <v>63</v>
      </c>
      <c r="K102" s="51">
        <v>45716</v>
      </c>
      <c r="L102" s="52" t="s">
        <v>57</v>
      </c>
      <c r="M102" s="588">
        <v>67463</v>
      </c>
      <c r="N102" s="551">
        <v>69992</v>
      </c>
      <c r="O102" s="52" t="s">
        <v>57</v>
      </c>
      <c r="P102" s="52" t="s">
        <v>300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300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299</v>
      </c>
      <c r="J104" s="771" t="s">
        <v>63</v>
      </c>
      <c r="K104" s="57">
        <v>45707</v>
      </c>
      <c r="L104" s="771" t="s">
        <v>57</v>
      </c>
      <c r="M104" s="426" t="s">
        <v>928</v>
      </c>
      <c r="N104" s="566">
        <v>67080</v>
      </c>
      <c r="O104" s="52" t="s">
        <v>57</v>
      </c>
      <c r="P104" s="1043" t="s">
        <v>300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299</v>
      </c>
      <c r="J105" s="787" t="s">
        <v>63</v>
      </c>
      <c r="K105" s="57">
        <v>45741</v>
      </c>
      <c r="L105" s="787" t="s">
        <v>57</v>
      </c>
      <c r="M105" s="426">
        <v>79069.5</v>
      </c>
      <c r="N105" s="565">
        <v>73300</v>
      </c>
      <c r="O105" s="376" t="s">
        <v>57</v>
      </c>
      <c r="P105" s="437" t="s">
        <v>300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299</v>
      </c>
      <c r="J106" s="787" t="s">
        <v>63</v>
      </c>
      <c r="K106" s="57">
        <v>45741</v>
      </c>
      <c r="L106" s="787" t="s">
        <v>57</v>
      </c>
      <c r="M106" s="426">
        <v>16398</v>
      </c>
      <c r="N106" s="551">
        <v>15664</v>
      </c>
      <c r="O106" s="376" t="s">
        <v>57</v>
      </c>
      <c r="P106" s="1035" t="s">
        <v>300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299</v>
      </c>
      <c r="J107" s="787" t="s">
        <v>63</v>
      </c>
      <c r="K107" s="495">
        <v>45741</v>
      </c>
      <c r="L107" s="501" t="s">
        <v>57</v>
      </c>
      <c r="M107" s="772">
        <v>75396.5</v>
      </c>
      <c r="N107" s="636">
        <v>75756.5</v>
      </c>
      <c r="O107" s="501" t="s">
        <v>57</v>
      </c>
      <c r="P107" s="1322" t="s">
        <v>300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299</v>
      </c>
      <c r="J108" s="478" t="s">
        <v>63</v>
      </c>
      <c r="K108" s="476">
        <v>45698</v>
      </c>
      <c r="L108" s="824" t="s">
        <v>57</v>
      </c>
      <c r="M108" s="773">
        <v>68216.5</v>
      </c>
      <c r="N108" s="636">
        <v>65624.5</v>
      </c>
      <c r="O108" s="824" t="s">
        <v>57</v>
      </c>
      <c r="P108" s="1028" t="s">
        <v>300</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300</v>
      </c>
      <c r="J109" s="771" t="s">
        <v>63</v>
      </c>
      <c r="K109" s="57">
        <v>45708</v>
      </c>
      <c r="L109" s="771" t="s">
        <v>57</v>
      </c>
      <c r="M109" s="636">
        <v>56854</v>
      </c>
      <c r="N109" s="803">
        <v>62254</v>
      </c>
      <c r="O109" s="771" t="s">
        <v>57</v>
      </c>
      <c r="P109" s="771" t="s">
        <v>300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300</v>
      </c>
      <c r="J110" s="76" t="s">
        <v>63</v>
      </c>
      <c r="K110" s="77">
        <v>45708</v>
      </c>
      <c r="L110" s="103" t="s">
        <v>57</v>
      </c>
      <c r="M110" s="807">
        <v>73639</v>
      </c>
      <c r="N110" s="1042">
        <v>73025</v>
      </c>
      <c r="O110" s="103" t="s">
        <v>57</v>
      </c>
      <c r="P110" s="105" t="s">
        <v>300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300</v>
      </c>
      <c r="J111" s="76" t="s">
        <v>63</v>
      </c>
      <c r="K111" s="77">
        <v>45698</v>
      </c>
      <c r="L111" s="103" t="s">
        <v>57</v>
      </c>
      <c r="M111" s="807">
        <v>54861</v>
      </c>
      <c r="N111" s="808">
        <v>55197</v>
      </c>
      <c r="O111" s="103" t="s">
        <v>57</v>
      </c>
      <c r="P111" s="76" t="s">
        <v>300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300</v>
      </c>
      <c r="J112" s="478" t="s">
        <v>63</v>
      </c>
      <c r="K112" s="476">
        <v>45699</v>
      </c>
      <c r="L112" s="483" t="s">
        <v>57</v>
      </c>
      <c r="M112" s="773">
        <v>72566</v>
      </c>
      <c r="N112" s="426">
        <v>83382</v>
      </c>
      <c r="O112" s="483" t="s">
        <v>57</v>
      </c>
      <c r="P112" s="781" t="s">
        <v>300</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299</v>
      </c>
      <c r="J113" s="771" t="s">
        <v>63</v>
      </c>
      <c r="K113" s="57">
        <v>45735</v>
      </c>
      <c r="L113" s="771" t="s">
        <v>57</v>
      </c>
      <c r="M113" s="636">
        <v>41285</v>
      </c>
      <c r="N113" s="803">
        <v>40484</v>
      </c>
      <c r="O113" s="771" t="s">
        <v>57</v>
      </c>
      <c r="P113" s="787" t="s">
        <v>300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300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300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300</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299</v>
      </c>
      <c r="J117" s="777" t="s">
        <v>63</v>
      </c>
      <c r="K117" s="888" t="s">
        <v>300</v>
      </c>
      <c r="L117" s="777" t="s">
        <v>57</v>
      </c>
      <c r="M117" s="886">
        <v>289634.75</v>
      </c>
      <c r="N117" s="803">
        <v>296306.83</v>
      </c>
      <c r="O117" s="887" t="s">
        <v>57</v>
      </c>
      <c r="P117" s="787" t="s">
        <v>300</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299</v>
      </c>
      <c r="J118" s="771" t="s">
        <v>63</v>
      </c>
      <c r="K118" s="476">
        <v>45741</v>
      </c>
      <c r="L118" s="469" t="s">
        <v>57</v>
      </c>
      <c r="M118" s="773">
        <v>47849</v>
      </c>
      <c r="N118" s="636">
        <v>51778</v>
      </c>
      <c r="O118" s="469" t="s">
        <v>57</v>
      </c>
      <c r="P118" s="781" t="s">
        <v>300</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299</v>
      </c>
      <c r="J119" s="771" t="s">
        <v>63</v>
      </c>
      <c r="K119" s="476" t="s">
        <v>52</v>
      </c>
      <c r="L119" s="824" t="s">
        <v>57</v>
      </c>
      <c r="M119" s="773">
        <v>1594</v>
      </c>
      <c r="N119" s="636">
        <v>1187.5</v>
      </c>
      <c r="O119" s="824" t="s">
        <v>57</v>
      </c>
      <c r="P119" s="781" t="s">
        <v>300</v>
      </c>
      <c r="Q119" s="479">
        <v>45818</v>
      </c>
      <c r="R119" s="41">
        <v>65</v>
      </c>
      <c r="S119" s="472">
        <v>65</v>
      </c>
      <c r="T119" s="642">
        <v>0</v>
      </c>
      <c r="U119" s="878">
        <v>1</v>
      </c>
      <c r="V119" s="675">
        <v>45831</v>
      </c>
      <c r="W119" s="355">
        <v>1</v>
      </c>
      <c r="X119" s="355">
        <v>1</v>
      </c>
      <c r="Y119" s="355">
        <v>1</v>
      </c>
      <c r="Z119" s="479">
        <v>45859</v>
      </c>
      <c r="AA119" s="1456" t="s">
        <v>968</v>
      </c>
    </row>
    <row r="120" spans="1:30" ht="39.75" customHeight="1">
      <c r="A120" s="1320" t="s">
        <v>969</v>
      </c>
      <c r="B120" s="390" t="s">
        <v>293</v>
      </c>
      <c r="C120" s="51">
        <v>46045</v>
      </c>
      <c r="D120" s="655" t="s">
        <v>139</v>
      </c>
      <c r="E120" s="51"/>
      <c r="F120" s="50" t="s">
        <v>294</v>
      </c>
      <c r="G120" s="379"/>
      <c r="H120" s="1317">
        <v>80</v>
      </c>
      <c r="I120" s="657" t="s">
        <v>299</v>
      </c>
      <c r="J120" s="52" t="s">
        <v>63</v>
      </c>
      <c r="K120" s="51" t="s">
        <v>52</v>
      </c>
      <c r="L120" s="478" t="s">
        <v>57</v>
      </c>
      <c r="M120" s="1434">
        <v>170</v>
      </c>
      <c r="N120" s="426">
        <v>588.79999999999995</v>
      </c>
      <c r="O120" s="478" t="s">
        <v>57</v>
      </c>
      <c r="P120" s="1482" t="s">
        <v>300</v>
      </c>
      <c r="Q120" s="471" t="s">
        <v>52</v>
      </c>
      <c r="R120" s="1072">
        <v>7137</v>
      </c>
      <c r="S120" s="472">
        <v>7141</v>
      </c>
      <c r="T120" s="1002">
        <v>0</v>
      </c>
      <c r="U120" s="71">
        <v>1</v>
      </c>
      <c r="V120" s="124">
        <v>45964</v>
      </c>
      <c r="W120" s="34">
        <v>1</v>
      </c>
      <c r="X120" s="1427">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299</v>
      </c>
      <c r="J121" s="52" t="s">
        <v>63</v>
      </c>
      <c r="K121" s="51" t="s">
        <v>52</v>
      </c>
      <c r="L121" s="52" t="s">
        <v>57</v>
      </c>
      <c r="M121" s="1457">
        <v>26696</v>
      </c>
      <c r="N121" s="426">
        <v>499.4</v>
      </c>
      <c r="O121" s="52" t="s">
        <v>57</v>
      </c>
      <c r="P121" s="376" t="s">
        <v>300</v>
      </c>
      <c r="Q121" s="193" t="s">
        <v>52</v>
      </c>
      <c r="R121" s="1002">
        <v>8153</v>
      </c>
      <c r="S121" s="106">
        <v>8114</v>
      </c>
      <c r="T121" s="1002">
        <v>0</v>
      </c>
      <c r="U121" s="1485">
        <v>1</v>
      </c>
      <c r="V121" s="347">
        <v>45964</v>
      </c>
      <c r="W121" s="343">
        <v>1</v>
      </c>
      <c r="X121" s="343">
        <v>1</v>
      </c>
      <c r="Y121" s="343">
        <v>1</v>
      </c>
      <c r="Z121" s="347">
        <v>45999</v>
      </c>
      <c r="AA121" s="474" t="s">
        <v>972</v>
      </c>
      <c r="AB121" s="1455"/>
      <c r="AC121" s="425"/>
      <c r="AD121" s="869"/>
    </row>
    <row r="122" spans="1:30" ht="39.75" customHeight="1">
      <c r="A122" s="1445" t="s">
        <v>973</v>
      </c>
      <c r="B122" s="972" t="s">
        <v>293</v>
      </c>
      <c r="C122" s="467">
        <v>46045</v>
      </c>
      <c r="D122" s="639" t="s">
        <v>139</v>
      </c>
      <c r="E122" s="467"/>
      <c r="F122" s="767" t="s">
        <v>294</v>
      </c>
      <c r="G122" s="468"/>
      <c r="H122" s="1066">
        <v>62</v>
      </c>
      <c r="I122" s="824" t="s">
        <v>299</v>
      </c>
      <c r="J122" s="478" t="s">
        <v>63</v>
      </c>
      <c r="K122" s="476" t="s">
        <v>52</v>
      </c>
      <c r="L122" s="478" t="s">
        <v>57</v>
      </c>
      <c r="M122" s="1434">
        <v>170</v>
      </c>
      <c r="N122" s="426">
        <v>948</v>
      </c>
      <c r="O122" s="478" t="s">
        <v>57</v>
      </c>
      <c r="P122" s="1483" t="s">
        <v>300</v>
      </c>
      <c r="Q122" s="124" t="s">
        <v>52</v>
      </c>
      <c r="R122" s="1002">
        <v>4095</v>
      </c>
      <c r="S122" s="106">
        <v>4088</v>
      </c>
      <c r="T122" s="1484">
        <v>0</v>
      </c>
      <c r="U122" s="22">
        <v>1</v>
      </c>
      <c r="V122" s="124">
        <v>45964</v>
      </c>
      <c r="W122" s="34">
        <v>1</v>
      </c>
      <c r="X122" s="34">
        <v>1</v>
      </c>
      <c r="Y122" s="34">
        <v>1</v>
      </c>
      <c r="Z122" s="124">
        <v>46002</v>
      </c>
      <c r="AA122" s="436" t="s">
        <v>448</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348</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299</v>
      </c>
      <c r="J129" s="52" t="s">
        <v>63</v>
      </c>
      <c r="K129" s="51">
        <v>45701</v>
      </c>
      <c r="L129" s="52" t="s">
        <v>57</v>
      </c>
      <c r="M129" s="426">
        <v>111163</v>
      </c>
      <c r="N129" s="732"/>
      <c r="O129" s="52" t="s">
        <v>57</v>
      </c>
      <c r="P129" s="583" t="s">
        <v>300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299</v>
      </c>
      <c r="J130" s="478" t="s">
        <v>63</v>
      </c>
      <c r="K130" s="476" t="s">
        <v>52</v>
      </c>
      <c r="L130" s="478" t="s">
        <v>57</v>
      </c>
      <c r="M130" s="542">
        <v>50539.6</v>
      </c>
      <c r="N130" s="732"/>
      <c r="O130" s="478" t="s">
        <v>57</v>
      </c>
      <c r="P130" s="745" t="s">
        <v>300</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299</v>
      </c>
      <c r="J131" s="376" t="s">
        <v>56</v>
      </c>
      <c r="K131" s="375">
        <v>45874</v>
      </c>
      <c r="L131" s="376" t="s">
        <v>57</v>
      </c>
      <c r="M131" s="429">
        <v>11894.25</v>
      </c>
      <c r="N131" s="96"/>
      <c r="O131" s="376" t="s">
        <v>57</v>
      </c>
      <c r="P131" s="584" t="s">
        <v>300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299</v>
      </c>
      <c r="J132" s="469" t="s">
        <v>63</v>
      </c>
      <c r="K132" s="467">
        <v>45786</v>
      </c>
      <c r="L132" s="469" t="s">
        <v>57</v>
      </c>
      <c r="M132" s="992">
        <v>133172.15</v>
      </c>
      <c r="N132" s="732"/>
      <c r="O132" s="469" t="s">
        <v>57</v>
      </c>
      <c r="P132" s="745" t="s">
        <v>300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299</v>
      </c>
      <c r="J133" s="52" t="s">
        <v>63</v>
      </c>
      <c r="K133" s="51">
        <v>45918</v>
      </c>
      <c r="L133" s="376" t="s">
        <v>57</v>
      </c>
      <c r="M133" s="429">
        <v>10840.25</v>
      </c>
      <c r="N133" s="732"/>
      <c r="O133" s="376" t="s">
        <v>57</v>
      </c>
      <c r="P133" s="736" t="s">
        <v>300</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299</v>
      </c>
      <c r="J134" s="52" t="s">
        <v>63</v>
      </c>
      <c r="K134" s="375">
        <v>45853</v>
      </c>
      <c r="L134" s="380" t="s">
        <v>57</v>
      </c>
      <c r="M134" s="429">
        <v>60849.9</v>
      </c>
      <c r="N134" s="96"/>
      <c r="O134" s="380" t="s">
        <v>57</v>
      </c>
      <c r="P134" s="736" t="s">
        <v>300</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299</v>
      </c>
      <c r="J135" s="469" t="s">
        <v>63</v>
      </c>
      <c r="K135" s="467">
        <v>45793</v>
      </c>
      <c r="L135" s="469" t="s">
        <v>57</v>
      </c>
      <c r="M135" s="992">
        <v>53589.8</v>
      </c>
      <c r="N135" s="96"/>
      <c r="O135" s="469" t="s">
        <v>57</v>
      </c>
      <c r="P135" s="745" t="s">
        <v>300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299</v>
      </c>
      <c r="J136" s="52" t="s">
        <v>63</v>
      </c>
      <c r="K136" s="375">
        <v>45884</v>
      </c>
      <c r="L136" s="376" t="s">
        <v>57</v>
      </c>
      <c r="M136" s="429">
        <v>67441</v>
      </c>
      <c r="N136" s="96"/>
      <c r="O136" s="376" t="s">
        <v>57</v>
      </c>
      <c r="P136" s="736" t="s">
        <v>300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299</v>
      </c>
      <c r="J137" s="376" t="s">
        <v>63</v>
      </c>
      <c r="K137" s="375">
        <v>45797</v>
      </c>
      <c r="L137" s="376" t="s">
        <v>57</v>
      </c>
      <c r="M137" s="429">
        <v>43097.65</v>
      </c>
      <c r="N137" s="732"/>
      <c r="O137" s="376" t="s">
        <v>57</v>
      </c>
      <c r="P137" s="736" t="s">
        <v>300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299</v>
      </c>
      <c r="J138" s="478" t="s">
        <v>63</v>
      </c>
      <c r="K138" s="467">
        <v>45880</v>
      </c>
      <c r="L138" s="469" t="s">
        <v>57</v>
      </c>
      <c r="M138" s="992">
        <v>56807.95</v>
      </c>
      <c r="N138" s="732"/>
      <c r="O138" s="469" t="s">
        <v>57</v>
      </c>
      <c r="P138" s="745" t="s">
        <v>300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299</v>
      </c>
      <c r="J139" s="376" t="s">
        <v>63</v>
      </c>
      <c r="K139" s="375">
        <v>45882</v>
      </c>
      <c r="L139" s="376" t="s">
        <v>57</v>
      </c>
      <c r="M139" s="429">
        <v>59869.5</v>
      </c>
      <c r="N139" s="732"/>
      <c r="O139" s="376" t="s">
        <v>57</v>
      </c>
      <c r="P139" s="584" t="s">
        <v>300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299</v>
      </c>
      <c r="J140" s="376" t="s">
        <v>63</v>
      </c>
      <c r="K140" s="375">
        <v>45897</v>
      </c>
      <c r="L140" s="376" t="s">
        <v>57</v>
      </c>
      <c r="M140" s="429">
        <v>50874.95</v>
      </c>
      <c r="N140" s="732"/>
      <c r="O140" s="376" t="s">
        <v>57</v>
      </c>
      <c r="P140" s="592" t="s">
        <v>300</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299</v>
      </c>
      <c r="J141" s="376" t="s">
        <v>63</v>
      </c>
      <c r="K141" s="375">
        <v>45903</v>
      </c>
      <c r="L141" s="376" t="s">
        <v>57</v>
      </c>
      <c r="M141" s="429">
        <v>27186</v>
      </c>
      <c r="N141" s="732"/>
      <c r="O141" s="376" t="s">
        <v>57</v>
      </c>
      <c r="P141" s="736" t="s">
        <v>300</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299</v>
      </c>
      <c r="J142" s="52" t="s">
        <v>63</v>
      </c>
      <c r="K142" s="375">
        <v>45887</v>
      </c>
      <c r="L142" s="376" t="s">
        <v>57</v>
      </c>
      <c r="M142" s="429">
        <v>69889</v>
      </c>
      <c r="N142" s="96"/>
      <c r="O142" s="376" t="s">
        <v>57</v>
      </c>
      <c r="P142" s="584" t="s">
        <v>300</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299</v>
      </c>
      <c r="J143" s="52" t="s">
        <v>63</v>
      </c>
      <c r="K143" s="375">
        <v>45887</v>
      </c>
      <c r="L143" s="376" t="s">
        <v>57</v>
      </c>
      <c r="M143" s="429">
        <v>52110</v>
      </c>
      <c r="N143" s="732"/>
      <c r="O143" s="376" t="s">
        <v>57</v>
      </c>
      <c r="P143" s="584" t="s">
        <v>300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299</v>
      </c>
      <c r="J144" s="52" t="s">
        <v>63</v>
      </c>
      <c r="K144" s="375">
        <v>45897</v>
      </c>
      <c r="L144" s="376" t="s">
        <v>57</v>
      </c>
      <c r="M144" s="429">
        <v>52204</v>
      </c>
      <c r="N144" s="732"/>
      <c r="O144" s="376" t="s">
        <v>57</v>
      </c>
      <c r="P144" s="736" t="s">
        <v>300</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8" t="s">
        <v>1017</v>
      </c>
      <c r="B145" s="1190" t="s">
        <v>101</v>
      </c>
      <c r="C145" s="1189">
        <v>46006</v>
      </c>
      <c r="D145" s="1189" t="s">
        <v>139</v>
      </c>
      <c r="E145" s="1189">
        <v>46006</v>
      </c>
      <c r="F145" s="1190" t="s">
        <v>102</v>
      </c>
      <c r="G145" s="1190" t="s">
        <v>1018</v>
      </c>
      <c r="H145" s="1191">
        <v>21</v>
      </c>
      <c r="I145" s="658" t="s">
        <v>299</v>
      </c>
      <c r="J145" s="1191" t="s">
        <v>63</v>
      </c>
      <c r="K145" s="1189">
        <v>46006</v>
      </c>
      <c r="L145" s="1191" t="s">
        <v>57</v>
      </c>
      <c r="M145" s="1489">
        <v>20891</v>
      </c>
      <c r="N145" s="732"/>
      <c r="O145" s="1191" t="s">
        <v>57</v>
      </c>
      <c r="P145" s="1490" t="s">
        <v>300</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299</v>
      </c>
      <c r="J146" s="52" t="s">
        <v>63</v>
      </c>
      <c r="K146" s="375">
        <v>45912</v>
      </c>
      <c r="L146" s="376" t="s">
        <v>57</v>
      </c>
      <c r="M146" s="429">
        <v>47676</v>
      </c>
      <c r="N146" s="732"/>
      <c r="O146" s="376" t="s">
        <v>57</v>
      </c>
      <c r="P146" s="736" t="s">
        <v>300</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299</v>
      </c>
      <c r="J147" s="52" t="s">
        <v>63</v>
      </c>
      <c r="K147" s="375">
        <v>45933</v>
      </c>
      <c r="L147" s="376" t="s">
        <v>57</v>
      </c>
      <c r="M147" s="429">
        <v>44697.599999999999</v>
      </c>
      <c r="N147" s="732"/>
      <c r="O147" s="376" t="s">
        <v>57</v>
      </c>
      <c r="P147" s="736" t="s">
        <v>300</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299</v>
      </c>
      <c r="J148" s="52" t="s">
        <v>63</v>
      </c>
      <c r="K148" s="375">
        <v>45933</v>
      </c>
      <c r="L148" s="376" t="s">
        <v>57</v>
      </c>
      <c r="M148" s="429">
        <v>58864</v>
      </c>
      <c r="N148" s="732"/>
      <c r="O148" s="376" t="s">
        <v>57</v>
      </c>
      <c r="P148" s="736" t="s">
        <v>300</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299</v>
      </c>
      <c r="J149" s="52" t="s">
        <v>63</v>
      </c>
      <c r="K149" s="375">
        <v>45902</v>
      </c>
      <c r="L149" s="376" t="s">
        <v>57</v>
      </c>
      <c r="M149" s="429">
        <v>12695</v>
      </c>
      <c r="N149" s="732"/>
      <c r="O149" s="376" t="s">
        <v>57</v>
      </c>
      <c r="P149" s="736" t="s">
        <v>300</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299</v>
      </c>
      <c r="J150" s="952" t="s">
        <v>63</v>
      </c>
      <c r="K150" s="1169">
        <v>45821</v>
      </c>
      <c r="L150" s="1024" t="s">
        <v>57</v>
      </c>
      <c r="M150" s="954">
        <v>23436.55</v>
      </c>
      <c r="N150" s="732"/>
      <c r="O150" s="1024" t="s">
        <v>57</v>
      </c>
      <c r="P150" s="763" t="s">
        <v>300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299</v>
      </c>
      <c r="J151" s="952" t="s">
        <v>63</v>
      </c>
      <c r="K151" s="935">
        <v>45876</v>
      </c>
      <c r="L151" s="952" t="s">
        <v>57</v>
      </c>
      <c r="M151" s="954">
        <v>1462.85</v>
      </c>
      <c r="N151" s="96"/>
      <c r="O151" s="952" t="s">
        <v>57</v>
      </c>
      <c r="P151" s="763" t="s">
        <v>300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299</v>
      </c>
      <c r="J152" s="787" t="s">
        <v>63</v>
      </c>
      <c r="K152" s="375">
        <v>45882</v>
      </c>
      <c r="L152" s="376" t="s">
        <v>57</v>
      </c>
      <c r="M152" s="429">
        <v>13056.5</v>
      </c>
      <c r="N152" s="780"/>
      <c r="O152" s="376" t="s">
        <v>57</v>
      </c>
      <c r="P152" s="584" t="s">
        <v>300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299</v>
      </c>
      <c r="J153" s="787" t="s">
        <v>63</v>
      </c>
      <c r="K153" s="467">
        <v>45853</v>
      </c>
      <c r="L153" s="469" t="s">
        <v>57</v>
      </c>
      <c r="M153" s="992">
        <v>68216.5</v>
      </c>
      <c r="N153" s="774"/>
      <c r="O153" s="469" t="s">
        <v>57</v>
      </c>
      <c r="P153" s="745" t="s">
        <v>300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299</v>
      </c>
      <c r="J154" s="52" t="s">
        <v>63</v>
      </c>
      <c r="K154" s="375">
        <v>45936</v>
      </c>
      <c r="L154" s="376" t="s">
        <v>57</v>
      </c>
      <c r="M154" s="429">
        <v>4235.8</v>
      </c>
      <c r="N154" s="732"/>
      <c r="O154" s="376" t="s">
        <v>57</v>
      </c>
      <c r="P154" s="584" t="s">
        <v>300</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299</v>
      </c>
      <c r="J155" s="771" t="s">
        <v>56</v>
      </c>
      <c r="K155" s="467">
        <v>45876</v>
      </c>
      <c r="L155" s="469" t="s">
        <v>57</v>
      </c>
      <c r="M155" s="992">
        <v>124980</v>
      </c>
      <c r="N155" s="780"/>
      <c r="O155" s="469" t="s">
        <v>57</v>
      </c>
      <c r="P155" s="745" t="s">
        <v>300</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299</v>
      </c>
      <c r="J156" s="771" t="s">
        <v>63</v>
      </c>
      <c r="K156" s="502">
        <v>45716</v>
      </c>
      <c r="L156" s="116" t="s">
        <v>57</v>
      </c>
      <c r="M156" s="772">
        <v>45321.5</v>
      </c>
      <c r="N156" s="780"/>
      <c r="O156" s="116" t="s">
        <v>57</v>
      </c>
      <c r="P156" s="762" t="s">
        <v>300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299</v>
      </c>
      <c r="J157" s="787" t="s">
        <v>63</v>
      </c>
      <c r="K157" s="1014">
        <v>45741</v>
      </c>
      <c r="L157" s="853" t="s">
        <v>57</v>
      </c>
      <c r="M157" s="1015">
        <v>41813</v>
      </c>
      <c r="N157" s="780"/>
      <c r="O157" s="853" t="s">
        <v>57</v>
      </c>
      <c r="P157" s="1007" t="s">
        <v>300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299</v>
      </c>
      <c r="J158" s="771" t="s">
        <v>63</v>
      </c>
      <c r="K158" s="495">
        <v>45698</v>
      </c>
      <c r="L158" s="503" t="s">
        <v>57</v>
      </c>
      <c r="M158" s="772">
        <v>71979</v>
      </c>
      <c r="N158" s="774"/>
      <c r="O158" s="503" t="s">
        <v>57</v>
      </c>
      <c r="P158" s="779" t="s">
        <v>300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300</v>
      </c>
      <c r="J159" s="478" t="s">
        <v>63</v>
      </c>
      <c r="K159" s="476">
        <v>45712</v>
      </c>
      <c r="L159" s="478" t="s">
        <v>57</v>
      </c>
      <c r="M159" s="773">
        <v>14262</v>
      </c>
      <c r="N159" s="732"/>
      <c r="O159" s="478" t="s">
        <v>57</v>
      </c>
      <c r="P159" s="745" t="s">
        <v>300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299</v>
      </c>
      <c r="J160" s="771" t="s">
        <v>63</v>
      </c>
      <c r="K160" s="476">
        <v>45714</v>
      </c>
      <c r="L160" s="478" t="s">
        <v>57</v>
      </c>
      <c r="M160" s="773">
        <v>93462.85</v>
      </c>
      <c r="N160" s="774"/>
      <c r="O160" s="478" t="s">
        <v>57</v>
      </c>
      <c r="P160" s="745" t="s">
        <v>300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299</v>
      </c>
      <c r="J161" s="771" t="s">
        <v>63</v>
      </c>
      <c r="K161" s="475" t="s">
        <v>52</v>
      </c>
      <c r="L161" s="469" t="s">
        <v>57</v>
      </c>
      <c r="M161" s="992">
        <v>4397.6499999999996</v>
      </c>
      <c r="N161" s="774"/>
      <c r="O161" s="469" t="s">
        <v>57</v>
      </c>
      <c r="P161" s="745" t="s">
        <v>300</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299</v>
      </c>
      <c r="J162" s="771" t="s">
        <v>63</v>
      </c>
      <c r="K162" s="476" t="s">
        <v>52</v>
      </c>
      <c r="L162" s="478" t="s">
        <v>57</v>
      </c>
      <c r="M162" s="1434">
        <v>29180.45</v>
      </c>
      <c r="N162" s="774"/>
      <c r="O162" s="478" t="s">
        <v>57</v>
      </c>
      <c r="P162" s="745" t="s">
        <v>300</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7" t="s">
        <v>1057</v>
      </c>
      <c r="B163" s="450" t="s">
        <v>293</v>
      </c>
      <c r="C163" s="375">
        <v>46045</v>
      </c>
      <c r="D163" s="968" t="s">
        <v>139</v>
      </c>
      <c r="E163" s="375"/>
      <c r="F163" s="767" t="s">
        <v>294</v>
      </c>
      <c r="G163" s="634"/>
      <c r="H163" s="1058">
        <v>80</v>
      </c>
      <c r="I163" s="969" t="s">
        <v>299</v>
      </c>
      <c r="J163" s="970" t="s">
        <v>63</v>
      </c>
      <c r="K163" s="476" t="s">
        <v>52</v>
      </c>
      <c r="L163" s="970" t="s">
        <v>57</v>
      </c>
      <c r="M163" s="1435">
        <v>25891</v>
      </c>
      <c r="N163" s="732"/>
      <c r="O163" s="52" t="s">
        <v>57</v>
      </c>
      <c r="P163" s="1436" t="s">
        <v>300</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448</v>
      </c>
      <c r="AB163" s="425"/>
      <c r="AC163" s="425"/>
      <c r="AD163" s="869"/>
    </row>
    <row r="164" spans="1:30" ht="39.75" customHeight="1">
      <c r="A164" s="1321" t="s">
        <v>1058</v>
      </c>
      <c r="B164" s="1318" t="s">
        <v>293</v>
      </c>
      <c r="C164" s="57">
        <v>46045</v>
      </c>
      <c r="D164" s="788" t="s">
        <v>139</v>
      </c>
      <c r="E164" s="57"/>
      <c r="F164" s="767" t="s">
        <v>294</v>
      </c>
      <c r="G164" s="770"/>
      <c r="H164" s="1319">
        <v>83</v>
      </c>
      <c r="I164" s="786" t="s">
        <v>299</v>
      </c>
      <c r="J164" s="771" t="s">
        <v>63</v>
      </c>
      <c r="K164" s="476" t="s">
        <v>52</v>
      </c>
      <c r="L164" s="970" t="s">
        <v>57</v>
      </c>
      <c r="M164" s="1435">
        <v>170</v>
      </c>
      <c r="N164" s="774"/>
      <c r="O164" s="52" t="s">
        <v>57</v>
      </c>
      <c r="P164" s="1436" t="s">
        <v>300</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299</v>
      </c>
      <c r="J165" s="771" t="s">
        <v>63</v>
      </c>
      <c r="K165" s="476" t="s">
        <v>52</v>
      </c>
      <c r="L165" s="970" t="s">
        <v>57</v>
      </c>
      <c r="M165" s="1435">
        <v>30788</v>
      </c>
      <c r="N165" s="774"/>
      <c r="O165" s="52" t="s">
        <v>57</v>
      </c>
      <c r="P165" s="1436" t="s">
        <v>300</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348</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299</v>
      </c>
      <c r="J171" s="478" t="s">
        <v>56</v>
      </c>
      <c r="K171" s="839"/>
      <c r="L171" s="467">
        <v>45716</v>
      </c>
      <c r="M171" s="478" t="s">
        <v>57</v>
      </c>
      <c r="N171" s="541">
        <v>2075.6999999999998</v>
      </c>
      <c r="O171" s="478" t="s">
        <v>57</v>
      </c>
      <c r="P171" s="914" t="s">
        <v>300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299</v>
      </c>
      <c r="J172" s="478" t="s">
        <v>56</v>
      </c>
      <c r="K172" s="486"/>
      <c r="L172" s="467">
        <v>45716</v>
      </c>
      <c r="M172" s="478" t="s">
        <v>57</v>
      </c>
      <c r="N172" s="542">
        <v>2947.5</v>
      </c>
      <c r="O172" s="478" t="s">
        <v>57</v>
      </c>
      <c r="P172" s="915" t="s">
        <v>300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299</v>
      </c>
      <c r="J173" s="478" t="s">
        <v>56</v>
      </c>
      <c r="K173" s="486"/>
      <c r="L173" s="467">
        <v>45716</v>
      </c>
      <c r="M173" s="478" t="s">
        <v>57</v>
      </c>
      <c r="N173" s="542">
        <v>2908.95</v>
      </c>
      <c r="O173" s="478" t="s">
        <v>57</v>
      </c>
      <c r="P173" s="915" t="s">
        <v>300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300</v>
      </c>
      <c r="J174" s="478" t="s">
        <v>56</v>
      </c>
      <c r="K174" s="478"/>
      <c r="L174" s="825">
        <v>45716</v>
      </c>
      <c r="M174" s="478" t="s">
        <v>57</v>
      </c>
      <c r="N174" s="542">
        <v>1134</v>
      </c>
      <c r="O174" s="478" t="s">
        <v>57</v>
      </c>
      <c r="P174" s="916" t="s">
        <v>300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300</v>
      </c>
      <c r="J175" s="478" t="s">
        <v>56</v>
      </c>
      <c r="K175" s="486"/>
      <c r="L175" s="467">
        <v>45716</v>
      </c>
      <c r="M175" s="478" t="s">
        <v>57</v>
      </c>
      <c r="N175" s="542">
        <v>870</v>
      </c>
      <c r="O175" s="478" t="s">
        <v>57</v>
      </c>
      <c r="P175" s="916" t="s">
        <v>300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299</v>
      </c>
      <c r="J176" s="478" t="s">
        <v>63</v>
      </c>
      <c r="K176" s="478"/>
      <c r="L176" s="825">
        <v>45716</v>
      </c>
      <c r="M176" s="824" t="s">
        <v>57</v>
      </c>
      <c r="N176" s="542">
        <v>2025.6</v>
      </c>
      <c r="O176" s="824" t="s">
        <v>57</v>
      </c>
      <c r="P176" s="916" t="s">
        <v>300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300</v>
      </c>
      <c r="J177" s="478" t="s">
        <v>56</v>
      </c>
      <c r="K177" s="478"/>
      <c r="L177" s="476">
        <v>45715</v>
      </c>
      <c r="M177" s="478" t="s">
        <v>57</v>
      </c>
      <c r="N177" s="542">
        <v>3801.75</v>
      </c>
      <c r="O177" s="478" t="s">
        <v>57</v>
      </c>
      <c r="P177" s="916" t="s">
        <v>300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300</v>
      </c>
      <c r="J180" s="904" t="s">
        <v>56</v>
      </c>
      <c r="K180" s="901"/>
      <c r="L180" s="906" t="s">
        <v>56</v>
      </c>
      <c r="M180" s="904" t="s">
        <v>84</v>
      </c>
      <c r="N180" s="907">
        <v>0</v>
      </c>
      <c r="O180" s="904" t="s">
        <v>84</v>
      </c>
      <c r="P180" s="908" t="s">
        <v>300</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300</v>
      </c>
      <c r="J181" s="853" t="s">
        <v>56</v>
      </c>
      <c r="K181" s="858"/>
      <c r="L181" s="860" t="s">
        <v>56</v>
      </c>
      <c r="M181" s="853" t="s">
        <v>84</v>
      </c>
      <c r="N181" s="854">
        <v>0</v>
      </c>
      <c r="O181" s="853" t="s">
        <v>84</v>
      </c>
      <c r="P181" s="855" t="s">
        <v>300</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0"/>
  <sheetViews>
    <sheetView topLeftCell="A1225" workbookViewId="0">
      <selection activeCell="B1234" sqref="B123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139</v>
      </c>
      <c r="K6" s="1499">
        <v>22274</v>
      </c>
      <c r="N6" t="s">
        <v>139</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123</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123</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366</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366</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366</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366</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366</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366</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366</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349</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366</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369</v>
      </c>
      <c r="B753" s="1499"/>
      <c r="C753" s="1499">
        <v>251</v>
      </c>
      <c r="D753" s="1499">
        <v>253</v>
      </c>
      <c r="E753" s="1499">
        <v>1076</v>
      </c>
      <c r="F753" s="1499"/>
      <c r="G753" s="1499">
        <v>1580</v>
      </c>
    </row>
    <row r="754" spans="1:7">
      <c r="A754" t="s">
        <v>349</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366</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369</v>
      </c>
      <c r="B770" s="1499"/>
      <c r="C770" s="1499">
        <v>120</v>
      </c>
      <c r="D770" s="1499">
        <v>190</v>
      </c>
      <c r="E770" s="1499"/>
      <c r="F770" s="1499"/>
      <c r="G770" s="1499">
        <v>310</v>
      </c>
    </row>
    <row r="771" spans="1:7">
      <c r="A771" t="s">
        <v>349</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372</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366</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369</v>
      </c>
      <c r="B794" s="1499">
        <v>479</v>
      </c>
      <c r="C794" s="1499"/>
      <c r="D794" s="1499"/>
      <c r="E794" s="1499">
        <v>170</v>
      </c>
      <c r="F794" s="1499"/>
      <c r="G794" s="1499">
        <v>649</v>
      </c>
    </row>
    <row r="795" spans="1:7">
      <c r="A795" t="s">
        <v>349</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372</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369</v>
      </c>
      <c r="B818" s="1499"/>
      <c r="C818" s="1499"/>
      <c r="D818" s="1499"/>
      <c r="E818" s="1499">
        <v>725</v>
      </c>
      <c r="F818" s="1499"/>
      <c r="G818" s="1499">
        <v>725</v>
      </c>
    </row>
    <row r="819" spans="1:7">
      <c r="A819" t="s">
        <v>349</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372</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352</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349</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355</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362</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365</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362</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365</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363</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349</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362</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363</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358</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423</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349</v>
      </c>
      <c r="B910" s="1499"/>
      <c r="C910" s="1499"/>
      <c r="D910" s="1499"/>
      <c r="E910" s="1499"/>
      <c r="F910" s="1499"/>
      <c r="G910" s="1499"/>
    </row>
    <row r="911" spans="1:7">
      <c r="A911" t="s">
        <v>372</v>
      </c>
      <c r="B911" s="1499"/>
      <c r="C911" s="1499"/>
      <c r="D911" s="1499"/>
      <c r="E911" s="1499"/>
      <c r="F911" s="1499">
        <v>569</v>
      </c>
      <c r="G911" s="1499">
        <v>569</v>
      </c>
    </row>
    <row r="912" spans="1:7">
      <c r="A912" t="s">
        <v>644</v>
      </c>
      <c r="B912" s="1499"/>
      <c r="C912" s="1499"/>
      <c r="D912" s="1499"/>
      <c r="E912" s="1499"/>
      <c r="F912" s="1499"/>
      <c r="G912" s="1499"/>
    </row>
    <row r="913" spans="1:7">
      <c r="A913" t="s">
        <v>355</v>
      </c>
      <c r="B913" s="1499"/>
      <c r="C913" s="1499"/>
      <c r="D913" s="1499">
        <v>150</v>
      </c>
      <c r="E913" s="1499"/>
      <c r="F913" s="1499"/>
      <c r="G913" s="1499">
        <v>150</v>
      </c>
    </row>
    <row r="914" spans="1:7">
      <c r="A914" t="s">
        <v>365</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363</v>
      </c>
      <c r="B917" s="1499"/>
      <c r="C917" s="1499"/>
      <c r="D917" s="1499"/>
      <c r="E917" s="1499"/>
      <c r="F917" s="1499"/>
      <c r="G917" s="1499"/>
    </row>
    <row r="918" spans="1:7">
      <c r="A918" t="s">
        <v>358</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423</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376</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374</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444</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439</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352</v>
      </c>
      <c r="B939" s="1499"/>
      <c r="C939" s="1499"/>
      <c r="D939" s="1499"/>
      <c r="E939" s="1499"/>
      <c r="F939" s="1499"/>
      <c r="G939" s="1499"/>
    </row>
    <row r="940" spans="1:7">
      <c r="A940" t="s">
        <v>644</v>
      </c>
      <c r="B940" s="1499">
        <v>560</v>
      </c>
      <c r="C940" s="1499"/>
      <c r="D940" s="1499"/>
      <c r="E940" s="1499"/>
      <c r="F940" s="1499"/>
      <c r="G940" s="1499">
        <v>560</v>
      </c>
    </row>
    <row r="941" spans="1:7">
      <c r="A941" t="s">
        <v>365</v>
      </c>
      <c r="B941" s="1499"/>
      <c r="C941" s="1499"/>
      <c r="D941" s="1499"/>
      <c r="E941" s="1499"/>
      <c r="F941" s="1499"/>
      <c r="G941" s="1499"/>
    </row>
    <row r="942" spans="1:7">
      <c r="A942" t="s">
        <v>591</v>
      </c>
      <c r="B942" s="1499">
        <v>138</v>
      </c>
      <c r="C942" s="1499"/>
      <c r="D942" s="1499"/>
      <c r="E942" s="1499"/>
      <c r="F942" s="1499"/>
      <c r="G942" s="1499">
        <v>138</v>
      </c>
    </row>
    <row r="943" spans="1:7">
      <c r="A943" t="s">
        <v>363</v>
      </c>
      <c r="B943" s="1499"/>
      <c r="C943" s="1499"/>
      <c r="D943" s="1499"/>
      <c r="E943" s="1499"/>
      <c r="F943" s="1499"/>
      <c r="G943" s="1499"/>
    </row>
    <row r="944" spans="1:7">
      <c r="A944" t="s">
        <v>358</v>
      </c>
      <c r="B944" s="1499">
        <v>96</v>
      </c>
      <c r="C944" s="1499"/>
      <c r="D944" s="1499"/>
      <c r="E944" s="1499"/>
      <c r="F944" s="1499"/>
      <c r="G944" s="1499">
        <v>96</v>
      </c>
    </row>
    <row r="945" spans="1:7">
      <c r="A945" t="s">
        <v>616</v>
      </c>
      <c r="B945" s="1499">
        <v>632</v>
      </c>
      <c r="C945" s="1499"/>
      <c r="D945" s="1499"/>
      <c r="E945" s="1499"/>
      <c r="F945" s="1499"/>
      <c r="G945" s="1499">
        <v>632</v>
      </c>
    </row>
    <row r="946" spans="1:7">
      <c r="A946" t="s">
        <v>423</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360</v>
      </c>
      <c r="B951" s="1499">
        <v>435</v>
      </c>
      <c r="C951" s="1499"/>
      <c r="D951" s="1499"/>
      <c r="E951" s="1499">
        <v>1123</v>
      </c>
      <c r="F951" s="1499"/>
      <c r="G951" s="1499">
        <v>1558</v>
      </c>
    </row>
    <row r="952" spans="1:7">
      <c r="A952" t="s">
        <v>402</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395</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423</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360</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395</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410</v>
      </c>
      <c r="B987" s="1499"/>
      <c r="C987" s="1499">
        <v>1679</v>
      </c>
      <c r="D987" s="1499">
        <v>1429</v>
      </c>
      <c r="E987" s="1499">
        <v>1624</v>
      </c>
      <c r="F987" s="1499"/>
      <c r="G987" s="1499">
        <v>4732</v>
      </c>
    </row>
    <row r="988" spans="1:7">
      <c r="A988" t="s">
        <v>396</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398</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352</v>
      </c>
      <c r="B1007" s="1499"/>
      <c r="C1007" s="1499"/>
      <c r="D1007" s="1499"/>
      <c r="E1007" s="1499"/>
      <c r="F1007" s="1499"/>
      <c r="G1007" s="1499"/>
    </row>
    <row r="1008" spans="1:7">
      <c r="A1008" t="s">
        <v>980</v>
      </c>
      <c r="B1008" s="1499"/>
      <c r="C1008" s="1499"/>
      <c r="D1008" s="1499"/>
      <c r="E1008" s="1499"/>
      <c r="F1008" s="1499"/>
      <c r="G1008" s="1499"/>
    </row>
    <row r="1009" spans="1:7">
      <c r="A1009" t="s">
        <v>363</v>
      </c>
      <c r="B1009" s="1499"/>
      <c r="C1009" s="1499"/>
      <c r="D1009" s="1499"/>
      <c r="E1009" s="1499"/>
      <c r="F1009" s="1499"/>
      <c r="G1009" s="1499"/>
    </row>
    <row r="1010" spans="1:7">
      <c r="A1010" t="s">
        <v>358</v>
      </c>
      <c r="B1010" s="1499"/>
      <c r="C1010" s="1499"/>
      <c r="D1010" s="1499"/>
      <c r="E1010" s="1499"/>
      <c r="F1010" s="1499"/>
      <c r="G1010" s="1499"/>
    </row>
    <row r="1011" spans="1:7">
      <c r="A1011" t="s">
        <v>205</v>
      </c>
      <c r="B1011" s="1499"/>
      <c r="C1011" s="1499"/>
      <c r="D1011" s="1499">
        <v>426</v>
      </c>
      <c r="E1011" s="1499"/>
      <c r="F1011" s="1499"/>
      <c r="G1011" s="1499">
        <v>426</v>
      </c>
    </row>
    <row r="1012" spans="1:7">
      <c r="A1012" t="s">
        <v>374</v>
      </c>
      <c r="B1012" s="1499"/>
      <c r="C1012" s="1499"/>
      <c r="D1012" s="1499"/>
      <c r="E1012" s="1499"/>
      <c r="F1012" s="1499"/>
      <c r="G1012" s="1499"/>
    </row>
    <row r="1013" spans="1:7">
      <c r="A1013" t="s">
        <v>444</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439</v>
      </c>
      <c r="B1015" s="1499"/>
      <c r="C1015" s="1499">
        <v>996</v>
      </c>
      <c r="D1015" s="1499"/>
      <c r="E1015" s="1499"/>
      <c r="F1015" s="1499"/>
      <c r="G1015" s="1499">
        <v>996</v>
      </c>
    </row>
    <row r="1016" spans="1:7">
      <c r="A1016" t="s">
        <v>360</v>
      </c>
      <c r="B1016" s="1499">
        <v>900</v>
      </c>
      <c r="C1016" s="1499"/>
      <c r="D1016" s="1499"/>
      <c r="E1016" s="1499"/>
      <c r="F1016" s="1499"/>
      <c r="G1016" s="1499">
        <v>900</v>
      </c>
    </row>
    <row r="1017" spans="1:7">
      <c r="A1017" t="s">
        <v>402</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410</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442</v>
      </c>
      <c r="B1027" s="1499"/>
      <c r="C1027" s="1499"/>
      <c r="D1027" s="1499"/>
      <c r="E1027" s="1499"/>
      <c r="F1027" s="1499"/>
      <c r="G1027" s="1499"/>
    </row>
    <row r="1028" spans="1:7">
      <c r="A1028" t="s">
        <v>398</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389</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447</v>
      </c>
      <c r="B1042" s="1499"/>
      <c r="C1042" s="1499"/>
      <c r="D1042" s="1499"/>
      <c r="E1042" s="1499"/>
      <c r="F1042" s="1499"/>
      <c r="G1042" s="1499"/>
    </row>
    <row r="1043" spans="1:7">
      <c r="A1043" t="s">
        <v>449</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398</v>
      </c>
      <c r="B1059" s="1499"/>
      <c r="C1059" s="1499"/>
      <c r="D1059" s="1499"/>
      <c r="E1059" s="1499">
        <v>489</v>
      </c>
      <c r="F1059" s="1499">
        <v>2020</v>
      </c>
      <c r="G1059" s="1499">
        <v>2509</v>
      </c>
    </row>
    <row r="1060" spans="1:7">
      <c r="A1060" t="s">
        <v>389</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413</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297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439</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398</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413</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383</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302</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386</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444</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297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302</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400</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308</v>
      </c>
      <c r="B1132" s="1499"/>
      <c r="C1132" s="1499"/>
      <c r="D1132" s="1499">
        <v>95</v>
      </c>
      <c r="E1132" s="1499">
        <v>881</v>
      </c>
      <c r="F1132" s="1499"/>
      <c r="G1132" s="1499">
        <v>976</v>
      </c>
    </row>
    <row r="1133" spans="1:7">
      <c r="A1133" t="s">
        <v>305</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297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308</v>
      </c>
      <c r="B1150" s="1499">
        <v>3523</v>
      </c>
      <c r="C1150" s="1499">
        <v>2384</v>
      </c>
      <c r="D1150" s="1499"/>
      <c r="E1150" s="1499"/>
      <c r="F1150" s="1499"/>
      <c r="G1150" s="1499">
        <v>5907</v>
      </c>
    </row>
    <row r="1151" spans="1:7">
      <c r="A1151" t="s">
        <v>305</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413</v>
      </c>
      <c r="B1165" s="1499"/>
      <c r="C1165" s="1499"/>
      <c r="D1165" s="1499"/>
      <c r="E1165" s="1499"/>
      <c r="F1165" s="1499"/>
      <c r="G1165" s="1499"/>
    </row>
    <row r="1166" spans="1:7">
      <c r="A1166" t="s">
        <v>297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305</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374</v>
      </c>
      <c r="B1181" s="1499"/>
      <c r="C1181" s="1499"/>
      <c r="D1181" s="1499"/>
      <c r="E1181" s="1499"/>
      <c r="F1181" s="1499">
        <v>0</v>
      </c>
      <c r="G1181" s="1499">
        <v>0</v>
      </c>
    </row>
    <row r="1182" spans="1:7">
      <c r="A1182" t="s">
        <v>439</v>
      </c>
      <c r="B1182" s="1499"/>
      <c r="C1182" s="1499">
        <v>0</v>
      </c>
      <c r="D1182" s="1499"/>
      <c r="E1182" s="1499"/>
      <c r="F1182" s="1499"/>
      <c r="G1182" s="1499">
        <v>0</v>
      </c>
    </row>
    <row r="1183" spans="1:7">
      <c r="A1183" t="s">
        <v>474</v>
      </c>
      <c r="B1183" s="1499"/>
      <c r="C1183" s="1499"/>
      <c r="D1183" s="1499"/>
      <c r="E1183" s="1499"/>
      <c r="F1183" s="1499"/>
      <c r="G1183" s="1499"/>
    </row>
    <row r="1184" spans="1:7">
      <c r="A1184" t="s">
        <v>297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302</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418</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404</v>
      </c>
      <c r="B1193" s="1499"/>
      <c r="C1193" s="1499"/>
      <c r="D1193" s="1499">
        <v>1687</v>
      </c>
      <c r="E1193" s="1499">
        <v>1053</v>
      </c>
      <c r="F1193" s="1499"/>
      <c r="G1193" s="1499">
        <v>2740</v>
      </c>
    </row>
    <row r="1194" spans="1:7">
      <c r="A1194" t="s">
        <v>407</v>
      </c>
      <c r="B1194" s="1499"/>
      <c r="C1194" s="1499"/>
      <c r="D1194" s="1499">
        <v>1056</v>
      </c>
      <c r="E1194" s="1499"/>
      <c r="F1194" s="1499"/>
      <c r="G1194" s="1499">
        <v>1056</v>
      </c>
    </row>
    <row r="1195" spans="1:7">
      <c r="A1195" t="s">
        <v>311</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392</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352</v>
      </c>
      <c r="B1208" s="1499"/>
      <c r="C1208" s="1499"/>
      <c r="D1208" s="1499"/>
      <c r="E1208" s="1499"/>
      <c r="F1208" s="1499"/>
      <c r="G1208" s="1499"/>
    </row>
    <row r="1209" spans="1:7">
      <c r="A1209" t="s">
        <v>376</v>
      </c>
      <c r="B1209" s="1499"/>
      <c r="C1209" s="1499"/>
      <c r="D1209" s="1499"/>
      <c r="E1209" s="1499"/>
      <c r="F1209" s="1499"/>
      <c r="G1209" s="1499"/>
    </row>
    <row r="1210" spans="1:7">
      <c r="A1210" t="s">
        <v>302</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418</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404</v>
      </c>
      <c r="B1214" s="1499">
        <v>0</v>
      </c>
      <c r="C1214" s="1499"/>
      <c r="D1214" s="1499"/>
      <c r="E1214" s="1499"/>
      <c r="F1214" s="1499"/>
      <c r="G1214" s="1499">
        <v>0</v>
      </c>
    </row>
    <row r="1215" spans="1:7">
      <c r="A1215" t="s">
        <v>407</v>
      </c>
      <c r="B1215" s="1499">
        <v>1356</v>
      </c>
      <c r="C1215" s="1499">
        <v>1435</v>
      </c>
      <c r="D1215" s="1499">
        <v>1295</v>
      </c>
      <c r="E1215" s="1499"/>
      <c r="F1215" s="1499"/>
      <c r="G1215" s="1499">
        <v>4086</v>
      </c>
    </row>
    <row r="1216" spans="1:7">
      <c r="A1216" t="s">
        <v>311</v>
      </c>
      <c r="B1216" s="1499">
        <v>858</v>
      </c>
      <c r="C1216" s="1499"/>
      <c r="D1216" s="1499"/>
      <c r="E1216" s="1499"/>
      <c r="F1216" s="1499"/>
      <c r="G1216" s="1499">
        <v>858</v>
      </c>
    </row>
    <row r="1217" spans="1:7">
      <c r="A1217" t="s">
        <v>392</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433</v>
      </c>
      <c r="B1219" s="1499">
        <v>4915</v>
      </c>
      <c r="C1219" s="1499">
        <v>914</v>
      </c>
      <c r="D1219" s="1499">
        <v>0</v>
      </c>
      <c r="E1219" s="1499"/>
      <c r="F1219" s="1499"/>
      <c r="G1219" s="1499">
        <v>5829</v>
      </c>
    </row>
    <row r="1220" spans="1:7">
      <c r="A1220" t="s">
        <v>314</v>
      </c>
      <c r="B1220" s="1499">
        <v>813</v>
      </c>
      <c r="C1220" s="1499">
        <v>1491</v>
      </c>
      <c r="D1220" s="1499">
        <v>1062</v>
      </c>
      <c r="E1220" s="1499">
        <v>527</v>
      </c>
      <c r="F1220" s="1499"/>
      <c r="G1220" s="1499">
        <v>3893</v>
      </c>
    </row>
    <row r="1221" spans="1:7">
      <c r="A1221" t="s">
        <v>429</v>
      </c>
      <c r="B1221" s="1499"/>
      <c r="C1221" s="1499"/>
      <c r="D1221" s="1499"/>
      <c r="E1221" s="1499"/>
      <c r="F1221" s="1499"/>
      <c r="G1221" s="1499"/>
    </row>
    <row r="1222" spans="1:7">
      <c r="A1222" t="s">
        <v>416</v>
      </c>
      <c r="B1222" s="1499"/>
      <c r="C1222" s="1499"/>
      <c r="D1222" s="1499"/>
      <c r="E1222" s="1499"/>
      <c r="F1222" s="1499"/>
      <c r="G1222" s="1499"/>
    </row>
    <row r="1223" spans="1:7">
      <c r="A1223" t="s">
        <v>435</v>
      </c>
      <c r="B1223" s="1499"/>
      <c r="C1223" s="1499">
        <v>6092</v>
      </c>
      <c r="D1223" s="1499">
        <v>0</v>
      </c>
      <c r="E1223" s="1499">
        <v>0</v>
      </c>
      <c r="F1223" s="1499"/>
      <c r="G1223" s="1499">
        <v>6092</v>
      </c>
    </row>
    <row r="1224" spans="1:7">
      <c r="A1224" t="s">
        <v>317</v>
      </c>
      <c r="B1224" s="1499"/>
      <c r="C1224" s="1499">
        <v>822</v>
      </c>
      <c r="D1224" s="1499">
        <v>2611</v>
      </c>
      <c r="E1224" s="1499"/>
      <c r="F1224" s="1499"/>
      <c r="G1224" s="1499">
        <v>3433</v>
      </c>
    </row>
    <row r="1225" spans="1:7">
      <c r="A1225" t="s">
        <v>319</v>
      </c>
      <c r="B1225" s="1499"/>
      <c r="C1225" s="1499"/>
      <c r="D1225" s="1499">
        <v>544</v>
      </c>
      <c r="E1225" s="1499">
        <v>2832</v>
      </c>
      <c r="F1225" s="1499">
        <v>457</v>
      </c>
      <c r="G1225" s="1499">
        <v>3833</v>
      </c>
    </row>
    <row r="1226" spans="1:7">
      <c r="A1226" t="s">
        <v>437</v>
      </c>
      <c r="B1226" s="1499"/>
      <c r="C1226" s="1499"/>
      <c r="D1226" s="1499">
        <v>1728</v>
      </c>
      <c r="E1226" s="1499"/>
      <c r="F1226" s="1499">
        <v>3082</v>
      </c>
      <c r="G1226" s="1499">
        <v>4810</v>
      </c>
    </row>
    <row r="1227" spans="1:7">
      <c r="A1227" t="s">
        <v>321</v>
      </c>
      <c r="B1227" s="1499"/>
      <c r="C1227" s="1499"/>
      <c r="D1227" s="1499"/>
      <c r="E1227" s="1499">
        <v>1562</v>
      </c>
      <c r="F1227" s="1499">
        <v>1798</v>
      </c>
      <c r="G1227" s="1499">
        <v>3360</v>
      </c>
    </row>
    <row r="1228" spans="1:7">
      <c r="A1228" t="s">
        <v>325</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418</v>
      </c>
      <c r="B1237" s="1499"/>
      <c r="C1237" s="1499"/>
      <c r="D1237" s="1499"/>
      <c r="E1237" s="1499"/>
    </row>
    <row r="1238" spans="1:5">
      <c r="A1238" t="s">
        <v>407</v>
      </c>
      <c r="B1238" s="1499"/>
      <c r="C1238" s="1499">
        <v>0</v>
      </c>
      <c r="D1238" s="1499"/>
      <c r="E1238" s="1499">
        <v>0</v>
      </c>
    </row>
    <row r="1239" spans="1:5">
      <c r="A1239" t="s">
        <v>75</v>
      </c>
      <c r="B1239" s="1499"/>
      <c r="C1239" s="1499">
        <v>183</v>
      </c>
      <c r="D1239" s="1499"/>
      <c r="E1239" s="1499">
        <v>183</v>
      </c>
    </row>
    <row r="1240" spans="1:5">
      <c r="A1240" t="s">
        <v>319</v>
      </c>
      <c r="B1240" s="1499"/>
      <c r="C1240" s="1499">
        <v>506</v>
      </c>
      <c r="D1240" s="1499"/>
      <c r="E1240" s="1499">
        <v>506</v>
      </c>
    </row>
    <row r="1241" spans="1:5">
      <c r="A1241" t="s">
        <v>321</v>
      </c>
      <c r="B1241" s="1499"/>
      <c r="C1241" s="1499"/>
      <c r="D1241" s="1499"/>
      <c r="E1241" s="1499"/>
    </row>
    <row r="1242" spans="1:5">
      <c r="A1242" t="s">
        <v>325</v>
      </c>
      <c r="B1242" s="1499"/>
      <c r="C1242" s="1499"/>
      <c r="D1242" s="1499"/>
      <c r="E1242" s="1499"/>
    </row>
    <row r="1243" spans="1:5">
      <c r="A1243" t="s">
        <v>175</v>
      </c>
      <c r="B1243" s="1499"/>
      <c r="C1243" s="1499">
        <v>1344</v>
      </c>
      <c r="D1243" s="1499"/>
      <c r="E1243" s="1499">
        <v>1344</v>
      </c>
    </row>
    <row r="1244" spans="1:5">
      <c r="A1244" t="s">
        <v>1165</v>
      </c>
      <c r="B1244" s="1499"/>
      <c r="C1244" s="1499">
        <v>660</v>
      </c>
      <c r="D1244" s="1499"/>
      <c r="E1244" s="1499">
        <v>660</v>
      </c>
    </row>
    <row r="1245" spans="1:5">
      <c r="A1245" t="s">
        <v>1166</v>
      </c>
      <c r="B1245" s="1499"/>
      <c r="C1245" s="1499">
        <v>1382</v>
      </c>
      <c r="D1245" s="1499"/>
      <c r="E1245" s="1499">
        <v>1382</v>
      </c>
    </row>
    <row r="1246" spans="1:5">
      <c r="A1246" t="s">
        <v>277</v>
      </c>
      <c r="B1246" s="1499"/>
      <c r="C1246" s="1499">
        <v>2719</v>
      </c>
      <c r="D1246" s="1499"/>
      <c r="E1246" s="1499">
        <v>2719</v>
      </c>
    </row>
    <row r="1247" spans="1:5">
      <c r="A1247" t="s">
        <v>323</v>
      </c>
      <c r="B1247" s="1499"/>
      <c r="C1247" s="1499">
        <v>1277</v>
      </c>
      <c r="D1247" s="1499"/>
      <c r="E1247" s="1499">
        <v>1277</v>
      </c>
    </row>
    <row r="1248" spans="1:5">
      <c r="A1248" t="s">
        <v>127</v>
      </c>
      <c r="B1248" s="1499"/>
      <c r="C1248" s="1499"/>
      <c r="D1248" s="1499"/>
      <c r="E1248" s="1499"/>
    </row>
    <row r="1249" spans="1:5">
      <c r="A1249" t="s">
        <v>122</v>
      </c>
      <c r="B1249" s="1499"/>
      <c r="C1249" s="1499"/>
      <c r="D1249" s="1499"/>
      <c r="E1249" s="1499"/>
    </row>
    <row r="1250" spans="1:5">
      <c r="A1250" t="s">
        <v>1086</v>
      </c>
      <c r="B1250" s="1499"/>
      <c r="C1250" s="1499">
        <v>8071</v>
      </c>
      <c r="D1250" s="1499"/>
      <c r="E1250" s="1499">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workbookViewId="0">
      <pane ySplit="1" topLeftCell="A2524" activePane="bottomLeft" state="frozen"/>
      <selection pane="bottomLeft" activeCell="B2475" sqref="B247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366</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366</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366</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366</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366</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366</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367</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367</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367</v>
      </c>
      <c r="C1331" s="56">
        <v>45849</v>
      </c>
      <c r="D1331" s="43">
        <v>198</v>
      </c>
      <c r="G1331" t="s">
        <v>1578</v>
      </c>
    </row>
    <row r="1332" spans="1:7">
      <c r="A1332" s="247" t="s">
        <v>778</v>
      </c>
      <c r="B1332" s="398" t="s">
        <v>1095</v>
      </c>
      <c r="C1332" s="56">
        <v>45852</v>
      </c>
      <c r="F1332" s="43" t="s">
        <v>1241</v>
      </c>
      <c r="G1332" t="s">
        <v>1578</v>
      </c>
    </row>
    <row r="1333" spans="1:7">
      <c r="A1333" s="614" t="s">
        <v>534</v>
      </c>
      <c r="B1333" s="157" t="s">
        <v>367</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366</v>
      </c>
      <c r="B1337" s="157" t="s">
        <v>367</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366</v>
      </c>
      <c r="B1343" s="318" t="s">
        <v>367</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366</v>
      </c>
      <c r="B1354" s="157" t="s">
        <v>367</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366</v>
      </c>
      <c r="B1361" s="157" t="s">
        <v>367</v>
      </c>
      <c r="C1361" s="56">
        <v>45860</v>
      </c>
      <c r="D1361" s="43">
        <v>318</v>
      </c>
      <c r="G1361" t="s">
        <v>1578</v>
      </c>
    </row>
    <row r="1362" spans="1:7">
      <c r="A1362" s="247" t="s">
        <v>1134</v>
      </c>
      <c r="B1362" s="157" t="s">
        <v>367</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367</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367</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367</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367</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367</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367</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367</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367</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367</v>
      </c>
      <c r="C1418" s="56">
        <v>45875</v>
      </c>
      <c r="D1418" s="43">
        <v>840</v>
      </c>
      <c r="G1418" t="s">
        <v>1617</v>
      </c>
    </row>
    <row r="1419" spans="1:7">
      <c r="A1419" s="141" t="s">
        <v>525</v>
      </c>
      <c r="B1419" s="547" t="s">
        <v>367</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367</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367</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367</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366</v>
      </c>
      <c r="B1435" s="311" t="s">
        <v>367</v>
      </c>
      <c r="C1435" s="56">
        <v>45881</v>
      </c>
      <c r="D1435" s="43">
        <v>319</v>
      </c>
      <c r="G1435" t="s">
        <v>1617</v>
      </c>
    </row>
    <row r="1436" spans="1:7">
      <c r="A1436" s="548" t="s">
        <v>539</v>
      </c>
      <c r="B1436" s="311" t="s">
        <v>367</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367</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367</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367</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367</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367</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367</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367</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367</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367</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367</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367</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366</v>
      </c>
      <c r="B1512" s="348" t="s">
        <v>367</v>
      </c>
      <c r="C1512" s="56">
        <v>45896</v>
      </c>
      <c r="D1512" s="43">
        <v>358</v>
      </c>
      <c r="F1512" s="43" t="s">
        <v>1645</v>
      </c>
      <c r="G1512" t="s">
        <v>1617</v>
      </c>
    </row>
    <row r="1513" spans="1:7">
      <c r="A1513" s="640" t="s">
        <v>534</v>
      </c>
      <c r="B1513" s="141" t="s">
        <v>367</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367</v>
      </c>
      <c r="C1518" s="56">
        <v>45897</v>
      </c>
      <c r="F1518" s="43" t="s">
        <v>1236</v>
      </c>
      <c r="G1518" t="s">
        <v>1617</v>
      </c>
    </row>
    <row r="1519" spans="1:7">
      <c r="A1519" s="580" t="s">
        <v>241</v>
      </c>
      <c r="B1519" s="628" t="s">
        <v>1095</v>
      </c>
      <c r="C1519" s="56">
        <v>45897</v>
      </c>
      <c r="D1519" s="43">
        <v>320</v>
      </c>
      <c r="G1519" t="s">
        <v>1617</v>
      </c>
    </row>
    <row r="1520" spans="1:7">
      <c r="A1520" s="625" t="s">
        <v>366</v>
      </c>
      <c r="B1520" s="349" t="s">
        <v>367</v>
      </c>
      <c r="C1520" s="56">
        <v>45897</v>
      </c>
      <c r="F1520" s="311" t="s">
        <v>1374</v>
      </c>
      <c r="G1520" t="s">
        <v>1617</v>
      </c>
    </row>
    <row r="1521" spans="1:7">
      <c r="A1521" s="123" t="s">
        <v>534</v>
      </c>
      <c r="B1521" s="348" t="s">
        <v>367</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367</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367</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366</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349</v>
      </c>
      <c r="B1563" s="628" t="s">
        <v>350</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349</v>
      </c>
      <c r="B1570" s="247" t="s">
        <v>350</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349</v>
      </c>
      <c r="B1574" s="247" t="s">
        <v>350</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349</v>
      </c>
      <c r="B1579" s="247" t="s">
        <v>350</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349</v>
      </c>
      <c r="B1585" s="247" t="s">
        <v>350</v>
      </c>
      <c r="C1585" s="56">
        <v>45916</v>
      </c>
      <c r="F1585" s="730" t="s">
        <v>1224</v>
      </c>
      <c r="G1585" t="s">
        <v>1654</v>
      </c>
    </row>
    <row r="1586" spans="1:7">
      <c r="A1586" s="157" t="s">
        <v>366</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369</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349</v>
      </c>
      <c r="B1593" s="141" t="s">
        <v>350</v>
      </c>
      <c r="C1593" s="56">
        <v>45917</v>
      </c>
      <c r="D1593" s="43">
        <v>863</v>
      </c>
      <c r="F1593" s="730"/>
      <c r="G1593" t="s">
        <v>1654</v>
      </c>
    </row>
    <row r="1594" spans="1:7">
      <c r="A1594" s="734" t="s">
        <v>369</v>
      </c>
      <c r="B1594" s="305" t="s">
        <v>198</v>
      </c>
      <c r="C1594" s="56">
        <v>45917</v>
      </c>
      <c r="D1594" s="43">
        <v>253</v>
      </c>
      <c r="F1594" s="730"/>
      <c r="G1594" t="s">
        <v>1654</v>
      </c>
    </row>
    <row r="1595" spans="1:7">
      <c r="A1595" s="326" t="s">
        <v>366</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349</v>
      </c>
      <c r="B1603" s="247" t="s">
        <v>350</v>
      </c>
      <c r="C1603" s="56">
        <v>45918</v>
      </c>
      <c r="D1603" s="43">
        <v>499</v>
      </c>
      <c r="F1603" s="730"/>
      <c r="G1603" t="s">
        <v>1654</v>
      </c>
    </row>
    <row r="1604" spans="1:7">
      <c r="A1604" s="645" t="s">
        <v>369</v>
      </c>
      <c r="B1604" s="141" t="s">
        <v>198</v>
      </c>
      <c r="C1604" s="56">
        <v>45918</v>
      </c>
      <c r="D1604" s="155">
        <v>1076</v>
      </c>
      <c r="F1604" s="730"/>
      <c r="G1604" t="s">
        <v>1654</v>
      </c>
    </row>
    <row r="1605" spans="1:7">
      <c r="A1605" s="157" t="s">
        <v>366</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349</v>
      </c>
      <c r="B1608" s="247" t="s">
        <v>350</v>
      </c>
      <c r="C1608" s="56">
        <v>45919</v>
      </c>
      <c r="D1608" s="43">
        <v>475</v>
      </c>
      <c r="F1608" s="730"/>
      <c r="G1608" t="s">
        <v>1654</v>
      </c>
    </row>
    <row r="1609" spans="1:7">
      <c r="A1609" s="645" t="s">
        <v>369</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430</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349</v>
      </c>
      <c r="B1616" s="141" t="s">
        <v>350</v>
      </c>
      <c r="C1616" s="56">
        <v>45922</v>
      </c>
      <c r="D1616" s="43">
        <v>839</v>
      </c>
      <c r="F1616" s="730"/>
      <c r="G1616" t="s">
        <v>1654</v>
      </c>
    </row>
    <row r="1617" spans="1:7">
      <c r="A1617" s="742" t="s">
        <v>369</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430</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349</v>
      </c>
      <c r="B1625" s="247" t="s">
        <v>350</v>
      </c>
      <c r="C1625" s="56">
        <v>45923</v>
      </c>
      <c r="F1625" s="755" t="s">
        <v>1699</v>
      </c>
      <c r="G1625" t="s">
        <v>1654</v>
      </c>
    </row>
    <row r="1626" spans="1:7">
      <c r="A1626" s="645" t="s">
        <v>369</v>
      </c>
      <c r="B1626" s="752" t="s">
        <v>198</v>
      </c>
      <c r="C1626" s="56">
        <v>45923</v>
      </c>
      <c r="D1626" s="43">
        <v>120</v>
      </c>
      <c r="F1626" s="69"/>
      <c r="G1626" t="s">
        <v>1654</v>
      </c>
    </row>
    <row r="1627" spans="1:7">
      <c r="A1627" s="157" t="s">
        <v>366</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430</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349</v>
      </c>
      <c r="B1636" s="399" t="s">
        <v>350</v>
      </c>
      <c r="C1636" s="344">
        <v>45924</v>
      </c>
      <c r="D1636" s="43">
        <v>616</v>
      </c>
      <c r="F1636" s="91"/>
      <c r="G1636" t="s">
        <v>1654</v>
      </c>
    </row>
    <row r="1637" spans="1:7">
      <c r="A1637" s="645" t="s">
        <v>369</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430</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349</v>
      </c>
      <c r="B1651" s="247" t="s">
        <v>350</v>
      </c>
      <c r="C1651" s="56">
        <v>45925</v>
      </c>
      <c r="D1651" s="43">
        <v>969</v>
      </c>
      <c r="G1651" t="s">
        <v>1654</v>
      </c>
    </row>
    <row r="1652" spans="1:7">
      <c r="A1652" s="645" t="s">
        <v>369</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430</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350</v>
      </c>
      <c r="C1657" s="56">
        <v>45926</v>
      </c>
      <c r="D1657" s="43">
        <v>300</v>
      </c>
      <c r="G1657" t="s">
        <v>1654</v>
      </c>
    </row>
    <row r="1658" spans="1:7">
      <c r="A1658" s="304" t="s">
        <v>1144</v>
      </c>
      <c r="B1658" s="735" t="s">
        <v>1711</v>
      </c>
      <c r="C1658" s="56">
        <v>45926</v>
      </c>
      <c r="D1658" s="43">
        <v>364</v>
      </c>
      <c r="G1658" t="s">
        <v>1654</v>
      </c>
    </row>
    <row r="1659" spans="1:7">
      <c r="A1659" s="134" t="s">
        <v>349</v>
      </c>
      <c r="B1659" s="141" t="s">
        <v>350</v>
      </c>
      <c r="C1659" s="56">
        <v>45926</v>
      </c>
      <c r="D1659" s="43">
        <v>552</v>
      </c>
      <c r="G1659" t="s">
        <v>1654</v>
      </c>
    </row>
    <row r="1660" spans="1:7">
      <c r="A1660" s="742" t="s">
        <v>372</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349</v>
      </c>
      <c r="B1669" s="141" t="s">
        <v>350</v>
      </c>
      <c r="C1669" s="56">
        <v>45929</v>
      </c>
      <c r="D1669" s="155">
        <v>1375</v>
      </c>
      <c r="G1669" t="s">
        <v>1654</v>
      </c>
    </row>
    <row r="1670" spans="1:7">
      <c r="A1670" s="742" t="s">
        <v>366</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369</v>
      </c>
      <c r="B1672" s="318" t="s">
        <v>198</v>
      </c>
      <c r="C1672" s="56">
        <v>45929</v>
      </c>
      <c r="D1672" s="43">
        <v>479</v>
      </c>
      <c r="G1672" t="s">
        <v>1654</v>
      </c>
    </row>
    <row r="1673" spans="1:7">
      <c r="A1673" s="43" t="s">
        <v>372</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349</v>
      </c>
      <c r="B1682" s="304" t="s">
        <v>350</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372</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349</v>
      </c>
      <c r="B1693" s="141" t="s">
        <v>350</v>
      </c>
      <c r="C1693" s="56">
        <v>45931</v>
      </c>
      <c r="D1693" s="43">
        <v>312</v>
      </c>
      <c r="G1693" t="s">
        <v>1720</v>
      </c>
    </row>
    <row r="1694" spans="1:7">
      <c r="A1694" s="548" t="s">
        <v>525</v>
      </c>
      <c r="B1694" s="141" t="s">
        <v>198</v>
      </c>
      <c r="C1694" s="56">
        <v>45931</v>
      </c>
      <c r="D1694" s="43">
        <v>753</v>
      </c>
      <c r="G1694" t="s">
        <v>1720</v>
      </c>
    </row>
    <row r="1695" spans="1:7">
      <c r="A1695" s="305" t="s">
        <v>372</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349</v>
      </c>
      <c r="B1703" s="141" t="s">
        <v>350</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372</v>
      </c>
      <c r="B1706" s="348" t="s">
        <v>198</v>
      </c>
      <c r="C1706" s="56">
        <v>45932</v>
      </c>
      <c r="D1706" s="43">
        <v>789</v>
      </c>
      <c r="F1706" s="43" t="s">
        <v>1726</v>
      </c>
      <c r="G1706" t="s">
        <v>1720</v>
      </c>
    </row>
    <row r="1707" spans="1:7">
      <c r="A1707" s="141" t="s">
        <v>369</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349</v>
      </c>
      <c r="B1713" s="141" t="s">
        <v>350</v>
      </c>
      <c r="C1713" s="56">
        <v>45933</v>
      </c>
      <c r="D1713" s="43">
        <v>617</v>
      </c>
      <c r="G1713" t="s">
        <v>1720</v>
      </c>
    </row>
    <row r="1714" spans="1:7">
      <c r="A1714" s="305" t="s">
        <v>1143</v>
      </c>
      <c r="B1714" s="305" t="s">
        <v>1095</v>
      </c>
      <c r="C1714" s="56">
        <v>45933</v>
      </c>
      <c r="D1714" s="43">
        <v>486</v>
      </c>
      <c r="G1714" t="s">
        <v>1720</v>
      </c>
    </row>
    <row r="1715" spans="1:7">
      <c r="A1715" s="306" t="s">
        <v>372</v>
      </c>
      <c r="B1715" s="141" t="s">
        <v>198</v>
      </c>
      <c r="C1715" s="56">
        <v>45933</v>
      </c>
      <c r="F1715" s="43" t="s">
        <v>1729</v>
      </c>
      <c r="G1715" t="s">
        <v>1720</v>
      </c>
    </row>
    <row r="1716" spans="1:7">
      <c r="A1716" s="306" t="s">
        <v>369</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349</v>
      </c>
      <c r="B1724" s="141" t="s">
        <v>350</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372</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349</v>
      </c>
      <c r="B1734" s="141" t="s">
        <v>350</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372</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372</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349</v>
      </c>
      <c r="B1755" s="247" t="s">
        <v>350</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372</v>
      </c>
      <c r="B1758" s="317" t="s">
        <v>198</v>
      </c>
      <c r="C1758" s="56">
        <v>45939</v>
      </c>
      <c r="D1758" s="43">
        <v>369</v>
      </c>
      <c r="G1758" t="s">
        <v>1720</v>
      </c>
    </row>
    <row r="1759" spans="1:7">
      <c r="A1759" s="115" t="s">
        <v>369</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352</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355</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427</v>
      </c>
      <c r="C1784" s="56">
        <v>45944</v>
      </c>
      <c r="D1784" s="155">
        <v>1603</v>
      </c>
      <c r="F1784" s="43" t="s">
        <v>1749</v>
      </c>
      <c r="G1784" t="s">
        <v>1720</v>
      </c>
    </row>
    <row r="1785" spans="1:7">
      <c r="A1785" s="311" t="s">
        <v>1143</v>
      </c>
      <c r="B1785" s="311" t="s">
        <v>1095</v>
      </c>
      <c r="C1785" s="56">
        <v>45944</v>
      </c>
      <c r="D1785" s="43">
        <v>144</v>
      </c>
      <c r="G1785" t="s">
        <v>1720</v>
      </c>
    </row>
    <row r="1786" spans="1:7">
      <c r="A1786" s="315" t="s">
        <v>362</v>
      </c>
      <c r="B1786" s="315" t="s">
        <v>198</v>
      </c>
      <c r="C1786" s="56">
        <v>45944</v>
      </c>
      <c r="D1786" s="43">
        <v>927</v>
      </c>
      <c r="F1786" s="43" t="s">
        <v>1727</v>
      </c>
      <c r="G1786" t="s">
        <v>1720</v>
      </c>
    </row>
    <row r="1787" spans="1:7">
      <c r="A1787" s="247" t="s">
        <v>355</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427</v>
      </c>
      <c r="C1793" s="56">
        <v>45945</v>
      </c>
      <c r="D1793" s="43">
        <v>791</v>
      </c>
      <c r="F1793" s="43" t="s">
        <v>1754</v>
      </c>
      <c r="G1793" t="s">
        <v>1720</v>
      </c>
    </row>
    <row r="1794" spans="1:7">
      <c r="A1794" s="306" t="s">
        <v>349</v>
      </c>
      <c r="B1794" s="311" t="s">
        <v>1095</v>
      </c>
      <c r="C1794" s="56">
        <v>45945</v>
      </c>
      <c r="D1794" s="43">
        <v>986</v>
      </c>
      <c r="G1794" t="s">
        <v>1720</v>
      </c>
    </row>
    <row r="1795" spans="1:7">
      <c r="A1795" s="306" t="s">
        <v>365</v>
      </c>
      <c r="B1795" s="348" t="s">
        <v>1755</v>
      </c>
      <c r="C1795" s="56">
        <v>45945</v>
      </c>
      <c r="D1795" s="155">
        <v>1457</v>
      </c>
      <c r="F1795" s="43" t="s">
        <v>1756</v>
      </c>
      <c r="G1795" t="s">
        <v>1720</v>
      </c>
    </row>
    <row r="1796" spans="1:7">
      <c r="A1796" s="311" t="s">
        <v>362</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427</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365</v>
      </c>
      <c r="B1805" s="141" t="s">
        <v>1755</v>
      </c>
      <c r="C1805" s="310">
        <v>45946</v>
      </c>
      <c r="D1805" s="155">
        <v>1142</v>
      </c>
      <c r="F1805" s="43" t="s">
        <v>1761</v>
      </c>
      <c r="G1805" t="s">
        <v>1720</v>
      </c>
    </row>
    <row r="1806" spans="1:7">
      <c r="A1806" s="304" t="s">
        <v>362</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427</v>
      </c>
      <c r="C1811" s="56">
        <v>45947</v>
      </c>
      <c r="F1811" s="43" t="s">
        <v>1765</v>
      </c>
      <c r="G1811" t="s">
        <v>1720</v>
      </c>
    </row>
    <row r="1812" spans="1:7">
      <c r="A1812" s="615" t="s">
        <v>365</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427</v>
      </c>
      <c r="C1818" s="56">
        <v>45950</v>
      </c>
      <c r="D1818" s="155">
        <v>3343</v>
      </c>
      <c r="F1818" s="43" t="s">
        <v>1769</v>
      </c>
      <c r="G1818" t="s">
        <v>1720</v>
      </c>
    </row>
    <row r="1819" spans="1:7">
      <c r="A1819" s="942" t="s">
        <v>525</v>
      </c>
      <c r="B1819" s="943" t="s">
        <v>1095</v>
      </c>
      <c r="C1819" s="56">
        <v>45950</v>
      </c>
      <c r="D1819" s="43">
        <v>151</v>
      </c>
      <c r="G1819" t="s">
        <v>1720</v>
      </c>
    </row>
    <row r="1820" spans="1:7">
      <c r="A1820" s="755" t="s">
        <v>365</v>
      </c>
      <c r="B1820" s="755" t="s">
        <v>1755</v>
      </c>
      <c r="C1820" s="56">
        <v>45950</v>
      </c>
      <c r="D1820" s="155">
        <v>1186</v>
      </c>
      <c r="F1820" s="43" t="s">
        <v>1596</v>
      </c>
      <c r="G1820" t="s">
        <v>1720</v>
      </c>
    </row>
    <row r="1821" spans="1:7">
      <c r="A1821" s="940" t="s">
        <v>362</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427</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365</v>
      </c>
      <c r="B1829" s="115" t="s">
        <v>1755</v>
      </c>
      <c r="C1829" s="56">
        <v>45951</v>
      </c>
      <c r="D1829" s="155">
        <v>1564</v>
      </c>
      <c r="F1829" s="43" t="s">
        <v>1773</v>
      </c>
      <c r="G1829" t="s">
        <v>1720</v>
      </c>
    </row>
    <row r="1830" spans="1:7">
      <c r="A1830" s="43" t="s">
        <v>362</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427</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365</v>
      </c>
      <c r="B1838" s="161" t="s">
        <v>1755</v>
      </c>
      <c r="C1838" s="56">
        <v>45952</v>
      </c>
      <c r="D1838" s="155">
        <v>1012</v>
      </c>
      <c r="F1838" s="43" t="s">
        <v>1779</v>
      </c>
      <c r="G1838" t="s">
        <v>1720</v>
      </c>
    </row>
    <row r="1839" spans="1:7">
      <c r="A1839" s="43" t="s">
        <v>362</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427</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365</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427</v>
      </c>
      <c r="C1856" s="56">
        <v>45954</v>
      </c>
      <c r="D1856" s="155">
        <v>1933</v>
      </c>
      <c r="G1856" t="s">
        <v>1720</v>
      </c>
    </row>
    <row r="1857" spans="1:7">
      <c r="A1857" s="924" t="s">
        <v>525</v>
      </c>
      <c r="B1857" s="959" t="s">
        <v>1095</v>
      </c>
      <c r="C1857" s="56">
        <v>45954</v>
      </c>
      <c r="F1857" s="43" t="s">
        <v>1790</v>
      </c>
      <c r="G1857" t="s">
        <v>1720</v>
      </c>
    </row>
    <row r="1858" spans="1:7">
      <c r="A1858" s="615" t="s">
        <v>363</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427</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363</v>
      </c>
      <c r="B1870" s="161" t="s">
        <v>1755</v>
      </c>
      <c r="C1870" s="56">
        <v>45957</v>
      </c>
      <c r="D1870" s="155">
        <v>1323</v>
      </c>
      <c r="F1870" s="43" t="s">
        <v>1798</v>
      </c>
      <c r="G1870" t="s">
        <v>1720</v>
      </c>
    </row>
    <row r="1871" spans="1:7">
      <c r="A1871" s="43" t="s">
        <v>362</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427</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363</v>
      </c>
      <c r="B1883" s="161" t="s">
        <v>1755</v>
      </c>
      <c r="C1883" s="56">
        <v>45958</v>
      </c>
      <c r="D1883" s="155">
        <v>1516</v>
      </c>
      <c r="F1883" s="43" t="s">
        <v>1805</v>
      </c>
      <c r="G1883" t="s">
        <v>1720</v>
      </c>
    </row>
    <row r="1884" spans="1:7">
      <c r="A1884" s="43" t="s">
        <v>362</v>
      </c>
      <c r="B1884" s="318" t="s">
        <v>198</v>
      </c>
      <c r="C1884" s="56">
        <v>45958</v>
      </c>
      <c r="D1884" s="155">
        <v>1224</v>
      </c>
      <c r="G1884" t="s">
        <v>1720</v>
      </c>
    </row>
    <row r="1885" spans="1:7">
      <c r="A1885" s="43" t="s">
        <v>362</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427</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363</v>
      </c>
      <c r="B1894" s="161" t="s">
        <v>1755</v>
      </c>
      <c r="C1894" s="56">
        <v>45959</v>
      </c>
      <c r="D1894" s="43">
        <v>790</v>
      </c>
      <c r="F1894" s="43" t="s">
        <v>1812</v>
      </c>
      <c r="G1894" t="s">
        <v>1720</v>
      </c>
    </row>
    <row r="1895" spans="1:7">
      <c r="A1895" s="43" t="s">
        <v>362</v>
      </c>
      <c r="B1895" s="652" t="s">
        <v>198</v>
      </c>
      <c r="C1895" s="56">
        <v>45959</v>
      </c>
      <c r="D1895" s="43">
        <v>343</v>
      </c>
      <c r="G1895" t="s">
        <v>1720</v>
      </c>
    </row>
    <row r="1896" spans="1:7">
      <c r="A1896" s="69" t="s">
        <v>358</v>
      </c>
      <c r="B1896" s="43" t="s">
        <v>198</v>
      </c>
      <c r="C1896" s="56">
        <v>45959</v>
      </c>
      <c r="D1896" s="155">
        <v>3179</v>
      </c>
      <c r="G1896" t="s">
        <v>1720</v>
      </c>
    </row>
    <row r="1897" spans="1:7">
      <c r="A1897" s="311" t="s">
        <v>349</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427</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423</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362</v>
      </c>
      <c r="B1910" s="318" t="s">
        <v>198</v>
      </c>
      <c r="C1910" s="56">
        <v>45960</v>
      </c>
      <c r="E1910" s="253"/>
      <c r="F1910" s="612" t="s">
        <v>1411</v>
      </c>
      <c r="G1910" t="s">
        <v>1720</v>
      </c>
    </row>
    <row r="1911" spans="1:7">
      <c r="A1911" s="615" t="s">
        <v>363</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349</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427</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363</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423</v>
      </c>
      <c r="B1932" s="304" t="s">
        <v>1095</v>
      </c>
      <c r="C1932" s="56">
        <v>45964</v>
      </c>
      <c r="D1932" s="43">
        <v>259</v>
      </c>
      <c r="G1932" t="s">
        <v>1830</v>
      </c>
    </row>
    <row r="1933" spans="1:7">
      <c r="A1933" s="141" t="s">
        <v>980</v>
      </c>
      <c r="B1933" s="318" t="s">
        <v>1755</v>
      </c>
      <c r="C1933" s="56">
        <v>45964</v>
      </c>
      <c r="D1933" s="43">
        <v>463</v>
      </c>
      <c r="G1933" t="s">
        <v>1830</v>
      </c>
    </row>
    <row r="1934" spans="1:7">
      <c r="A1934" s="305" t="s">
        <v>358</v>
      </c>
      <c r="B1934" s="304" t="s">
        <v>198</v>
      </c>
      <c r="C1934" s="56">
        <v>45964</v>
      </c>
      <c r="D1934" s="43">
        <v>882</v>
      </c>
      <c r="F1934" s="43" t="s">
        <v>1833</v>
      </c>
      <c r="G1934" t="s">
        <v>1830</v>
      </c>
    </row>
    <row r="1935" spans="1:7">
      <c r="A1935" s="141" t="s">
        <v>349</v>
      </c>
      <c r="B1935" s="349" t="s">
        <v>1095</v>
      </c>
      <c r="C1935" s="56">
        <v>45964</v>
      </c>
      <c r="F1935" s="43" t="s">
        <v>1567</v>
      </c>
      <c r="G1935" t="s">
        <v>1830</v>
      </c>
    </row>
    <row r="1936" spans="1:7">
      <c r="A1936" s="141" t="s">
        <v>349</v>
      </c>
      <c r="B1936" s="349" t="s">
        <v>1834</v>
      </c>
      <c r="C1936" s="56">
        <v>45964</v>
      </c>
      <c r="E1936" s="321">
        <v>3846</v>
      </c>
      <c r="F1936" s="43" t="s">
        <v>1835</v>
      </c>
      <c r="G1936" t="s">
        <v>1830</v>
      </c>
    </row>
    <row r="1937" spans="1:7">
      <c r="A1937" s="141" t="s">
        <v>349</v>
      </c>
      <c r="B1937" s="349" t="s">
        <v>350</v>
      </c>
      <c r="C1937" s="56">
        <v>45964</v>
      </c>
      <c r="F1937" s="918" t="s">
        <v>1836</v>
      </c>
      <c r="G1937" t="s">
        <v>1830</v>
      </c>
    </row>
    <row r="1938" spans="1:7">
      <c r="A1938" s="141" t="s">
        <v>376</v>
      </c>
      <c r="B1938" s="996" t="s">
        <v>1095</v>
      </c>
      <c r="C1938" s="56">
        <v>45964</v>
      </c>
      <c r="D1938" s="43">
        <v>207</v>
      </c>
      <c r="G1938" t="s">
        <v>1830</v>
      </c>
    </row>
    <row r="1939" spans="1:7">
      <c r="A1939" s="141" t="s">
        <v>444</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423</v>
      </c>
      <c r="B1947" s="43" t="s">
        <v>1839</v>
      </c>
      <c r="C1947" s="56">
        <v>45965</v>
      </c>
      <c r="D1947" s="43">
        <v>817</v>
      </c>
      <c r="G1947" t="s">
        <v>1830</v>
      </c>
    </row>
    <row r="1948" spans="1:7">
      <c r="A1948" s="43" t="s">
        <v>423</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358</v>
      </c>
      <c r="B1951" s="43" t="s">
        <v>198</v>
      </c>
      <c r="C1951" s="56">
        <v>45965</v>
      </c>
      <c r="D1951" s="155">
        <v>1072</v>
      </c>
      <c r="F1951" s="43" t="s">
        <v>1841</v>
      </c>
      <c r="G1951" t="s">
        <v>1830</v>
      </c>
    </row>
    <row r="1952" spans="1:7">
      <c r="A1952" s="998" t="s">
        <v>365</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444</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423</v>
      </c>
      <c r="B1960" s="304" t="s">
        <v>1839</v>
      </c>
      <c r="C1960" s="56">
        <v>45966</v>
      </c>
      <c r="D1960" s="155">
        <v>1377</v>
      </c>
      <c r="G1960" t="s">
        <v>1830</v>
      </c>
    </row>
    <row r="1961" spans="1:7">
      <c r="A1961" s="304" t="s">
        <v>423</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358</v>
      </c>
      <c r="B1965" s="304" t="s">
        <v>198</v>
      </c>
      <c r="C1965" s="56">
        <v>45966</v>
      </c>
      <c r="D1965" s="155">
        <v>1034</v>
      </c>
      <c r="G1965" t="s">
        <v>1830</v>
      </c>
    </row>
    <row r="1966" spans="1:7">
      <c r="A1966" s="311" t="s">
        <v>355</v>
      </c>
      <c r="B1966" s="999" t="s">
        <v>1536</v>
      </c>
      <c r="C1966" s="56">
        <v>45966</v>
      </c>
      <c r="D1966" s="43">
        <v>150</v>
      </c>
      <c r="G1966" t="s">
        <v>1830</v>
      </c>
    </row>
    <row r="1967" spans="1:7">
      <c r="A1967" s="247" t="s">
        <v>349</v>
      </c>
      <c r="B1967" s="157" t="s">
        <v>1834</v>
      </c>
      <c r="C1967" s="56">
        <v>45966</v>
      </c>
      <c r="E1967" s="1004">
        <v>13112</v>
      </c>
      <c r="F1967" s="115" t="s">
        <v>1844</v>
      </c>
      <c r="G1967" t="s">
        <v>1830</v>
      </c>
    </row>
    <row r="1968" spans="1:7">
      <c r="A1968" s="247" t="s">
        <v>444</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439</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423</v>
      </c>
      <c r="B1974" s="43" t="s">
        <v>1839</v>
      </c>
      <c r="C1974" s="56">
        <v>45967</v>
      </c>
      <c r="D1974" s="43">
        <v>183</v>
      </c>
      <c r="G1974" t="s">
        <v>1830</v>
      </c>
    </row>
    <row r="1975" spans="1:7">
      <c r="A1975" s="43" t="s">
        <v>423</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358</v>
      </c>
      <c r="B1978" s="43" t="s">
        <v>198</v>
      </c>
      <c r="C1978" s="56">
        <v>45967</v>
      </c>
      <c r="D1978" s="43">
        <v>209</v>
      </c>
      <c r="G1978" t="s">
        <v>1830</v>
      </c>
    </row>
    <row r="1979" spans="1:7">
      <c r="A1979" s="615" t="s">
        <v>374</v>
      </c>
      <c r="B1979" s="752" t="s">
        <v>1755</v>
      </c>
      <c r="C1979" s="56">
        <v>45967</v>
      </c>
      <c r="D1979" s="155">
        <v>1063</v>
      </c>
      <c r="G1979" t="s">
        <v>1830</v>
      </c>
    </row>
    <row r="1980" spans="1:7">
      <c r="A1980" s="729" t="s">
        <v>439</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423</v>
      </c>
      <c r="B1984" s="141" t="s">
        <v>1839</v>
      </c>
      <c r="C1984" s="56">
        <v>45968</v>
      </c>
      <c r="G1984" t="s">
        <v>1830</v>
      </c>
    </row>
    <row r="1985" spans="1:7">
      <c r="A1985" s="141" t="s">
        <v>374</v>
      </c>
      <c r="B1985" s="304" t="s">
        <v>1095</v>
      </c>
      <c r="C1985" s="56">
        <v>45968</v>
      </c>
      <c r="D1985" s="43">
        <v>350</v>
      </c>
      <c r="G1985" t="s">
        <v>1830</v>
      </c>
    </row>
    <row r="1986" spans="1:7">
      <c r="A1986" s="141" t="s">
        <v>374</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363</v>
      </c>
      <c r="B1988" s="752" t="s">
        <v>1755</v>
      </c>
      <c r="C1988" s="56">
        <v>45968</v>
      </c>
      <c r="F1988" s="311" t="s">
        <v>1481</v>
      </c>
      <c r="G1988" t="s">
        <v>1830</v>
      </c>
    </row>
    <row r="1989" spans="1:7">
      <c r="A1989" s="247" t="s">
        <v>372</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423</v>
      </c>
      <c r="B1992" s="311" t="s">
        <v>1095</v>
      </c>
      <c r="C1992" s="56">
        <v>45971</v>
      </c>
      <c r="D1992" s="43">
        <v>558</v>
      </c>
      <c r="G1992" t="s">
        <v>1830</v>
      </c>
    </row>
    <row r="1993" spans="1:7">
      <c r="A1993" s="311" t="s">
        <v>423</v>
      </c>
      <c r="B1993" s="311" t="s">
        <v>427</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358</v>
      </c>
      <c r="B1998" s="798" t="s">
        <v>198</v>
      </c>
      <c r="C1998" s="56">
        <v>45971</v>
      </c>
      <c r="D1998" s="43">
        <v>96</v>
      </c>
      <c r="G1998" t="s">
        <v>1830</v>
      </c>
    </row>
    <row r="1999" spans="1:7">
      <c r="A1999" s="304" t="s">
        <v>205</v>
      </c>
      <c r="B1999" s="349" t="s">
        <v>1829</v>
      </c>
      <c r="C1999" s="56">
        <v>45971</v>
      </c>
      <c r="D1999" s="43">
        <v>562</v>
      </c>
      <c r="G1999" t="s">
        <v>1830</v>
      </c>
    </row>
    <row r="2000" spans="1:7">
      <c r="A2000" s="141" t="s">
        <v>360</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430</v>
      </c>
      <c r="C2003" s="56">
        <v>45972</v>
      </c>
      <c r="D2003" s="155">
        <v>1062</v>
      </c>
      <c r="F2003" s="43" t="s">
        <v>1856</v>
      </c>
      <c r="G2003" t="s">
        <v>1830</v>
      </c>
    </row>
    <row r="2004" spans="1:7">
      <c r="A2004" s="141" t="s">
        <v>365</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423</v>
      </c>
      <c r="B2007" s="43" t="s">
        <v>1536</v>
      </c>
      <c r="C2007" s="56">
        <v>45973</v>
      </c>
      <c r="F2007" s="311" t="s">
        <v>1543</v>
      </c>
      <c r="G2007" t="s">
        <v>1830</v>
      </c>
    </row>
    <row r="2008" spans="1:7">
      <c r="A2008" s="43" t="s">
        <v>402</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427</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363</v>
      </c>
      <c r="B2014" s="43" t="s">
        <v>1755</v>
      </c>
      <c r="C2014" s="56">
        <v>45973</v>
      </c>
      <c r="F2014" s="311" t="s">
        <v>1861</v>
      </c>
      <c r="G2014" t="s">
        <v>1830</v>
      </c>
    </row>
    <row r="2015" spans="1:7">
      <c r="A2015" s="615" t="s">
        <v>395</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423</v>
      </c>
      <c r="B2020" s="43" t="s">
        <v>1536</v>
      </c>
      <c r="C2020" s="56">
        <v>45974</v>
      </c>
      <c r="F2020" s="43" t="s">
        <v>1604</v>
      </c>
      <c r="G2020" t="s">
        <v>1830</v>
      </c>
    </row>
    <row r="2021" spans="1:7">
      <c r="A2021" s="43" t="s">
        <v>402</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360</v>
      </c>
      <c r="B2026" s="1056" t="s">
        <v>198</v>
      </c>
      <c r="C2026" s="56">
        <v>45974</v>
      </c>
      <c r="D2026" s="155">
        <v>1123</v>
      </c>
      <c r="F2026" s="43" t="s">
        <v>1866</v>
      </c>
      <c r="G2026" t="s">
        <v>1830</v>
      </c>
    </row>
    <row r="2027" spans="1:7">
      <c r="A2027" s="615" t="s">
        <v>395</v>
      </c>
      <c r="B2027" s="43" t="s">
        <v>1755</v>
      </c>
      <c r="C2027" s="56">
        <v>45974</v>
      </c>
      <c r="D2027" s="155">
        <v>2912</v>
      </c>
      <c r="G2027" t="s">
        <v>1830</v>
      </c>
    </row>
    <row r="2028" spans="1:7">
      <c r="A2028" s="615" t="s">
        <v>352</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423</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430</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395</v>
      </c>
      <c r="B2038" s="315" t="s">
        <v>1755</v>
      </c>
      <c r="C2038" s="56">
        <v>45975</v>
      </c>
      <c r="D2038" s="155">
        <v>2125</v>
      </c>
      <c r="G2038" t="s">
        <v>1830</v>
      </c>
    </row>
    <row r="2039" spans="1:7">
      <c r="A2039" s="141" t="s">
        <v>423</v>
      </c>
      <c r="B2039" s="141" t="s">
        <v>1536</v>
      </c>
      <c r="C2039" s="56">
        <v>45978</v>
      </c>
      <c r="D2039" s="43">
        <v>127</v>
      </c>
      <c r="G2039" t="s">
        <v>1830</v>
      </c>
    </row>
    <row r="2040" spans="1:7">
      <c r="A2040" s="141" t="s">
        <v>423</v>
      </c>
      <c r="B2040" s="141" t="s">
        <v>1536</v>
      </c>
      <c r="C2040" s="56">
        <v>45978</v>
      </c>
      <c r="E2040" s="139">
        <v>300</v>
      </c>
      <c r="F2040" s="43" t="s">
        <v>1869</v>
      </c>
      <c r="G2040" t="s">
        <v>1830</v>
      </c>
    </row>
    <row r="2041" spans="1:7">
      <c r="A2041" s="304" t="s">
        <v>1154</v>
      </c>
      <c r="B2041" s="304" t="s">
        <v>427</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430</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395</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427</v>
      </c>
      <c r="C2056" s="56">
        <v>45979</v>
      </c>
      <c r="D2056" s="155">
        <v>1518</v>
      </c>
      <c r="G2056" t="s">
        <v>1830</v>
      </c>
    </row>
    <row r="2057" spans="1:7">
      <c r="A2057" s="43" t="s">
        <v>410</v>
      </c>
      <c r="B2057" s="43" t="s">
        <v>139</v>
      </c>
      <c r="C2057" s="56">
        <v>45979</v>
      </c>
      <c r="D2057" s="155">
        <v>1679</v>
      </c>
      <c r="F2057" s="43" t="s">
        <v>1872</v>
      </c>
      <c r="G2057" t="s">
        <v>1830</v>
      </c>
    </row>
    <row r="2058" spans="1:7">
      <c r="A2058" s="43" t="s">
        <v>1153</v>
      </c>
      <c r="B2058" s="43" t="s">
        <v>430</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360</v>
      </c>
      <c r="B2062" s="652" t="s">
        <v>198</v>
      </c>
      <c r="C2062" s="56">
        <v>45979</v>
      </c>
      <c r="D2062" s="155">
        <v>1917</v>
      </c>
      <c r="F2062" s="69"/>
      <c r="G2062" t="s">
        <v>1830</v>
      </c>
    </row>
    <row r="2063" spans="1:7">
      <c r="A2063" s="43" t="s">
        <v>396</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427</v>
      </c>
      <c r="C2068" s="56">
        <v>45980</v>
      </c>
      <c r="D2068" s="155">
        <v>1968</v>
      </c>
      <c r="E2068" s="201"/>
      <c r="F2068" s="148" t="s">
        <v>1877</v>
      </c>
      <c r="G2068" t="s">
        <v>1830</v>
      </c>
    </row>
    <row r="2069" spans="1:7">
      <c r="A2069" s="304" t="s">
        <v>410</v>
      </c>
      <c r="B2069" s="304" t="s">
        <v>139</v>
      </c>
      <c r="C2069" s="56">
        <v>45980</v>
      </c>
      <c r="D2069" s="321">
        <v>1429</v>
      </c>
      <c r="E2069" s="43"/>
      <c r="F2069" s="69" t="s">
        <v>1878</v>
      </c>
      <c r="G2069" t="s">
        <v>1830</v>
      </c>
    </row>
    <row r="2070" spans="1:7">
      <c r="A2070" s="305" t="s">
        <v>1153</v>
      </c>
      <c r="B2070" s="304" t="s">
        <v>430</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396</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427</v>
      </c>
      <c r="C2078" s="56">
        <v>45981</v>
      </c>
      <c r="D2078" s="43">
        <v>345</v>
      </c>
      <c r="F2078" s="69" t="s">
        <v>1882</v>
      </c>
      <c r="G2078" t="s">
        <v>1830</v>
      </c>
    </row>
    <row r="2079" spans="1:7">
      <c r="A2079" s="304" t="s">
        <v>410</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360</v>
      </c>
      <c r="B2083" s="996" t="s">
        <v>198</v>
      </c>
      <c r="C2083" s="56">
        <v>45981</v>
      </c>
      <c r="D2083" s="43">
        <v>272</v>
      </c>
      <c r="F2083" s="69"/>
      <c r="G2083" t="s">
        <v>1830</v>
      </c>
    </row>
    <row r="2084" spans="1:7">
      <c r="A2084" s="43" t="s">
        <v>395</v>
      </c>
      <c r="B2084" s="43" t="s">
        <v>1755</v>
      </c>
      <c r="C2084" s="56">
        <v>45982</v>
      </c>
      <c r="E2084" s="253"/>
      <c r="F2084" s="311" t="s">
        <v>1886</v>
      </c>
      <c r="G2084" t="s">
        <v>1830</v>
      </c>
    </row>
    <row r="2085" spans="1:7">
      <c r="A2085" s="304" t="s">
        <v>396</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427</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396</v>
      </c>
      <c r="B2095" s="43" t="s">
        <v>1755</v>
      </c>
      <c r="C2095" s="56">
        <v>45982</v>
      </c>
      <c r="D2095" s="43">
        <v>789</v>
      </c>
      <c r="E2095" s="253"/>
      <c r="F2095" s="91" t="s">
        <v>1889</v>
      </c>
      <c r="G2095" t="s">
        <v>1830</v>
      </c>
    </row>
    <row r="2096" spans="1:7">
      <c r="A2096" s="43" t="s">
        <v>398</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427</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410</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402</v>
      </c>
      <c r="B2116" s="43" t="s">
        <v>1095</v>
      </c>
      <c r="C2116" s="56">
        <v>45985</v>
      </c>
      <c r="D2116" s="139"/>
      <c r="E2116" s="43">
        <v>719</v>
      </c>
      <c r="F2116" s="69"/>
      <c r="G2116" t="s">
        <v>1830</v>
      </c>
    </row>
    <row r="2117" spans="1:7">
      <c r="A2117" s="306" t="s">
        <v>360</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374</v>
      </c>
      <c r="B2119" s="247" t="s">
        <v>1755</v>
      </c>
      <c r="C2119" s="56">
        <v>45985</v>
      </c>
      <c r="D2119" s="139"/>
      <c r="E2119" s="43"/>
      <c r="F2119" s="1082" t="s">
        <v>1898</v>
      </c>
      <c r="G2119" t="s">
        <v>1830</v>
      </c>
    </row>
    <row r="2120" spans="1:7">
      <c r="A2120" s="43" t="s">
        <v>363</v>
      </c>
      <c r="B2120" s="247" t="s">
        <v>1755</v>
      </c>
      <c r="C2120" s="56">
        <v>45985</v>
      </c>
      <c r="D2120" s="139"/>
      <c r="E2120" s="43"/>
      <c r="F2120" s="1082" t="s">
        <v>1899</v>
      </c>
      <c r="G2120" t="s">
        <v>1830</v>
      </c>
    </row>
    <row r="2121" spans="1:7">
      <c r="A2121" s="43" t="s">
        <v>389</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427</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430</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374</v>
      </c>
      <c r="B2132" s="247" t="s">
        <v>1755</v>
      </c>
      <c r="C2132" s="56">
        <v>45986</v>
      </c>
      <c r="D2132" s="139"/>
      <c r="E2132" s="43"/>
      <c r="F2132" s="752" t="s">
        <v>1903</v>
      </c>
      <c r="G2132" t="s">
        <v>1830</v>
      </c>
    </row>
    <row r="2133" spans="1:7">
      <c r="A2133" s="43" t="s">
        <v>363</v>
      </c>
      <c r="B2133" s="247" t="s">
        <v>1755</v>
      </c>
      <c r="C2133" s="56">
        <v>45986</v>
      </c>
      <c r="D2133" s="139"/>
      <c r="E2133" s="43"/>
      <c r="F2133" s="752" t="s">
        <v>1903</v>
      </c>
      <c r="G2133" t="s">
        <v>1830</v>
      </c>
    </row>
    <row r="2134" spans="1:7">
      <c r="A2134" s="43" t="s">
        <v>398</v>
      </c>
      <c r="B2134" s="43" t="s">
        <v>1755</v>
      </c>
      <c r="C2134" s="56">
        <v>45986</v>
      </c>
      <c r="D2134" s="321">
        <v>2568</v>
      </c>
      <c r="E2134" s="43"/>
      <c r="G2134" t="s">
        <v>1830</v>
      </c>
    </row>
    <row r="2135" spans="1:7">
      <c r="A2135" s="43" t="s">
        <v>389</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439</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427</v>
      </c>
      <c r="C2149" s="56">
        <v>45987</v>
      </c>
      <c r="D2149" s="43">
        <v>955</v>
      </c>
      <c r="E2149" s="201"/>
      <c r="F2149" s="115" t="s">
        <v>1907</v>
      </c>
      <c r="G2149" t="s">
        <v>1830</v>
      </c>
    </row>
    <row r="2150" spans="1:7">
      <c r="A2150" s="315" t="s">
        <v>1159</v>
      </c>
      <c r="B2150" s="315" t="s">
        <v>430</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374</v>
      </c>
      <c r="B2152" s="141" t="s">
        <v>1755</v>
      </c>
      <c r="C2152" s="56">
        <v>45987</v>
      </c>
      <c r="D2152" s="139"/>
      <c r="E2152" s="43"/>
      <c r="F2152" s="752" t="s">
        <v>1903</v>
      </c>
      <c r="G2152" t="s">
        <v>1830</v>
      </c>
    </row>
    <row r="2153" spans="1:7">
      <c r="A2153" s="305" t="s">
        <v>363</v>
      </c>
      <c r="B2153" s="305" t="s">
        <v>1755</v>
      </c>
      <c r="C2153" s="336">
        <v>45987</v>
      </c>
      <c r="D2153" s="139"/>
      <c r="E2153" s="43"/>
      <c r="F2153" s="752" t="s">
        <v>1903</v>
      </c>
      <c r="G2153" t="s">
        <v>1830</v>
      </c>
    </row>
    <row r="2154" spans="1:7">
      <c r="A2154" s="141" t="s">
        <v>358</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360</v>
      </c>
      <c r="B2156" s="141" t="s">
        <v>198</v>
      </c>
      <c r="C2156" s="56">
        <v>45987</v>
      </c>
      <c r="D2156" s="423"/>
      <c r="E2156" s="43"/>
      <c r="F2156" s="141" t="s">
        <v>1903</v>
      </c>
      <c r="G2156" t="s">
        <v>1830</v>
      </c>
    </row>
    <row r="2157" spans="1:7">
      <c r="A2157" s="141" t="s">
        <v>352</v>
      </c>
      <c r="B2157" s="141" t="s">
        <v>1909</v>
      </c>
      <c r="C2157" s="56">
        <v>45987</v>
      </c>
      <c r="D2157" s="161"/>
      <c r="E2157" s="1085">
        <v>4668</v>
      </c>
      <c r="F2157" s="169" t="s">
        <v>1910</v>
      </c>
      <c r="G2157" t="s">
        <v>1830</v>
      </c>
    </row>
    <row r="2158" spans="1:7">
      <c r="A2158" s="247" t="s">
        <v>444</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442</v>
      </c>
      <c r="B2160" s="311" t="s">
        <v>1095</v>
      </c>
      <c r="C2160" s="56">
        <v>45987</v>
      </c>
      <c r="E2160" s="139">
        <v>175</v>
      </c>
      <c r="G2160" t="s">
        <v>1830</v>
      </c>
    </row>
    <row r="2161" spans="1:7">
      <c r="A2161" s="306" t="s">
        <v>442</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447</v>
      </c>
      <c r="B2168" s="315" t="s">
        <v>1095</v>
      </c>
      <c r="C2168" s="56">
        <v>45987</v>
      </c>
      <c r="E2168" s="321">
        <v>1140</v>
      </c>
      <c r="G2168" t="s">
        <v>1830</v>
      </c>
    </row>
    <row r="2169" spans="1:7">
      <c r="A2169" s="315" t="s">
        <v>449</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427</v>
      </c>
      <c r="C2178" s="56">
        <v>45992</v>
      </c>
      <c r="D2178" s="155">
        <v>1765</v>
      </c>
      <c r="G2178" t="s">
        <v>1915</v>
      </c>
    </row>
    <row r="2179" spans="1:7">
      <c r="A2179" s="304" t="s">
        <v>1157</v>
      </c>
      <c r="B2179" s="304" t="s">
        <v>430</v>
      </c>
      <c r="C2179" s="56">
        <v>45992</v>
      </c>
      <c r="D2179" s="43">
        <v>600</v>
      </c>
      <c r="G2179" t="s">
        <v>1915</v>
      </c>
    </row>
    <row r="2180" spans="1:7">
      <c r="A2180" s="141" t="s">
        <v>389</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430</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427</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430</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427</v>
      </c>
      <c r="C2203" s="56">
        <v>45994</v>
      </c>
      <c r="D2203" s="43">
        <v>383</v>
      </c>
      <c r="G2203" t="s">
        <v>1915</v>
      </c>
    </row>
    <row r="2204" spans="1:7">
      <c r="A2204" s="752" t="s">
        <v>574</v>
      </c>
      <c r="B2204" s="1118" t="s">
        <v>139</v>
      </c>
      <c r="C2204" s="56">
        <v>45994</v>
      </c>
      <c r="D2204" s="155">
        <v>1379</v>
      </c>
      <c r="F2204" s="43" t="s">
        <v>1930</v>
      </c>
      <c r="G2204" t="s">
        <v>1915</v>
      </c>
    </row>
    <row r="2205" spans="1:7">
      <c r="A2205" s="752" t="s">
        <v>389</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297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413</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427</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389</v>
      </c>
      <c r="B2218" s="141" t="s">
        <v>1755</v>
      </c>
      <c r="C2218" s="56">
        <v>45995</v>
      </c>
      <c r="D2218" s="155">
        <v>1316</v>
      </c>
      <c r="G2218" t="s">
        <v>1915</v>
      </c>
    </row>
    <row r="2219" spans="1:7">
      <c r="A2219" s="141" t="s">
        <v>398</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430</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427</v>
      </c>
      <c r="C2231" s="56">
        <v>45996</v>
      </c>
      <c r="F2231" s="311" t="s">
        <v>1944</v>
      </c>
      <c r="G2231" t="s">
        <v>1915</v>
      </c>
    </row>
    <row r="2232" spans="1:7">
      <c r="A2232" s="752" t="s">
        <v>398</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430</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413</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398</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430</v>
      </c>
      <c r="C2252" s="56">
        <v>46000</v>
      </c>
      <c r="D2252" s="43">
        <v>541</v>
      </c>
      <c r="F2252" s="43" t="s">
        <v>1956</v>
      </c>
      <c r="G2252" t="s">
        <v>1915</v>
      </c>
    </row>
    <row r="2253" spans="1:7">
      <c r="A2253" s="1130" t="s">
        <v>413</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383</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439</v>
      </c>
      <c r="B2260" s="139" t="s">
        <v>139</v>
      </c>
      <c r="C2260" s="56">
        <v>46000</v>
      </c>
      <c r="D2260" s="155">
        <v>2203</v>
      </c>
      <c r="F2260" s="43" t="s">
        <v>1178</v>
      </c>
      <c r="G2260" t="s">
        <v>1915</v>
      </c>
    </row>
    <row r="2261" spans="1:7">
      <c r="A2261" s="948" t="s">
        <v>302</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430</v>
      </c>
      <c r="C2267" s="56">
        <v>46001</v>
      </c>
      <c r="D2267" s="43">
        <v>330</v>
      </c>
      <c r="F2267" s="43" t="s">
        <v>1762</v>
      </c>
      <c r="G2267" t="s">
        <v>1915</v>
      </c>
    </row>
    <row r="2268" spans="1:7">
      <c r="A2268" s="782" t="s">
        <v>413</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383</v>
      </c>
      <c r="B2271" s="752" t="s">
        <v>1755</v>
      </c>
      <c r="C2271" s="56">
        <v>46001</v>
      </c>
      <c r="D2271" s="155">
        <v>1177</v>
      </c>
      <c r="F2271" s="43" t="s">
        <v>1964</v>
      </c>
      <c r="G2271" t="s">
        <v>1915</v>
      </c>
    </row>
    <row r="2272" spans="1:7">
      <c r="A2272" s="752" t="s">
        <v>386</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439</v>
      </c>
      <c r="B2277" s="1056" t="s">
        <v>139</v>
      </c>
      <c r="C2277" s="56">
        <v>46001</v>
      </c>
      <c r="E2277" s="321">
        <v>3674</v>
      </c>
      <c r="F2277" s="43" t="s">
        <v>1966</v>
      </c>
      <c r="G2277" t="s">
        <v>1915</v>
      </c>
    </row>
    <row r="2278" spans="1:7">
      <c r="A2278" s="752" t="s">
        <v>302</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430</v>
      </c>
      <c r="C2284" s="56">
        <v>46002</v>
      </c>
      <c r="D2284" s="43">
        <v>520</v>
      </c>
      <c r="G2284" t="s">
        <v>1915</v>
      </c>
    </row>
    <row r="2285" spans="1:7">
      <c r="A2285" s="1135" t="s">
        <v>559</v>
      </c>
      <c r="B2285" s="1131" t="s">
        <v>123</v>
      </c>
      <c r="C2285" s="56">
        <v>46002</v>
      </c>
      <c r="D2285" s="155">
        <v>1351</v>
      </c>
      <c r="F2285" s="43" t="s">
        <v>1971</v>
      </c>
      <c r="G2285" t="s">
        <v>1915</v>
      </c>
    </row>
    <row r="2286" spans="1:7">
      <c r="A2286" s="43" t="s">
        <v>386</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302</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430</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302</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430</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400</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444</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430</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400</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430</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400</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297</v>
      </c>
      <c r="B2342" s="69" t="s">
        <v>139</v>
      </c>
      <c r="C2342" s="56">
        <v>46008</v>
      </c>
      <c r="D2342" s="43">
        <v>372</v>
      </c>
      <c r="G2342" t="s">
        <v>1915</v>
      </c>
    </row>
    <row r="2343" spans="1:7">
      <c r="A2343" s="1136" t="s">
        <v>308</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430</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400</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308</v>
      </c>
      <c r="B2364" s="306" t="s">
        <v>139</v>
      </c>
      <c r="C2364" s="56">
        <v>46009</v>
      </c>
      <c r="D2364" s="43">
        <v>881</v>
      </c>
      <c r="G2364" t="s">
        <v>1915</v>
      </c>
    </row>
    <row r="2365" spans="1:7">
      <c r="A2365" s="141" t="s">
        <v>305</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430</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400</v>
      </c>
      <c r="B2379" s="43" t="s">
        <v>1755</v>
      </c>
      <c r="C2379" s="56">
        <v>46010</v>
      </c>
      <c r="D2379" s="43">
        <v>974</v>
      </c>
      <c r="F2379" s="43" t="s">
        <v>2016</v>
      </c>
      <c r="G2379" t="s">
        <v>1915</v>
      </c>
    </row>
    <row r="2380" spans="1:7">
      <c r="A2380" s="1335" t="s">
        <v>297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305</v>
      </c>
      <c r="B2382" s="1336" t="s">
        <v>139</v>
      </c>
      <c r="C2382" s="56">
        <v>46010</v>
      </c>
      <c r="D2382" s="155">
        <v>1683</v>
      </c>
      <c r="G2382" t="s">
        <v>1915</v>
      </c>
    </row>
    <row r="2383" spans="1:7">
      <c r="A2383" s="1335" t="s">
        <v>302</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430</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297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305</v>
      </c>
      <c r="B2396" s="1118" t="s">
        <v>139</v>
      </c>
      <c r="C2396" s="56">
        <v>46013</v>
      </c>
      <c r="D2396" s="43">
        <v>362</v>
      </c>
      <c r="G2396" t="s">
        <v>1915</v>
      </c>
    </row>
    <row r="2397" spans="1:7">
      <c r="A2397" s="1134" t="s">
        <v>308</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430</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308</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297</v>
      </c>
      <c r="B2414" s="755" t="s">
        <v>139</v>
      </c>
      <c r="C2414" s="56">
        <v>46020</v>
      </c>
      <c r="D2414" s="43">
        <v>738</v>
      </c>
      <c r="G2414" t="s">
        <v>1915</v>
      </c>
    </row>
    <row r="2415" spans="1:7">
      <c r="A2415" s="1118" t="s">
        <v>305</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413</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297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418</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297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439</v>
      </c>
      <c r="B2438" s="157" t="s">
        <v>139</v>
      </c>
      <c r="C2438" s="56">
        <v>46028</v>
      </c>
      <c r="D2438" s="43">
        <v>0</v>
      </c>
      <c r="E2438" s="43"/>
      <c r="F2438" s="43" t="s">
        <v>2029</v>
      </c>
      <c r="G2438" t="s">
        <v>2028</v>
      </c>
    </row>
    <row r="2439" spans="1:7">
      <c r="A2439" s="247" t="s">
        <v>297</v>
      </c>
      <c r="B2439" s="157" t="s">
        <v>139</v>
      </c>
      <c r="C2439" s="56">
        <v>46028</v>
      </c>
      <c r="D2439" s="1438">
        <v>1789</v>
      </c>
      <c r="E2439" s="43"/>
      <c r="G2439" t="s">
        <v>2028</v>
      </c>
    </row>
    <row r="2440" spans="1:7">
      <c r="A2440" s="247" t="s">
        <v>493</v>
      </c>
      <c r="B2440" s="157" t="s">
        <v>139</v>
      </c>
      <c r="C2440" s="56">
        <v>46028</v>
      </c>
      <c r="D2440" s="1438">
        <v>2362</v>
      </c>
      <c r="E2440" s="43"/>
      <c r="G2440" t="s">
        <v>2028</v>
      </c>
    </row>
    <row r="2441" spans="1:7">
      <c r="A2441" s="247" t="s">
        <v>1017</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418</v>
      </c>
      <c r="B2444" s="157" t="s">
        <v>139</v>
      </c>
      <c r="C2444" s="56">
        <v>46028</v>
      </c>
      <c r="D2444" s="1438">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404</v>
      </c>
      <c r="B2447" s="157" t="s">
        <v>139</v>
      </c>
      <c r="C2447" s="56">
        <v>46029</v>
      </c>
      <c r="D2447" s="1438">
        <v>1687</v>
      </c>
      <c r="E2447" s="43"/>
      <c r="G2447" t="s">
        <v>2028</v>
      </c>
    </row>
    <row r="2448" spans="1:7">
      <c r="A2448" s="247" t="s">
        <v>407</v>
      </c>
      <c r="B2448" s="157" t="s">
        <v>139</v>
      </c>
      <c r="C2448" s="56">
        <v>46029</v>
      </c>
      <c r="D2448" s="1438">
        <v>1056</v>
      </c>
      <c r="E2448" s="43"/>
      <c r="F2448" s="1450" t="s">
        <v>2032</v>
      </c>
      <c r="G2448" t="s">
        <v>2028</v>
      </c>
    </row>
    <row r="2449" spans="1:7">
      <c r="A2449" s="247" t="s">
        <v>1017</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493</v>
      </c>
      <c r="B2451" s="157" t="s">
        <v>139</v>
      </c>
      <c r="C2451" s="56">
        <v>46029</v>
      </c>
      <c r="D2451" s="1438">
        <v>3079</v>
      </c>
      <c r="E2451" s="43"/>
      <c r="F2451" s="1450"/>
      <c r="G2451" t="s">
        <v>2028</v>
      </c>
    </row>
    <row r="2452" spans="1:7">
      <c r="A2452" s="247" t="s">
        <v>483</v>
      </c>
      <c r="B2452" s="157" t="s">
        <v>139</v>
      </c>
      <c r="C2452" s="56">
        <v>46029</v>
      </c>
      <c r="D2452" s="88">
        <v>0</v>
      </c>
      <c r="E2452" s="43"/>
      <c r="F2452" s="1451" t="s">
        <v>2027</v>
      </c>
      <c r="G2452" t="s">
        <v>2028</v>
      </c>
    </row>
    <row r="2453" spans="1:7">
      <c r="A2453" s="247" t="s">
        <v>518</v>
      </c>
      <c r="B2453" s="157" t="s">
        <v>1095</v>
      </c>
      <c r="C2453" s="56">
        <v>46030</v>
      </c>
      <c r="D2453" s="88">
        <v>85</v>
      </c>
      <c r="E2453" s="43"/>
      <c r="F2453" s="1450"/>
      <c r="G2453" t="s">
        <v>2028</v>
      </c>
    </row>
    <row r="2454" spans="1:7">
      <c r="A2454" s="247" t="s">
        <v>1130</v>
      </c>
      <c r="B2454" s="157" t="s">
        <v>1095</v>
      </c>
      <c r="C2454" s="56">
        <v>46030</v>
      </c>
      <c r="D2454" s="88">
        <v>113</v>
      </c>
      <c r="E2454" s="43"/>
      <c r="F2454" s="1450" t="s">
        <v>2033</v>
      </c>
      <c r="G2454" t="s">
        <v>2028</v>
      </c>
    </row>
    <row r="2455" spans="1:7">
      <c r="A2455" s="247" t="s">
        <v>404</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311</v>
      </c>
      <c r="B2457" s="157" t="s">
        <v>139</v>
      </c>
      <c r="C2457" s="56">
        <v>46030</v>
      </c>
      <c r="D2457" s="1438">
        <v>2367</v>
      </c>
      <c r="E2457" s="43"/>
      <c r="F2457" s="1450"/>
      <c r="G2457" t="s">
        <v>2028</v>
      </c>
    </row>
    <row r="2458" spans="1:7">
      <c r="A2458" s="247" t="s">
        <v>374</v>
      </c>
      <c r="B2458" s="157" t="s">
        <v>2035</v>
      </c>
      <c r="C2458" s="56">
        <v>46030</v>
      </c>
      <c r="D2458" s="1438"/>
      <c r="E2458" s="1438">
        <v>2706</v>
      </c>
      <c r="F2458" s="1450"/>
      <c r="G2458" t="s">
        <v>2028</v>
      </c>
    </row>
    <row r="2459" spans="1:7">
      <c r="A2459" s="247" t="s">
        <v>374</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480</v>
      </c>
      <c r="B2462" s="157" t="s">
        <v>139</v>
      </c>
      <c r="C2462" s="56">
        <v>46031</v>
      </c>
      <c r="D2462" s="1438">
        <v>104</v>
      </c>
      <c r="E2462" s="88"/>
      <c r="F2462" s="1452"/>
      <c r="G2462" t="s">
        <v>2028</v>
      </c>
    </row>
    <row r="2463" spans="1:7">
      <c r="A2463" s="247" t="s">
        <v>302</v>
      </c>
      <c r="B2463" s="157" t="s">
        <v>139</v>
      </c>
      <c r="C2463" s="56">
        <v>46031</v>
      </c>
      <c r="D2463" s="88"/>
      <c r="E2463" s="1438">
        <v>1056</v>
      </c>
      <c r="F2463" s="1452"/>
      <c r="G2463" t="s">
        <v>2028</v>
      </c>
    </row>
    <row r="2464" spans="1:7">
      <c r="A2464" s="247" t="s">
        <v>474</v>
      </c>
      <c r="B2464" s="157" t="s">
        <v>139</v>
      </c>
      <c r="C2464" s="56">
        <v>46031</v>
      </c>
      <c r="D2464" s="88"/>
      <c r="E2464" s="1438">
        <v>1090</v>
      </c>
      <c r="F2464" s="1450"/>
      <c r="G2464" t="s">
        <v>2028</v>
      </c>
    </row>
    <row r="2465" spans="1:7">
      <c r="A2465" s="247" t="s">
        <v>311</v>
      </c>
      <c r="B2465" s="157" t="s">
        <v>139</v>
      </c>
      <c r="C2465" s="56">
        <v>46031</v>
      </c>
      <c r="D2465" s="88">
        <v>447</v>
      </c>
      <c r="E2465" s="88"/>
      <c r="F2465" s="1452"/>
      <c r="G2465" t="s">
        <v>2028</v>
      </c>
    </row>
    <row r="2466" spans="1:7">
      <c r="A2466" s="247" t="s">
        <v>392</v>
      </c>
      <c r="B2466" s="157" t="s">
        <v>209</v>
      </c>
      <c r="C2466" s="56">
        <v>46031</v>
      </c>
      <c r="D2466" s="1438">
        <v>1319</v>
      </c>
      <c r="E2466" s="88"/>
      <c r="F2466" s="1452" t="s">
        <v>2037</v>
      </c>
      <c r="G2466" t="s">
        <v>2028</v>
      </c>
    </row>
    <row r="2467" spans="1:7">
      <c r="A2467" s="247" t="s">
        <v>404</v>
      </c>
      <c r="B2467" s="157" t="s">
        <v>139</v>
      </c>
      <c r="C2467" s="56">
        <v>46034</v>
      </c>
      <c r="D2467" s="88">
        <v>0</v>
      </c>
      <c r="E2467" s="88"/>
      <c r="F2467" s="1451" t="s">
        <v>1397</v>
      </c>
      <c r="G2467" t="s">
        <v>2028</v>
      </c>
    </row>
    <row r="2468" spans="1:7">
      <c r="A2468" s="247" t="s">
        <v>541</v>
      </c>
      <c r="B2468" s="157" t="s">
        <v>2035</v>
      </c>
      <c r="C2468" s="56">
        <v>46034</v>
      </c>
      <c r="D2468" s="88"/>
      <c r="E2468" s="88">
        <v>640</v>
      </c>
      <c r="F2468" s="1452"/>
      <c r="G2468" t="s">
        <v>2028</v>
      </c>
    </row>
    <row r="2469" spans="1:7">
      <c r="A2469" s="247" t="s">
        <v>376</v>
      </c>
      <c r="B2469" s="157" t="s">
        <v>2035</v>
      </c>
      <c r="C2469" s="56">
        <v>46034</v>
      </c>
      <c r="D2469" s="88"/>
      <c r="E2469" s="88">
        <v>428</v>
      </c>
      <c r="F2469" s="1452" t="s">
        <v>1224</v>
      </c>
      <c r="G2469" t="s">
        <v>2028</v>
      </c>
    </row>
    <row r="2470" spans="1:7">
      <c r="A2470" s="247" t="s">
        <v>75</v>
      </c>
      <c r="B2470" s="157" t="s">
        <v>1095</v>
      </c>
      <c r="C2470" s="56">
        <v>46034</v>
      </c>
      <c r="D2470" s="88">
        <v>205</v>
      </c>
      <c r="E2470" s="88"/>
      <c r="F2470" s="1450" t="s">
        <v>1854</v>
      </c>
      <c r="G2470" t="s">
        <v>2028</v>
      </c>
    </row>
    <row r="2471" spans="1:7">
      <c r="A2471" s="247" t="s">
        <v>311</v>
      </c>
      <c r="B2471" s="157" t="s">
        <v>139</v>
      </c>
      <c r="C2471" s="56">
        <v>46034</v>
      </c>
      <c r="D2471" s="88">
        <v>858</v>
      </c>
      <c r="E2471" s="88"/>
      <c r="F2471" s="1452"/>
      <c r="G2471" t="s">
        <v>2028</v>
      </c>
    </row>
    <row r="2472" spans="1:7">
      <c r="A2472" s="247" t="s">
        <v>433</v>
      </c>
      <c r="B2472" s="157" t="s">
        <v>139</v>
      </c>
      <c r="C2472" s="56">
        <v>46034</v>
      </c>
      <c r="D2472" s="1438">
        <v>4915</v>
      </c>
      <c r="E2472" s="88"/>
      <c r="F2472" s="1452"/>
      <c r="G2472" t="s">
        <v>2028</v>
      </c>
    </row>
    <row r="2473" spans="1:7">
      <c r="A2473" s="247" t="s">
        <v>314</v>
      </c>
      <c r="B2473" s="157" t="s">
        <v>139</v>
      </c>
      <c r="C2473" s="56">
        <v>46034</v>
      </c>
      <c r="D2473" s="88">
        <v>813</v>
      </c>
      <c r="E2473" s="88"/>
      <c r="F2473" s="1452"/>
      <c r="G2473" t="s">
        <v>2028</v>
      </c>
    </row>
    <row r="2474" spans="1:7">
      <c r="A2474" s="247" t="s">
        <v>407</v>
      </c>
      <c r="B2474" s="157" t="s">
        <v>139</v>
      </c>
      <c r="C2474" s="56">
        <v>46034</v>
      </c>
      <c r="D2474" s="1438">
        <v>1356</v>
      </c>
      <c r="E2474" s="88"/>
      <c r="F2474" s="1452" t="s">
        <v>2038</v>
      </c>
      <c r="G2474" t="s">
        <v>2028</v>
      </c>
    </row>
    <row r="2475" spans="1:7">
      <c r="A2475" s="247" t="s">
        <v>271</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418</v>
      </c>
      <c r="B2477" s="157" t="s">
        <v>139</v>
      </c>
      <c r="C2477" s="56">
        <v>46034</v>
      </c>
      <c r="D2477" s="1438">
        <v>1314</v>
      </c>
      <c r="E2477" s="88"/>
      <c r="F2477" s="1452" t="s">
        <v>1603</v>
      </c>
      <c r="G2477" t="s">
        <v>2028</v>
      </c>
    </row>
    <row r="2478" spans="1:7">
      <c r="A2478" s="247" t="s">
        <v>392</v>
      </c>
      <c r="B2478" s="157" t="s">
        <v>209</v>
      </c>
      <c r="C2478" s="56">
        <v>46034</v>
      </c>
      <c r="D2478" s="88">
        <v>926</v>
      </c>
      <c r="E2478" s="88"/>
      <c r="F2478" s="1452" t="s">
        <v>2039</v>
      </c>
      <c r="G2478" t="s">
        <v>2028</v>
      </c>
    </row>
    <row r="2479" spans="1:7">
      <c r="A2479" s="247" t="s">
        <v>429</v>
      </c>
      <c r="B2479" s="157" t="s">
        <v>1095</v>
      </c>
      <c r="C2479" s="56">
        <v>46035</v>
      </c>
      <c r="D2479" s="88"/>
      <c r="E2479" s="1438">
        <v>2112</v>
      </c>
      <c r="F2479" s="1452"/>
      <c r="G2479" t="s">
        <v>2028</v>
      </c>
    </row>
    <row r="2480" spans="1:7">
      <c r="A2480" s="247" t="s">
        <v>416</v>
      </c>
      <c r="B2480" s="157" t="s">
        <v>139</v>
      </c>
      <c r="C2480" s="56">
        <v>46035</v>
      </c>
      <c r="D2480" s="88"/>
      <c r="E2480" s="1438">
        <v>1208</v>
      </c>
      <c r="F2480" s="1450"/>
      <c r="G2480" t="s">
        <v>2028</v>
      </c>
    </row>
    <row r="2481" spans="1:7">
      <c r="A2481" s="247" t="s">
        <v>433</v>
      </c>
      <c r="B2481" s="157" t="s">
        <v>139</v>
      </c>
      <c r="C2481" s="56">
        <v>46035</v>
      </c>
      <c r="D2481" s="88">
        <v>914</v>
      </c>
      <c r="E2481" s="88"/>
      <c r="F2481" s="1452" t="s">
        <v>2040</v>
      </c>
      <c r="G2481" t="s">
        <v>2028</v>
      </c>
    </row>
    <row r="2482" spans="1:7">
      <c r="A2482" s="247" t="s">
        <v>435</v>
      </c>
      <c r="B2482" s="157" t="s">
        <v>139</v>
      </c>
      <c r="C2482" s="56">
        <v>46035</v>
      </c>
      <c r="D2482" s="1438">
        <v>6092</v>
      </c>
      <c r="E2482" s="88"/>
      <c r="F2482" s="1452"/>
      <c r="G2482" t="s">
        <v>2028</v>
      </c>
    </row>
    <row r="2483" spans="1:7">
      <c r="A2483" s="247" t="s">
        <v>314</v>
      </c>
      <c r="B2483" s="157" t="s">
        <v>139</v>
      </c>
      <c r="C2483" s="56">
        <v>46035</v>
      </c>
      <c r="D2483" s="1438">
        <v>1491</v>
      </c>
      <c r="E2483" s="88"/>
      <c r="F2483" s="1452"/>
      <c r="G2483" t="s">
        <v>2028</v>
      </c>
    </row>
    <row r="2484" spans="1:7">
      <c r="A2484" s="247" t="s">
        <v>317</v>
      </c>
      <c r="B2484" s="157" t="s">
        <v>139</v>
      </c>
      <c r="C2484" s="56">
        <v>46035</v>
      </c>
      <c r="D2484" s="88">
        <v>822</v>
      </c>
      <c r="E2484" s="88"/>
      <c r="F2484" s="1452"/>
      <c r="G2484" t="s">
        <v>2028</v>
      </c>
    </row>
    <row r="2485" spans="1:7">
      <c r="A2485" s="247" t="s">
        <v>407</v>
      </c>
      <c r="B2485" s="157" t="s">
        <v>139</v>
      </c>
      <c r="C2485" s="56">
        <v>46035</v>
      </c>
      <c r="D2485" s="1438">
        <v>1435</v>
      </c>
      <c r="E2485" s="88"/>
      <c r="F2485" s="1452" t="s">
        <v>2041</v>
      </c>
      <c r="G2485" t="s">
        <v>2028</v>
      </c>
    </row>
    <row r="2486" spans="1:7">
      <c r="A2486" s="247" t="s">
        <v>518</v>
      </c>
      <c r="B2486" s="157" t="s">
        <v>1095</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352</v>
      </c>
      <c r="B2488" s="157" t="s">
        <v>2042</v>
      </c>
      <c r="C2488" s="56">
        <v>46035</v>
      </c>
      <c r="D2488" s="88"/>
      <c r="E2488" s="1438">
        <v>5312</v>
      </c>
      <c r="F2488" s="1452" t="s">
        <v>2043</v>
      </c>
      <c r="G2488" t="s">
        <v>2028</v>
      </c>
    </row>
    <row r="2489" spans="1:7">
      <c r="A2489" s="247" t="s">
        <v>271</v>
      </c>
      <c r="B2489" s="157" t="s">
        <v>60</v>
      </c>
      <c r="C2489" s="56">
        <v>46035</v>
      </c>
      <c r="D2489" s="88">
        <v>662</v>
      </c>
      <c r="E2489" s="88"/>
      <c r="F2489" s="1452"/>
      <c r="G2489" t="s">
        <v>2028</v>
      </c>
    </row>
    <row r="2490" spans="1:7">
      <c r="A2490" s="247" t="s">
        <v>392</v>
      </c>
      <c r="B2490" s="157" t="s">
        <v>209</v>
      </c>
      <c r="C2490" s="56">
        <v>46035</v>
      </c>
      <c r="D2490" s="1438">
        <v>1128</v>
      </c>
      <c r="E2490" s="88"/>
      <c r="F2490" s="1452" t="s">
        <v>2044</v>
      </c>
      <c r="G2490" t="s">
        <v>2028</v>
      </c>
    </row>
    <row r="2491" spans="1:7">
      <c r="A2491" s="247" t="s">
        <v>1017</v>
      </c>
      <c r="B2491" s="157" t="s">
        <v>1095</v>
      </c>
      <c r="C2491" s="56">
        <v>46035</v>
      </c>
      <c r="D2491" s="1438"/>
      <c r="E2491" s="88">
        <v>576</v>
      </c>
      <c r="F2491" s="1452"/>
      <c r="G2491" t="s">
        <v>2028</v>
      </c>
    </row>
    <row r="2492" spans="1:7">
      <c r="A2492" s="247" t="s">
        <v>1017</v>
      </c>
      <c r="B2492" s="157" t="s">
        <v>139</v>
      </c>
      <c r="C2492" s="56">
        <v>46036</v>
      </c>
      <c r="D2492" s="88">
        <v>0</v>
      </c>
      <c r="E2492" s="43"/>
      <c r="F2492" s="1451" t="s">
        <v>1397</v>
      </c>
      <c r="G2492" t="s">
        <v>2028</v>
      </c>
    </row>
    <row r="2493" spans="1:7">
      <c r="A2493" s="247" t="s">
        <v>435</v>
      </c>
      <c r="B2493" s="157" t="s">
        <v>139</v>
      </c>
      <c r="C2493" s="56">
        <v>46036</v>
      </c>
      <c r="D2493" s="88">
        <v>0</v>
      </c>
      <c r="E2493" s="43"/>
      <c r="F2493" s="1452" t="s">
        <v>2045</v>
      </c>
      <c r="G2493" t="s">
        <v>2028</v>
      </c>
    </row>
    <row r="2494" spans="1:7">
      <c r="A2494" s="247" t="s">
        <v>314</v>
      </c>
      <c r="B2494" s="157" t="s">
        <v>139</v>
      </c>
      <c r="C2494" s="56">
        <v>46036</v>
      </c>
      <c r="D2494" s="1438">
        <v>1062</v>
      </c>
      <c r="E2494" s="43"/>
      <c r="F2494" s="1452"/>
      <c r="G2494" t="s">
        <v>2028</v>
      </c>
    </row>
    <row r="2495" spans="1:7">
      <c r="A2495" s="247" t="s">
        <v>317</v>
      </c>
      <c r="B2495" s="157" t="s">
        <v>139</v>
      </c>
      <c r="C2495" s="56">
        <v>46036</v>
      </c>
      <c r="D2495" s="1438">
        <v>2611</v>
      </c>
      <c r="E2495" s="43"/>
      <c r="F2495" s="1452"/>
      <c r="G2495" t="s">
        <v>2028</v>
      </c>
    </row>
    <row r="2496" spans="1:7">
      <c r="A2496" s="247" t="s">
        <v>271</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392</v>
      </c>
      <c r="B2498" s="157" t="s">
        <v>209</v>
      </c>
      <c r="C2498" s="56">
        <v>46036</v>
      </c>
      <c r="D2498" s="1438">
        <v>1082</v>
      </c>
      <c r="E2498" s="43"/>
      <c r="F2498" s="1452" t="s">
        <v>2047</v>
      </c>
      <c r="G2498" t="s">
        <v>2028</v>
      </c>
    </row>
    <row r="2499" spans="1:7">
      <c r="A2499" s="247" t="s">
        <v>407</v>
      </c>
      <c r="B2499" s="157" t="s">
        <v>139</v>
      </c>
      <c r="C2499" s="56">
        <v>46036</v>
      </c>
      <c r="D2499" s="1438">
        <v>1295</v>
      </c>
      <c r="E2499" s="43"/>
      <c r="F2499" s="1452" t="s">
        <v>2048</v>
      </c>
      <c r="G2499" t="s">
        <v>2028</v>
      </c>
    </row>
    <row r="2500" spans="1:7">
      <c r="A2500" s="247" t="s">
        <v>319</v>
      </c>
      <c r="B2500" s="157" t="s">
        <v>139</v>
      </c>
      <c r="C2500" s="56">
        <v>46036</v>
      </c>
      <c r="D2500" s="88">
        <v>544</v>
      </c>
      <c r="E2500" s="43"/>
      <c r="F2500" s="1452" t="s">
        <v>2049</v>
      </c>
      <c r="G2500" t="s">
        <v>2028</v>
      </c>
    </row>
    <row r="2501" spans="1:7">
      <c r="A2501" s="247" t="s">
        <v>302</v>
      </c>
      <c r="B2501" s="157" t="s">
        <v>1095</v>
      </c>
      <c r="C2501" s="56">
        <v>46036</v>
      </c>
      <c r="D2501" s="88"/>
      <c r="E2501" s="1438">
        <v>1562</v>
      </c>
      <c r="F2501" s="1452"/>
      <c r="G2501" t="s">
        <v>2028</v>
      </c>
    </row>
    <row r="2502" spans="1:7">
      <c r="A2502" s="247" t="s">
        <v>433</v>
      </c>
      <c r="B2502" s="157" t="s">
        <v>139</v>
      </c>
      <c r="C2502" s="56">
        <v>46036</v>
      </c>
      <c r="D2502" s="88">
        <v>0</v>
      </c>
      <c r="E2502" s="43"/>
      <c r="F2502" s="1452" t="s">
        <v>2050</v>
      </c>
      <c r="G2502" t="s">
        <v>2028</v>
      </c>
    </row>
    <row r="2503" spans="1:7">
      <c r="A2503" s="247" t="s">
        <v>437</v>
      </c>
      <c r="B2503" s="157" t="s">
        <v>139</v>
      </c>
      <c r="C2503" s="56">
        <v>46036</v>
      </c>
      <c r="D2503" s="1438">
        <v>1728</v>
      </c>
      <c r="E2503" s="43"/>
      <c r="F2503" s="1452" t="s">
        <v>1692</v>
      </c>
      <c r="G2503" t="s">
        <v>2028</v>
      </c>
    </row>
    <row r="2504" spans="1:7">
      <c r="A2504" s="247" t="s">
        <v>314</v>
      </c>
      <c r="B2504" s="157" t="s">
        <v>139</v>
      </c>
      <c r="C2504" s="56">
        <v>46037</v>
      </c>
      <c r="D2504" s="88">
        <v>527</v>
      </c>
      <c r="E2504" s="43"/>
      <c r="F2504" s="1452" t="s">
        <v>1763</v>
      </c>
      <c r="G2504" t="s">
        <v>2028</v>
      </c>
    </row>
    <row r="2505" spans="1:7">
      <c r="A2505" s="247" t="s">
        <v>321</v>
      </c>
      <c r="B2505" s="157" t="s">
        <v>139</v>
      </c>
      <c r="C2505" s="56">
        <v>46037</v>
      </c>
      <c r="D2505" s="1438">
        <v>1562</v>
      </c>
      <c r="E2505" s="43"/>
      <c r="F2505" s="1452"/>
      <c r="G2505" t="s">
        <v>2028</v>
      </c>
    </row>
    <row r="2506" spans="1:7">
      <c r="A2506" s="247" t="s">
        <v>319</v>
      </c>
      <c r="B2506" s="157" t="s">
        <v>139</v>
      </c>
      <c r="C2506" s="56">
        <v>46037</v>
      </c>
      <c r="D2506" s="1438">
        <v>2832</v>
      </c>
      <c r="E2506" s="43"/>
      <c r="F2506" s="1452"/>
      <c r="G2506" t="s">
        <v>2028</v>
      </c>
    </row>
    <row r="2507" spans="1:7">
      <c r="A2507" s="247" t="s">
        <v>435</v>
      </c>
      <c r="B2507" s="157" t="s">
        <v>139</v>
      </c>
      <c r="C2507" s="56">
        <v>46037</v>
      </c>
      <c r="D2507" s="88">
        <v>0</v>
      </c>
      <c r="E2507" s="43"/>
      <c r="F2507" s="1452" t="s">
        <v>2051</v>
      </c>
      <c r="G2507" t="s">
        <v>2028</v>
      </c>
    </row>
    <row r="2508" spans="1:7">
      <c r="A2508" s="247" t="s">
        <v>325</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271</v>
      </c>
      <c r="B2510" s="157" t="s">
        <v>60</v>
      </c>
      <c r="C2510" s="56">
        <v>46037</v>
      </c>
      <c r="D2510" s="88">
        <v>499</v>
      </c>
      <c r="E2510" s="43"/>
      <c r="F2510" s="1452" t="s">
        <v>2052</v>
      </c>
      <c r="G2510" t="s">
        <v>2028</v>
      </c>
    </row>
    <row r="2511" spans="1:7">
      <c r="A2511" s="247" t="s">
        <v>392</v>
      </c>
      <c r="B2511" s="157" t="s">
        <v>209</v>
      </c>
      <c r="C2511" s="56">
        <v>46037</v>
      </c>
      <c r="D2511" s="1438">
        <v>1325</v>
      </c>
      <c r="E2511" s="43"/>
      <c r="F2511" s="1452" t="s">
        <v>2053</v>
      </c>
      <c r="G2511" t="s">
        <v>2028</v>
      </c>
    </row>
    <row r="2512" spans="1:7">
      <c r="A2512" s="247" t="s">
        <v>1113</v>
      </c>
      <c r="B2512" s="157" t="s">
        <v>1095</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325</v>
      </c>
      <c r="B2514" s="1424" t="s">
        <v>139</v>
      </c>
      <c r="C2514" s="344">
        <v>46038</v>
      </c>
      <c r="D2514" s="332">
        <v>987</v>
      </c>
      <c r="E2514" s="253"/>
      <c r="F2514" s="1452"/>
      <c r="G2514" t="s">
        <v>2028</v>
      </c>
    </row>
    <row r="2515" spans="1:7">
      <c r="A2515" s="247" t="s">
        <v>319</v>
      </c>
      <c r="B2515" s="157" t="s">
        <v>139</v>
      </c>
      <c r="C2515" s="56">
        <v>46038</v>
      </c>
      <c r="D2515" s="88">
        <v>457</v>
      </c>
      <c r="F2515" s="1452"/>
      <c r="G2515" t="s">
        <v>2028</v>
      </c>
    </row>
    <row r="2516" spans="1:7">
      <c r="A2516" s="247" t="s">
        <v>437</v>
      </c>
      <c r="B2516" s="157" t="s">
        <v>139</v>
      </c>
      <c r="C2516" s="56">
        <v>46038</v>
      </c>
      <c r="D2516" s="1438">
        <v>3082</v>
      </c>
      <c r="F2516" s="1452"/>
      <c r="G2516" t="s">
        <v>2028</v>
      </c>
    </row>
    <row r="2517" spans="1:7">
      <c r="A2517" s="247" t="s">
        <v>271</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321</v>
      </c>
      <c r="B2519" s="157" t="s">
        <v>139</v>
      </c>
      <c r="C2519" s="56">
        <v>46038</v>
      </c>
      <c r="D2519" s="1438">
        <v>1798</v>
      </c>
      <c r="F2519" s="1452"/>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3"/>
      <c r="G2521" t="s">
        <v>2028</v>
      </c>
    </row>
    <row r="2522" spans="1:7">
      <c r="A2522" s="371" t="s">
        <v>392</v>
      </c>
      <c r="B2522" s="816" t="s">
        <v>209</v>
      </c>
      <c r="C2522" s="56">
        <v>46038</v>
      </c>
      <c r="D2522" s="88">
        <v>441</v>
      </c>
      <c r="E2522" s="201"/>
      <c r="F2522" s="1454" t="s">
        <v>2057</v>
      </c>
      <c r="G2522" t="s">
        <v>2028</v>
      </c>
    </row>
    <row r="2523" spans="1:7">
      <c r="A2523" s="247"/>
      <c r="B2523" s="157"/>
      <c r="C2523" s="310">
        <v>46041</v>
      </c>
      <c r="D2523" s="331"/>
      <c r="E2523" s="201"/>
      <c r="F2523" s="1454"/>
    </row>
    <row r="2524" spans="1:7">
      <c r="A2524" s="315" t="s">
        <v>75</v>
      </c>
      <c r="B2524" s="315" t="s">
        <v>1095</v>
      </c>
      <c r="C2524" s="56">
        <v>46042</v>
      </c>
      <c r="D2524" s="331">
        <v>183</v>
      </c>
      <c r="E2524" s="43"/>
      <c r="F2524" s="1452"/>
      <c r="G2524" t="s">
        <v>2028</v>
      </c>
    </row>
    <row r="2525" spans="1:7">
      <c r="A2525" s="247" t="s">
        <v>407</v>
      </c>
      <c r="B2525" s="157" t="s">
        <v>139</v>
      </c>
      <c r="C2525" s="56">
        <v>46042</v>
      </c>
      <c r="D2525" s="43">
        <v>0</v>
      </c>
      <c r="E2525" s="253"/>
      <c r="F2525" s="1486" t="s">
        <v>1397</v>
      </c>
      <c r="G2525" t="s">
        <v>2028</v>
      </c>
    </row>
    <row r="2526" spans="1:7">
      <c r="A2526" s="311" t="s">
        <v>175</v>
      </c>
      <c r="B2526" s="311" t="s">
        <v>139</v>
      </c>
      <c r="C2526" s="56">
        <v>46042</v>
      </c>
      <c r="D2526" s="155">
        <v>1344</v>
      </c>
      <c r="F2526" s="1450"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50" t="s">
        <v>2058</v>
      </c>
      <c r="G2528" t="s">
        <v>2028</v>
      </c>
    </row>
    <row r="2529" spans="1:7">
      <c r="A2529" s="315" t="s">
        <v>1166</v>
      </c>
      <c r="B2529" s="315" t="s">
        <v>1782</v>
      </c>
      <c r="C2529" s="56">
        <v>46042</v>
      </c>
      <c r="D2529" s="155">
        <v>1382</v>
      </c>
      <c r="F2529" s="1450" t="s">
        <v>1977</v>
      </c>
      <c r="G2529" t="s">
        <v>2028</v>
      </c>
    </row>
    <row r="2530" spans="1:7">
      <c r="A2530" s="315" t="s">
        <v>277</v>
      </c>
      <c r="B2530" s="315" t="s">
        <v>209</v>
      </c>
      <c r="C2530" s="56">
        <v>46042</v>
      </c>
      <c r="D2530" s="155">
        <v>2719</v>
      </c>
      <c r="F2530" s="1450" t="s">
        <v>2059</v>
      </c>
      <c r="G2530" t="s">
        <v>2028</v>
      </c>
    </row>
    <row r="2531" spans="1:7">
      <c r="A2531" s="311" t="s">
        <v>325</v>
      </c>
      <c r="B2531" s="311" t="s">
        <v>139</v>
      </c>
      <c r="C2531" s="56">
        <v>46042</v>
      </c>
      <c r="F2531" s="311" t="s">
        <v>1850</v>
      </c>
      <c r="G2531" t="s">
        <v>2028</v>
      </c>
    </row>
    <row r="2532" spans="1:7">
      <c r="A2532" s="315" t="s">
        <v>323</v>
      </c>
      <c r="B2532" s="315" t="s">
        <v>139</v>
      </c>
      <c r="C2532" s="56">
        <v>46042</v>
      </c>
      <c r="D2532" s="155">
        <v>1277</v>
      </c>
      <c r="F2532" s="1450"/>
      <c r="G2532" t="s">
        <v>2028</v>
      </c>
    </row>
    <row r="2533" spans="1:7">
      <c r="A2533" s="315" t="s">
        <v>319</v>
      </c>
      <c r="B2533" s="315" t="s">
        <v>139</v>
      </c>
      <c r="C2533" s="56">
        <v>46042</v>
      </c>
      <c r="D2533" s="43">
        <v>506</v>
      </c>
      <c r="F2533" s="1450"/>
      <c r="G2533" t="s">
        <v>2028</v>
      </c>
    </row>
    <row r="2534" spans="1:7">
      <c r="A2534" s="1500" t="s">
        <v>75</v>
      </c>
      <c r="B2534" s="311" t="s">
        <v>1095</v>
      </c>
      <c r="C2534" s="56">
        <v>46043</v>
      </c>
      <c r="F2534" s="1450"/>
      <c r="G2534" t="s">
        <v>2028</v>
      </c>
    </row>
    <row r="2535" spans="1:7">
      <c r="A2535" s="1500" t="s">
        <v>127</v>
      </c>
      <c r="B2535" s="1500" t="s">
        <v>123</v>
      </c>
      <c r="C2535" s="56">
        <v>46043</v>
      </c>
      <c r="F2535" s="1450"/>
      <c r="G2535" t="s">
        <v>2028</v>
      </c>
    </row>
    <row r="2536" spans="1:7">
      <c r="A2536" s="1501" t="s">
        <v>122</v>
      </c>
      <c r="B2536" s="1501" t="s">
        <v>181</v>
      </c>
      <c r="C2536" s="56">
        <v>46043</v>
      </c>
      <c r="F2536" s="1450"/>
      <c r="G2536" t="s">
        <v>2028</v>
      </c>
    </row>
    <row r="2537" spans="1:7">
      <c r="A2537" s="1501" t="s">
        <v>418</v>
      </c>
      <c r="B2537" s="1501" t="s">
        <v>1095</v>
      </c>
      <c r="C2537" s="56">
        <v>46043</v>
      </c>
      <c r="F2537" s="1450"/>
      <c r="G2537" t="s">
        <v>2028</v>
      </c>
    </row>
    <row r="2538" spans="1:7">
      <c r="A2538" s="1500" t="s">
        <v>1165</v>
      </c>
      <c r="B2538" s="1500" t="s">
        <v>60</v>
      </c>
      <c r="C2538" s="56">
        <v>46043</v>
      </c>
      <c r="F2538" s="1450"/>
      <c r="G2538" t="s">
        <v>2028</v>
      </c>
    </row>
    <row r="2539" spans="1:7">
      <c r="A2539" s="1501" t="s">
        <v>1166</v>
      </c>
      <c r="B2539" s="1501" t="s">
        <v>1782</v>
      </c>
      <c r="C2539" s="56">
        <v>46043</v>
      </c>
      <c r="F2539" s="1450"/>
      <c r="G2539" t="s">
        <v>2028</v>
      </c>
    </row>
    <row r="2540" spans="1:7">
      <c r="A2540" s="1501" t="s">
        <v>277</v>
      </c>
      <c r="B2540" s="1501" t="s">
        <v>209</v>
      </c>
      <c r="C2540" s="56">
        <v>46043</v>
      </c>
      <c r="F2540" s="1450"/>
      <c r="G2540" t="s">
        <v>2028</v>
      </c>
    </row>
    <row r="2541" spans="1:7">
      <c r="A2541" s="1500" t="s">
        <v>325</v>
      </c>
      <c r="B2541" s="1500" t="s">
        <v>139</v>
      </c>
      <c r="C2541" s="56">
        <v>46043</v>
      </c>
      <c r="F2541" s="1450"/>
      <c r="G2541" t="s">
        <v>2028</v>
      </c>
    </row>
    <row r="2542" spans="1:7">
      <c r="A2542" s="1501" t="s">
        <v>321</v>
      </c>
      <c r="B2542" s="1501" t="s">
        <v>139</v>
      </c>
      <c r="C2542" s="56">
        <v>46043</v>
      </c>
      <c r="F2542" s="1450"/>
      <c r="G2542" t="s">
        <v>2028</v>
      </c>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A2571" s="247"/>
      <c r="B2571" s="157"/>
      <c r="F2571" s="1450"/>
    </row>
    <row r="2572" spans="1:6">
      <c r="F2572" s="1450"/>
    </row>
    <row r="2573" spans="1:6">
      <c r="F2573" s="1450"/>
    </row>
    <row r="2613" spans="3:3">
      <c r="C2613" s="56"/>
    </row>
    <row r="2614" spans="3:3">
      <c r="C261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348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653</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1112</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1241</v>
      </c>
      <c r="V1" s="160" t="s">
        <v>2129</v>
      </c>
      <c r="W1" s="160" t="s">
        <v>2130</v>
      </c>
      <c r="X1" s="163" t="s">
        <v>2131</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300</v>
      </c>
      <c r="O3" s="54">
        <v>45721</v>
      </c>
      <c r="P3" s="87" t="s">
        <v>300</v>
      </c>
      <c r="Q3" s="69" t="s">
        <v>300</v>
      </c>
      <c r="R3" s="69" t="s">
        <v>300</v>
      </c>
      <c r="S3" s="69" t="s">
        <v>56</v>
      </c>
      <c r="T3" s="69" t="s">
        <v>300</v>
      </c>
      <c r="U3" s="69" t="s">
        <v>300</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300</v>
      </c>
      <c r="O6" s="356">
        <v>45718</v>
      </c>
      <c r="P6" s="30" t="s">
        <v>300</v>
      </c>
      <c r="Q6" s="334" t="s">
        <v>300</v>
      </c>
      <c r="R6" s="43" t="s">
        <v>2134</v>
      </c>
      <c r="S6" s="43" t="s">
        <v>300</v>
      </c>
      <c r="T6" s="43" t="s">
        <v>300</v>
      </c>
      <c r="U6" s="157" t="s">
        <v>300</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300</v>
      </c>
      <c r="O7" s="79" t="s">
        <v>300</v>
      </c>
      <c r="P7" s="30" t="s">
        <v>300</v>
      </c>
      <c r="Q7" s="334" t="s">
        <v>300</v>
      </c>
      <c r="R7" s="43" t="s">
        <v>2134</v>
      </c>
      <c r="S7" s="43" t="s">
        <v>300</v>
      </c>
      <c r="T7" s="43" t="s">
        <v>300</v>
      </c>
      <c r="U7" s="43" t="s">
        <v>300</v>
      </c>
      <c r="V7" s="69" t="s">
        <v>83</v>
      </c>
      <c r="W7" s="30"/>
      <c r="X7" s="69" t="s">
        <v>83</v>
      </c>
      <c r="Y7" t="e">
        <f>VLOOKUP(A7,#REF!,2,FALSE)</f>
        <v>#REF!</v>
      </c>
    </row>
    <row r="8" spans="1:25">
      <c r="A8" s="175" t="s">
        <v>537</v>
      </c>
      <c r="B8" s="180" t="s">
        <v>186</v>
      </c>
      <c r="C8" s="176">
        <v>45742</v>
      </c>
      <c r="D8" s="185" t="s">
        <v>2135</v>
      </c>
      <c r="E8" s="120"/>
      <c r="F8" s="108"/>
      <c r="G8" s="108"/>
      <c r="H8" s="179">
        <v>84</v>
      </c>
      <c r="I8" s="181"/>
      <c r="J8" s="185" t="s">
        <v>57</v>
      </c>
      <c r="K8" s="185" t="s">
        <v>57</v>
      </c>
      <c r="L8" s="185" t="s">
        <v>63</v>
      </c>
      <c r="M8" s="193">
        <v>45716</v>
      </c>
      <c r="N8" s="30" t="s">
        <v>300</v>
      </c>
      <c r="O8" s="30" t="s">
        <v>300</v>
      </c>
      <c r="P8" s="708" t="s">
        <v>300</v>
      </c>
      <c r="Q8" s="69" t="s">
        <v>300</v>
      </c>
      <c r="R8" s="43" t="s">
        <v>2134</v>
      </c>
      <c r="S8" s="43" t="s">
        <v>300</v>
      </c>
      <c r="T8" s="43" t="s">
        <v>300</v>
      </c>
      <c r="U8" s="43" t="s">
        <v>300</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300</v>
      </c>
      <c r="O9" s="54">
        <v>45718</v>
      </c>
      <c r="P9" s="119" t="s">
        <v>300</v>
      </c>
      <c r="Q9" s="69" t="s">
        <v>300</v>
      </c>
      <c r="R9" s="43" t="s">
        <v>2134</v>
      </c>
      <c r="S9" s="43" t="s">
        <v>300</v>
      </c>
      <c r="T9" s="43" t="s">
        <v>300</v>
      </c>
      <c r="U9" s="43" t="s">
        <v>300</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300</v>
      </c>
      <c r="O10" s="30" t="s">
        <v>300</v>
      </c>
      <c r="P10" s="30" t="s">
        <v>300</v>
      </c>
      <c r="Q10" s="43" t="s">
        <v>300</v>
      </c>
      <c r="R10" s="43" t="s">
        <v>2134</v>
      </c>
      <c r="S10" s="43" t="s">
        <v>300</v>
      </c>
      <c r="T10" s="43" t="s">
        <v>300</v>
      </c>
      <c r="U10" s="161" t="s">
        <v>300</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300</v>
      </c>
      <c r="Q11" s="69" t="s">
        <v>300</v>
      </c>
      <c r="R11" s="43" t="s">
        <v>2134</v>
      </c>
      <c r="S11" s="43" t="s">
        <v>300</v>
      </c>
      <c r="T11" s="43" t="s">
        <v>300</v>
      </c>
      <c r="U11" s="334" t="s">
        <v>83</v>
      </c>
      <c r="V11" s="69" t="s">
        <v>83</v>
      </c>
      <c r="W11" s="30"/>
      <c r="X11" s="43"/>
    </row>
    <row r="12" spans="1:25">
      <c r="A12" s="175" t="s">
        <v>366</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300</v>
      </c>
      <c r="Q12" s="69" t="s">
        <v>300</v>
      </c>
      <c r="R12" s="43" t="s">
        <v>2134</v>
      </c>
      <c r="S12" s="43" t="s">
        <v>300</v>
      </c>
      <c r="T12" s="43" t="s">
        <v>300</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369</v>
      </c>
      <c r="B14" s="180" t="s">
        <v>186</v>
      </c>
      <c r="C14" s="177">
        <v>45991</v>
      </c>
      <c r="D14" s="410" t="s">
        <v>370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300</v>
      </c>
      <c r="O15" s="54">
        <v>45718</v>
      </c>
      <c r="P15" s="30" t="s">
        <v>300</v>
      </c>
      <c r="Q15" s="43" t="s">
        <v>300</v>
      </c>
      <c r="R15" s="43" t="s">
        <v>300</v>
      </c>
      <c r="S15" s="43" t="s">
        <v>56</v>
      </c>
      <c r="T15" s="43" t="s">
        <v>300</v>
      </c>
      <c r="U15" s="43" t="s">
        <v>300</v>
      </c>
      <c r="V15" s="43" t="s">
        <v>300</v>
      </c>
      <c r="W15" s="54">
        <v>45856</v>
      </c>
      <c r="X15" s="69" t="s">
        <v>2137</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2138</v>
      </c>
      <c r="N16" s="30" t="s">
        <v>300</v>
      </c>
      <c r="O16" s="54" t="s">
        <v>2138</v>
      </c>
      <c r="P16" s="30" t="s">
        <v>300</v>
      </c>
      <c r="Q16" s="69" t="s">
        <v>300</v>
      </c>
      <c r="R16" s="43" t="s">
        <v>300</v>
      </c>
      <c r="S16" s="43" t="s">
        <v>56</v>
      </c>
      <c r="T16" s="43" t="s">
        <v>300</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300</v>
      </c>
      <c r="O17" s="54">
        <v>45863</v>
      </c>
      <c r="P17" s="30" t="s">
        <v>300</v>
      </c>
      <c r="Q17" s="69" t="s">
        <v>300</v>
      </c>
      <c r="R17" s="43" t="s">
        <v>300</v>
      </c>
      <c r="S17" s="43" t="s">
        <v>56</v>
      </c>
      <c r="T17" s="43" t="s">
        <v>300</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300</v>
      </c>
      <c r="O18" s="195">
        <v>45881</v>
      </c>
      <c r="P18" s="30" t="s">
        <v>300</v>
      </c>
      <c r="Q18" s="69" t="s">
        <v>300</v>
      </c>
      <c r="R18" s="43" t="s">
        <v>300</v>
      </c>
      <c r="S18" s="43" t="s">
        <v>56</v>
      </c>
      <c r="T18" s="43" t="s">
        <v>300</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300</v>
      </c>
      <c r="O19" s="54">
        <v>45873</v>
      </c>
      <c r="P19" s="87" t="s">
        <v>300</v>
      </c>
      <c r="Q19" s="69" t="s">
        <v>300</v>
      </c>
      <c r="R19" s="69" t="s">
        <v>300</v>
      </c>
      <c r="S19" s="69" t="s">
        <v>56</v>
      </c>
      <c r="T19" s="69" t="s">
        <v>300</v>
      </c>
      <c r="U19" s="69" t="s">
        <v>300</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300</v>
      </c>
      <c r="O20" s="124">
        <v>45709</v>
      </c>
      <c r="P20" s="87" t="s">
        <v>300</v>
      </c>
      <c r="Q20" s="69" t="s">
        <v>300</v>
      </c>
      <c r="R20" s="69" t="s">
        <v>300</v>
      </c>
      <c r="S20" s="69" t="s">
        <v>56</v>
      </c>
      <c r="T20" s="69" t="s">
        <v>300</v>
      </c>
      <c r="U20" s="69" t="s">
        <v>300</v>
      </c>
      <c r="V20" s="69" t="s">
        <v>300</v>
      </c>
      <c r="W20" s="54">
        <v>45811</v>
      </c>
      <c r="X20" s="69" t="s">
        <v>2137</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300</v>
      </c>
      <c r="O21" s="54">
        <v>45737</v>
      </c>
      <c r="P21" s="87" t="s">
        <v>300</v>
      </c>
      <c r="Q21" s="69" t="s">
        <v>300</v>
      </c>
      <c r="R21" s="69" t="s">
        <v>300</v>
      </c>
      <c r="S21" s="69" t="s">
        <v>56</v>
      </c>
      <c r="T21" s="69" t="s">
        <v>300</v>
      </c>
      <c r="U21" s="69" t="s">
        <v>300</v>
      </c>
      <c r="V21" s="69" t="s">
        <v>300</v>
      </c>
      <c r="W21" s="54">
        <v>45779</v>
      </c>
      <c r="X21" s="69" t="s">
        <v>2137</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300</v>
      </c>
      <c r="O22" s="54">
        <v>45814</v>
      </c>
      <c r="P22" s="87" t="s">
        <v>300</v>
      </c>
      <c r="Q22" s="69" t="s">
        <v>300</v>
      </c>
      <c r="R22" s="69" t="s">
        <v>300</v>
      </c>
      <c r="S22" s="69" t="s">
        <v>56</v>
      </c>
      <c r="T22" s="69" t="s">
        <v>300</v>
      </c>
      <c r="U22" s="69" t="s">
        <v>300</v>
      </c>
      <c r="V22" s="69" t="s">
        <v>300</v>
      </c>
      <c r="W22" s="54">
        <v>45848</v>
      </c>
      <c r="X22" s="69" t="s">
        <v>2137</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300</v>
      </c>
      <c r="O23" s="54">
        <v>45789</v>
      </c>
      <c r="P23" s="87" t="s">
        <v>300</v>
      </c>
      <c r="Q23" s="69" t="s">
        <v>300</v>
      </c>
      <c r="R23" s="69" t="s">
        <v>300</v>
      </c>
      <c r="S23" s="69" t="s">
        <v>56</v>
      </c>
      <c r="T23" s="69" t="s">
        <v>300</v>
      </c>
      <c r="U23" s="69" t="s">
        <v>300</v>
      </c>
      <c r="V23" s="69" t="s">
        <v>300</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300</v>
      </c>
      <c r="O24" s="54">
        <v>45782</v>
      </c>
      <c r="P24" s="87" t="s">
        <v>300</v>
      </c>
      <c r="Q24" s="69" t="s">
        <v>300</v>
      </c>
      <c r="R24" s="69" t="s">
        <v>300</v>
      </c>
      <c r="S24" s="69" t="s">
        <v>56</v>
      </c>
      <c r="T24" s="69" t="s">
        <v>300</v>
      </c>
      <c r="U24" s="69" t="s">
        <v>300</v>
      </c>
      <c r="V24" s="69" t="s">
        <v>300</v>
      </c>
      <c r="W24" s="54">
        <v>45826</v>
      </c>
      <c r="X24" s="69" t="s">
        <v>2137</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300</v>
      </c>
      <c r="O25" s="124">
        <v>45716</v>
      </c>
      <c r="P25" s="87" t="s">
        <v>300</v>
      </c>
      <c r="Q25" s="69" t="s">
        <v>300</v>
      </c>
      <c r="R25" s="69" t="s">
        <v>300</v>
      </c>
      <c r="S25" s="69" t="s">
        <v>56</v>
      </c>
      <c r="T25" s="69" t="s">
        <v>300</v>
      </c>
      <c r="U25" s="69" t="s">
        <v>300</v>
      </c>
      <c r="V25" s="69" t="s">
        <v>300</v>
      </c>
      <c r="W25" s="54">
        <v>45793</v>
      </c>
      <c r="X25" s="69" t="s">
        <v>2137</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300</v>
      </c>
      <c r="O26" s="54">
        <v>45840</v>
      </c>
      <c r="P26" s="87" t="s">
        <v>300</v>
      </c>
      <c r="Q26" s="69" t="s">
        <v>300</v>
      </c>
      <c r="R26" s="69" t="s">
        <v>300</v>
      </c>
      <c r="S26" s="69" t="s">
        <v>56</v>
      </c>
      <c r="T26" s="69" t="s">
        <v>300</v>
      </c>
      <c r="U26" s="69" t="s">
        <v>300</v>
      </c>
      <c r="V26" s="69" t="s">
        <v>300</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300</v>
      </c>
      <c r="O27" s="54">
        <v>45853</v>
      </c>
      <c r="P27" s="87" t="s">
        <v>300</v>
      </c>
      <c r="Q27" s="69" t="s">
        <v>300</v>
      </c>
      <c r="R27" s="69" t="s">
        <v>300</v>
      </c>
      <c r="S27" s="69" t="s">
        <v>56</v>
      </c>
      <c r="T27" s="69" t="s">
        <v>300</v>
      </c>
      <c r="U27" s="69" t="s">
        <v>300</v>
      </c>
      <c r="V27" s="69" t="s">
        <v>300</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300</v>
      </c>
      <c r="O28" s="54">
        <v>45793</v>
      </c>
      <c r="P28" s="87" t="s">
        <v>300</v>
      </c>
      <c r="Q28" s="69" t="s">
        <v>300</v>
      </c>
      <c r="R28" s="69" t="s">
        <v>300</v>
      </c>
      <c r="S28" s="69" t="s">
        <v>56</v>
      </c>
      <c r="T28" s="69" t="s">
        <v>300</v>
      </c>
      <c r="U28" s="69" t="s">
        <v>300</v>
      </c>
      <c r="V28" s="69" t="s">
        <v>300</v>
      </c>
      <c r="W28" s="30"/>
      <c r="X28" s="69"/>
    </row>
    <row r="29" spans="1:25">
      <c r="A29" s="178" t="s">
        <v>683</v>
      </c>
      <c r="B29" s="175" t="s">
        <v>101</v>
      </c>
      <c r="C29" s="176">
        <v>45711</v>
      </c>
      <c r="D29" s="199" t="s">
        <v>368</v>
      </c>
      <c r="E29" s="698"/>
      <c r="F29" s="702"/>
      <c r="G29" s="702"/>
      <c r="H29" s="179">
        <v>54</v>
      </c>
      <c r="I29" s="181"/>
      <c r="J29" s="189" t="s">
        <v>57</v>
      </c>
      <c r="K29" s="189" t="s">
        <v>57</v>
      </c>
      <c r="L29" s="179" t="s">
        <v>63</v>
      </c>
      <c r="M29" s="195">
        <v>45659</v>
      </c>
      <c r="N29" s="30" t="s">
        <v>300</v>
      </c>
      <c r="O29" s="124">
        <v>45692</v>
      </c>
      <c r="P29" s="30" t="s">
        <v>300</v>
      </c>
      <c r="Q29" s="43" t="s">
        <v>300</v>
      </c>
      <c r="R29" s="43" t="s">
        <v>300</v>
      </c>
      <c r="S29" s="43" t="s">
        <v>300</v>
      </c>
      <c r="T29" s="43" t="s">
        <v>300</v>
      </c>
      <c r="U29" s="43" t="s">
        <v>300</v>
      </c>
      <c r="V29" s="69" t="s">
        <v>300</v>
      </c>
      <c r="W29" s="54">
        <v>45789</v>
      </c>
      <c r="X29" s="69" t="s">
        <v>2137</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300</v>
      </c>
      <c r="O30" s="124">
        <v>45692</v>
      </c>
      <c r="P30" s="30" t="s">
        <v>300</v>
      </c>
      <c r="Q30" s="43" t="s">
        <v>300</v>
      </c>
      <c r="R30" s="43" t="s">
        <v>300</v>
      </c>
      <c r="S30" s="43" t="s">
        <v>300</v>
      </c>
      <c r="T30" s="43" t="s">
        <v>300</v>
      </c>
      <c r="U30" s="115" t="s">
        <v>300</v>
      </c>
      <c r="V30" s="69" t="s">
        <v>300</v>
      </c>
      <c r="W30" s="54">
        <v>45789</v>
      </c>
      <c r="X30" s="69" t="s">
        <v>2137</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300</v>
      </c>
      <c r="O31" s="54">
        <v>45707</v>
      </c>
      <c r="P31" s="87" t="s">
        <v>300</v>
      </c>
      <c r="Q31" s="43" t="s">
        <v>300</v>
      </c>
      <c r="R31" s="43" t="s">
        <v>2134</v>
      </c>
      <c r="S31" s="43" t="s">
        <v>300</v>
      </c>
      <c r="T31" s="139" t="s">
        <v>300</v>
      </c>
      <c r="U31" s="115" t="s">
        <v>300</v>
      </c>
      <c r="V31" s="69" t="s">
        <v>300</v>
      </c>
      <c r="W31" s="54">
        <v>45779</v>
      </c>
      <c r="X31" s="69" t="s">
        <v>2137</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300</v>
      </c>
      <c r="O32" s="54">
        <v>45756</v>
      </c>
      <c r="P32" s="30" t="s">
        <v>300</v>
      </c>
      <c r="Q32" s="69" t="s">
        <v>300</v>
      </c>
      <c r="R32" s="69" t="s">
        <v>2134</v>
      </c>
      <c r="S32" s="43" t="s">
        <v>300</v>
      </c>
      <c r="T32" s="139" t="s">
        <v>300</v>
      </c>
      <c r="U32" s="43" t="s">
        <v>300</v>
      </c>
      <c r="V32" s="69" t="s">
        <v>300</v>
      </c>
      <c r="W32" s="54">
        <v>45792</v>
      </c>
      <c r="X32" s="69" t="s">
        <v>2137</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300</v>
      </c>
      <c r="O33" s="124">
        <v>45749</v>
      </c>
      <c r="P33" s="30" t="s">
        <v>300</v>
      </c>
      <c r="Q33" s="69" t="s">
        <v>300</v>
      </c>
      <c r="R33" s="69" t="s">
        <v>2134</v>
      </c>
      <c r="S33" s="43" t="s">
        <v>300</v>
      </c>
      <c r="T33" s="139" t="s">
        <v>300</v>
      </c>
      <c r="U33" s="43" t="s">
        <v>300</v>
      </c>
      <c r="V33" s="334" t="s">
        <v>300</v>
      </c>
      <c r="W33" s="54">
        <v>45812</v>
      </c>
      <c r="X33" s="69" t="s">
        <v>2137</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300</v>
      </c>
      <c r="O34" s="124">
        <v>45750</v>
      </c>
      <c r="P34" s="30" t="s">
        <v>300</v>
      </c>
      <c r="Q34" s="69" t="s">
        <v>300</v>
      </c>
      <c r="R34" s="69" t="s">
        <v>2134</v>
      </c>
      <c r="S34" s="43" t="s">
        <v>300</v>
      </c>
      <c r="T34" s="139" t="s">
        <v>300</v>
      </c>
      <c r="U34" s="43" t="s">
        <v>300</v>
      </c>
      <c r="V34" s="404" t="s">
        <v>300</v>
      </c>
      <c r="W34" s="166">
        <v>45797</v>
      </c>
      <c r="X34" s="69" t="s">
        <v>2137</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300</v>
      </c>
      <c r="O35" s="124">
        <v>45659</v>
      </c>
      <c r="P35" s="87" t="s">
        <v>300</v>
      </c>
      <c r="Q35" s="43" t="s">
        <v>300</v>
      </c>
      <c r="R35" s="43" t="s">
        <v>2134</v>
      </c>
      <c r="S35" s="43" t="s">
        <v>300</v>
      </c>
      <c r="T35" s="139" t="s">
        <v>300</v>
      </c>
      <c r="U35" s="169" t="s">
        <v>300</v>
      </c>
      <c r="V35" s="69" t="s">
        <v>300</v>
      </c>
      <c r="W35" s="54">
        <v>45789</v>
      </c>
      <c r="X35" s="334" t="s">
        <v>2137</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300</v>
      </c>
      <c r="O36" s="124">
        <v>45659</v>
      </c>
      <c r="P36" s="87" t="s">
        <v>300</v>
      </c>
      <c r="Q36" s="43" t="s">
        <v>300</v>
      </c>
      <c r="R36" s="43" t="s">
        <v>2134</v>
      </c>
      <c r="S36" s="43" t="s">
        <v>300</v>
      </c>
      <c r="T36" s="139" t="s">
        <v>300</v>
      </c>
      <c r="U36" s="43" t="s">
        <v>300</v>
      </c>
      <c r="V36" s="69" t="s">
        <v>300</v>
      </c>
      <c r="W36" s="54">
        <v>45824</v>
      </c>
      <c r="X36" s="334" t="s">
        <v>2137</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300</v>
      </c>
      <c r="N37" s="30" t="s">
        <v>300</v>
      </c>
      <c r="O37" s="124">
        <v>45672</v>
      </c>
      <c r="P37" s="30" t="s">
        <v>300</v>
      </c>
      <c r="Q37" s="43" t="s">
        <v>300</v>
      </c>
      <c r="R37" s="43" t="s">
        <v>2134</v>
      </c>
      <c r="S37" s="43" t="s">
        <v>300</v>
      </c>
      <c r="T37" s="43" t="s">
        <v>300</v>
      </c>
      <c r="U37" s="169" t="s">
        <v>300</v>
      </c>
      <c r="V37" s="69" t="s">
        <v>300</v>
      </c>
      <c r="W37" s="156">
        <v>45789</v>
      </c>
      <c r="X37" s="69" t="s">
        <v>2137</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300</v>
      </c>
      <c r="O38" s="124">
        <v>45673</v>
      </c>
      <c r="P38" s="30" t="s">
        <v>300</v>
      </c>
      <c r="Q38" s="43" t="s">
        <v>300</v>
      </c>
      <c r="R38" s="43" t="s">
        <v>2134</v>
      </c>
      <c r="S38" s="43" t="s">
        <v>300</v>
      </c>
      <c r="T38" s="43" t="s">
        <v>300</v>
      </c>
      <c r="U38" s="169" t="s">
        <v>300</v>
      </c>
      <c r="V38" s="69" t="s">
        <v>300</v>
      </c>
      <c r="W38" s="54">
        <v>45789</v>
      </c>
      <c r="X38" s="69" t="s">
        <v>2137</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300</v>
      </c>
      <c r="N39" s="30" t="s">
        <v>300</v>
      </c>
      <c r="O39" s="124">
        <v>45672</v>
      </c>
      <c r="P39" s="30" t="s">
        <v>300</v>
      </c>
      <c r="Q39" s="43" t="s">
        <v>300</v>
      </c>
      <c r="R39" s="43" t="s">
        <v>2134</v>
      </c>
      <c r="S39" s="43" t="s">
        <v>300</v>
      </c>
      <c r="T39" s="43" t="s">
        <v>300</v>
      </c>
      <c r="U39" s="169" t="s">
        <v>300</v>
      </c>
      <c r="V39" s="69" t="s">
        <v>300</v>
      </c>
      <c r="W39" s="54">
        <v>45789</v>
      </c>
      <c r="X39" s="69" t="s">
        <v>2137</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300</v>
      </c>
      <c r="O40" s="124">
        <v>45715</v>
      </c>
      <c r="P40" s="30" t="s">
        <v>300</v>
      </c>
      <c r="Q40" s="43" t="s">
        <v>300</v>
      </c>
      <c r="R40" s="43" t="s">
        <v>300</v>
      </c>
      <c r="S40" s="43" t="s">
        <v>300</v>
      </c>
      <c r="T40" s="43" t="s">
        <v>300</v>
      </c>
      <c r="U40" s="43" t="s">
        <v>300</v>
      </c>
      <c r="V40" s="69" t="s">
        <v>300</v>
      </c>
      <c r="W40" s="54">
        <v>45789</v>
      </c>
      <c r="X40" s="69" t="s">
        <v>2137</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300</v>
      </c>
      <c r="O41" s="54">
        <v>45729</v>
      </c>
      <c r="P41" s="87" t="s">
        <v>300</v>
      </c>
      <c r="Q41" s="43" t="s">
        <v>300</v>
      </c>
      <c r="R41" s="43" t="s">
        <v>300</v>
      </c>
      <c r="S41" s="43" t="s">
        <v>300</v>
      </c>
      <c r="T41" s="43" t="s">
        <v>300</v>
      </c>
      <c r="U41" s="169" t="s">
        <v>300</v>
      </c>
      <c r="V41" s="69" t="s">
        <v>300</v>
      </c>
      <c r="W41" s="54">
        <v>45789</v>
      </c>
      <c r="X41" s="69" t="s">
        <v>2137</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300</v>
      </c>
      <c r="O42" s="54">
        <v>45737</v>
      </c>
      <c r="P42" s="87" t="s">
        <v>300</v>
      </c>
      <c r="Q42" s="43" t="s">
        <v>300</v>
      </c>
      <c r="R42" s="43" t="s">
        <v>300</v>
      </c>
      <c r="S42" s="43" t="s">
        <v>300</v>
      </c>
      <c r="T42" s="43" t="s">
        <v>300</v>
      </c>
      <c r="U42" s="43" t="s">
        <v>300</v>
      </c>
      <c r="V42" s="69" t="s">
        <v>300</v>
      </c>
      <c r="W42" s="54">
        <v>45789</v>
      </c>
      <c r="X42" s="69" t="s">
        <v>2137</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300</v>
      </c>
      <c r="N43" s="30" t="s">
        <v>300</v>
      </c>
      <c r="O43" s="124">
        <v>45726</v>
      </c>
      <c r="P43" s="30" t="s">
        <v>300</v>
      </c>
      <c r="Q43" s="43" t="s">
        <v>300</v>
      </c>
      <c r="R43" s="43" t="s">
        <v>300</v>
      </c>
      <c r="S43" s="43" t="s">
        <v>300</v>
      </c>
      <c r="T43" s="43" t="s">
        <v>300</v>
      </c>
      <c r="U43" s="43" t="s">
        <v>300</v>
      </c>
      <c r="V43" s="69" t="s">
        <v>300</v>
      </c>
      <c r="W43" s="54">
        <v>45786</v>
      </c>
      <c r="X43" s="69" t="s">
        <v>2137</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300</v>
      </c>
      <c r="O44" s="54">
        <v>45741</v>
      </c>
      <c r="P44" s="30" t="s">
        <v>300</v>
      </c>
      <c r="Q44" s="43" t="s">
        <v>300</v>
      </c>
      <c r="R44" s="43" t="s">
        <v>300</v>
      </c>
      <c r="S44" s="43" t="s">
        <v>300</v>
      </c>
      <c r="T44" s="43" t="s">
        <v>300</v>
      </c>
      <c r="U44" s="43" t="s">
        <v>300</v>
      </c>
      <c r="V44" s="69" t="s">
        <v>300</v>
      </c>
      <c r="W44" s="54">
        <v>45789</v>
      </c>
      <c r="X44" s="69" t="s">
        <v>2137</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300</v>
      </c>
      <c r="N45" s="30" t="s">
        <v>300</v>
      </c>
      <c r="O45" s="124">
        <v>45695</v>
      </c>
      <c r="P45" s="30" t="s">
        <v>300</v>
      </c>
      <c r="Q45" s="43" t="s">
        <v>300</v>
      </c>
      <c r="R45" s="43" t="s">
        <v>300</v>
      </c>
      <c r="S45" s="43" t="s">
        <v>300</v>
      </c>
      <c r="T45" s="43" t="s">
        <v>300</v>
      </c>
      <c r="U45" s="43" t="s">
        <v>300</v>
      </c>
      <c r="V45" s="69" t="s">
        <v>300</v>
      </c>
      <c r="W45" s="54">
        <v>45789</v>
      </c>
      <c r="X45" s="69" t="s">
        <v>2137</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300</v>
      </c>
      <c r="O46" s="124">
        <v>45810</v>
      </c>
      <c r="P46" s="30" t="s">
        <v>300</v>
      </c>
      <c r="Q46" s="43" t="s">
        <v>300</v>
      </c>
      <c r="R46" s="43" t="s">
        <v>300</v>
      </c>
      <c r="S46" s="43" t="s">
        <v>300</v>
      </c>
      <c r="T46" s="43" t="s">
        <v>300</v>
      </c>
      <c r="U46" s="43" t="s">
        <v>300</v>
      </c>
      <c r="V46" s="69" t="s">
        <v>300</v>
      </c>
      <c r="W46" s="54">
        <v>45847</v>
      </c>
      <c r="X46" s="69" t="s">
        <v>2137</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300</v>
      </c>
      <c r="O47" s="54">
        <v>45880</v>
      </c>
      <c r="P47" s="87" t="s">
        <v>300</v>
      </c>
      <c r="Q47" s="43" t="s">
        <v>300</v>
      </c>
      <c r="R47" s="43" t="s">
        <v>300</v>
      </c>
      <c r="S47" s="43" t="s">
        <v>56</v>
      </c>
      <c r="T47" s="43" t="s">
        <v>300</v>
      </c>
      <c r="U47" s="43" t="s">
        <v>300</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300</v>
      </c>
      <c r="O48" s="54">
        <v>45882</v>
      </c>
      <c r="P48" s="87" t="s">
        <v>300</v>
      </c>
      <c r="Q48" s="157" t="s">
        <v>300</v>
      </c>
      <c r="R48" s="157" t="s">
        <v>300</v>
      </c>
      <c r="S48" s="43" t="s">
        <v>300</v>
      </c>
      <c r="T48" s="43" t="s">
        <v>300</v>
      </c>
      <c r="U48" s="69" t="s">
        <v>300</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300</v>
      </c>
      <c r="O49" s="54">
        <v>45840</v>
      </c>
      <c r="P49" s="87" t="s">
        <v>300</v>
      </c>
      <c r="Q49" s="43" t="s">
        <v>300</v>
      </c>
      <c r="R49" s="43" t="s">
        <v>300</v>
      </c>
      <c r="S49" s="43" t="s">
        <v>56</v>
      </c>
      <c r="T49" s="43" t="s">
        <v>300</v>
      </c>
      <c r="U49" s="43" t="s">
        <v>300</v>
      </c>
      <c r="V49" s="69" t="s">
        <v>300</v>
      </c>
      <c r="W49" s="54">
        <v>45877</v>
      </c>
      <c r="X49" s="69" t="s">
        <v>2137</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300</v>
      </c>
      <c r="O50" s="54">
        <v>45847</v>
      </c>
      <c r="P50" s="87" t="s">
        <v>300</v>
      </c>
      <c r="Q50" s="43" t="s">
        <v>300</v>
      </c>
      <c r="R50" s="43" t="s">
        <v>300</v>
      </c>
      <c r="S50" s="43" t="s">
        <v>56</v>
      </c>
      <c r="T50" s="43" t="s">
        <v>300</v>
      </c>
      <c r="U50" s="43" t="s">
        <v>300</v>
      </c>
      <c r="V50" s="69" t="s">
        <v>300</v>
      </c>
      <c r="W50" s="54">
        <v>45895</v>
      </c>
      <c r="X50" s="69" t="s">
        <v>2137</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300</v>
      </c>
      <c r="O51" s="54">
        <v>45840</v>
      </c>
      <c r="P51" s="87" t="s">
        <v>300</v>
      </c>
      <c r="Q51" s="43" t="s">
        <v>300</v>
      </c>
      <c r="R51" s="43" t="s">
        <v>300</v>
      </c>
      <c r="S51" s="43" t="s">
        <v>56</v>
      </c>
      <c r="T51" s="43" t="s">
        <v>300</v>
      </c>
      <c r="U51" s="43" t="s">
        <v>300</v>
      </c>
      <c r="V51" s="69" t="s">
        <v>300</v>
      </c>
      <c r="W51" s="54">
        <v>45877</v>
      </c>
      <c r="X51" s="69" t="s">
        <v>2137</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300</v>
      </c>
      <c r="O52" s="54">
        <v>45833</v>
      </c>
      <c r="P52" s="30" t="s">
        <v>300</v>
      </c>
      <c r="Q52" s="43" t="s">
        <v>300</v>
      </c>
      <c r="R52" s="43" t="s">
        <v>300</v>
      </c>
      <c r="S52" s="43" t="s">
        <v>300</v>
      </c>
      <c r="T52" s="43" t="s">
        <v>300</v>
      </c>
      <c r="U52" s="43" t="s">
        <v>300</v>
      </c>
      <c r="V52" s="69" t="s">
        <v>300</v>
      </c>
      <c r="W52" s="54">
        <v>45848</v>
      </c>
      <c r="X52" s="69" t="s">
        <v>2137</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300</v>
      </c>
      <c r="O53" s="54">
        <v>45840</v>
      </c>
      <c r="P53" s="87" t="s">
        <v>300</v>
      </c>
      <c r="Q53" s="43" t="s">
        <v>56</v>
      </c>
      <c r="R53" s="43" t="s">
        <v>300</v>
      </c>
      <c r="S53" s="43" t="s">
        <v>300</v>
      </c>
      <c r="T53" s="43" t="s">
        <v>300</v>
      </c>
      <c r="U53" s="43" t="s">
        <v>300</v>
      </c>
      <c r="V53" s="69" t="s">
        <v>300</v>
      </c>
      <c r="W53" s="54">
        <v>45916</v>
      </c>
      <c r="X53" s="69" t="s">
        <v>2137</v>
      </c>
    </row>
    <row r="54" spans="1:56">
      <c r="A54" s="178" t="s">
        <v>738</v>
      </c>
      <c r="B54" s="528" t="s">
        <v>101</v>
      </c>
      <c r="C54" s="177">
        <v>45899</v>
      </c>
      <c r="D54" s="694"/>
      <c r="E54" s="191"/>
      <c r="F54" s="138"/>
      <c r="G54" s="138"/>
      <c r="H54" s="185">
        <v>73</v>
      </c>
      <c r="I54" s="181"/>
      <c r="J54" s="185" t="s">
        <v>57</v>
      </c>
      <c r="K54" s="185" t="s">
        <v>57</v>
      </c>
      <c r="L54" s="185" t="s">
        <v>63</v>
      </c>
      <c r="M54" s="195">
        <v>45887</v>
      </c>
      <c r="N54" s="87" t="s">
        <v>300</v>
      </c>
      <c r="O54" s="54">
        <v>45887</v>
      </c>
      <c r="P54" s="87" t="s">
        <v>300</v>
      </c>
      <c r="Q54" s="43" t="s">
        <v>300</v>
      </c>
      <c r="R54" s="43" t="s">
        <v>300</v>
      </c>
      <c r="S54" s="43" t="s">
        <v>300</v>
      </c>
      <c r="T54" s="43" t="s">
        <v>300</v>
      </c>
      <c r="U54" s="43" t="s">
        <v>300</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300</v>
      </c>
      <c r="O55" s="54">
        <v>45887</v>
      </c>
      <c r="P55" s="87" t="s">
        <v>300</v>
      </c>
      <c r="Q55" s="115" t="s">
        <v>300</v>
      </c>
      <c r="R55" s="115" t="s">
        <v>300</v>
      </c>
      <c r="S55" s="115" t="s">
        <v>300</v>
      </c>
      <c r="T55" s="115" t="s">
        <v>300</v>
      </c>
      <c r="U55" s="43" t="s">
        <v>300</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300</v>
      </c>
      <c r="O56" s="54">
        <v>45887</v>
      </c>
      <c r="P56" s="328" t="s">
        <v>300</v>
      </c>
      <c r="Q56" s="43" t="s">
        <v>300</v>
      </c>
      <c r="R56" s="43" t="s">
        <v>300</v>
      </c>
      <c r="S56" s="43" t="s">
        <v>300</v>
      </c>
      <c r="T56" s="43" t="s">
        <v>300</v>
      </c>
      <c r="U56" s="43" t="s">
        <v>300</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300</v>
      </c>
      <c r="O57" s="124">
        <v>45783</v>
      </c>
      <c r="P57" s="328" t="s">
        <v>300</v>
      </c>
      <c r="Q57" s="43" t="s">
        <v>300</v>
      </c>
      <c r="R57" s="43" t="s">
        <v>2134</v>
      </c>
      <c r="S57" s="43" t="s">
        <v>300</v>
      </c>
      <c r="T57" s="43" t="s">
        <v>300</v>
      </c>
      <c r="U57" s="43" t="s">
        <v>300</v>
      </c>
      <c r="V57" s="69" t="s">
        <v>300</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300</v>
      </c>
      <c r="O58" s="54">
        <v>45776</v>
      </c>
      <c r="P58" s="328" t="s">
        <v>300</v>
      </c>
      <c r="Q58" s="43" t="s">
        <v>300</v>
      </c>
      <c r="R58" s="43" t="s">
        <v>2134</v>
      </c>
      <c r="S58" s="43" t="s">
        <v>300</v>
      </c>
      <c r="T58" s="43" t="s">
        <v>300</v>
      </c>
      <c r="U58" s="43" t="s">
        <v>300</v>
      </c>
      <c r="V58" s="334" t="s">
        <v>300</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300</v>
      </c>
      <c r="O59" s="30" t="s">
        <v>2116</v>
      </c>
      <c r="P59" s="328" t="s">
        <v>300</v>
      </c>
      <c r="Q59" s="43" t="s">
        <v>300</v>
      </c>
      <c r="R59" s="43" t="s">
        <v>2134</v>
      </c>
      <c r="S59" s="43" t="s">
        <v>300</v>
      </c>
      <c r="T59" s="43" t="s">
        <v>300</v>
      </c>
      <c r="U59" s="43" t="s">
        <v>300</v>
      </c>
      <c r="V59" s="334" t="s">
        <v>300</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300</v>
      </c>
      <c r="O60" s="54">
        <v>45812</v>
      </c>
      <c r="P60" s="328" t="s">
        <v>300</v>
      </c>
      <c r="Q60" s="43" t="s">
        <v>300</v>
      </c>
      <c r="R60" s="43" t="s">
        <v>2134</v>
      </c>
      <c r="S60" s="43" t="s">
        <v>300</v>
      </c>
      <c r="T60" s="43" t="s">
        <v>300</v>
      </c>
      <c r="U60" s="43" t="s">
        <v>300</v>
      </c>
      <c r="V60" s="334" t="s">
        <v>300</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300</v>
      </c>
      <c r="N61" s="87" t="s">
        <v>300</v>
      </c>
      <c r="O61" s="124">
        <v>45673</v>
      </c>
      <c r="P61" s="328" t="s">
        <v>300</v>
      </c>
      <c r="Q61" s="43" t="s">
        <v>300</v>
      </c>
      <c r="R61" s="69" t="s">
        <v>64</v>
      </c>
      <c r="S61" s="43" t="s">
        <v>56</v>
      </c>
      <c r="T61" s="43" t="s">
        <v>300</v>
      </c>
      <c r="U61" s="161" t="s">
        <v>300</v>
      </c>
      <c r="V61" s="69" t="s">
        <v>300</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300</v>
      </c>
      <c r="O62" s="54">
        <v>45848</v>
      </c>
      <c r="P62" s="328" t="s">
        <v>300</v>
      </c>
      <c r="Q62" s="43" t="s">
        <v>300</v>
      </c>
      <c r="R62" s="43" t="s">
        <v>300</v>
      </c>
      <c r="S62" s="43" t="s">
        <v>56</v>
      </c>
      <c r="T62" s="43" t="s">
        <v>300</v>
      </c>
      <c r="U62" s="43" t="s">
        <v>300</v>
      </c>
      <c r="V62" s="43" t="s">
        <v>300</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300</v>
      </c>
      <c r="O63" s="54">
        <v>45882</v>
      </c>
      <c r="P63" s="328" t="s">
        <v>300</v>
      </c>
      <c r="Q63" s="43" t="s">
        <v>300</v>
      </c>
      <c r="R63" s="43" t="s">
        <v>300</v>
      </c>
      <c r="S63" s="43" t="s">
        <v>56</v>
      </c>
      <c r="T63" s="43" t="s">
        <v>300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300</v>
      </c>
      <c r="O64" s="54">
        <v>45884</v>
      </c>
      <c r="P64" s="328" t="s">
        <v>300</v>
      </c>
      <c r="Q64" s="43" t="s">
        <v>300</v>
      </c>
      <c r="R64" s="43" t="s">
        <v>300</v>
      </c>
      <c r="S64" s="43" t="s">
        <v>56</v>
      </c>
      <c r="T64" s="43" t="s">
        <v>300</v>
      </c>
      <c r="U64" s="43" t="s">
        <v>300</v>
      </c>
      <c r="V64" s="43" t="s">
        <v>300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300</v>
      </c>
      <c r="O65" s="54">
        <v>45824</v>
      </c>
      <c r="P65" s="328" t="s">
        <v>300</v>
      </c>
      <c r="Q65" s="43" t="s">
        <v>300</v>
      </c>
      <c r="R65" s="43" t="s">
        <v>300</v>
      </c>
      <c r="S65" s="43" t="s">
        <v>56</v>
      </c>
      <c r="T65" s="43" t="s">
        <v>300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300</v>
      </c>
      <c r="O66" s="124">
        <v>45817</v>
      </c>
      <c r="P66" s="328" t="s">
        <v>300</v>
      </c>
      <c r="Q66" s="157" t="s">
        <v>300</v>
      </c>
      <c r="R66" s="43" t="s">
        <v>300</v>
      </c>
      <c r="S66" s="43" t="s">
        <v>56</v>
      </c>
      <c r="T66" s="43" t="s">
        <v>300</v>
      </c>
      <c r="U66" s="43" t="s">
        <v>300</v>
      </c>
      <c r="V66" s="43" t="s">
        <v>300</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300</v>
      </c>
      <c r="O67" s="54">
        <v>45876</v>
      </c>
      <c r="P67" s="328" t="s">
        <v>300</v>
      </c>
      <c r="Q67" s="157" t="s">
        <v>300</v>
      </c>
      <c r="R67" s="157" t="s">
        <v>300</v>
      </c>
      <c r="S67" s="43" t="s">
        <v>56</v>
      </c>
      <c r="T67" s="43" t="s">
        <v>300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300</v>
      </c>
      <c r="N68" s="87" t="s">
        <v>300</v>
      </c>
      <c r="O68" s="87" t="s">
        <v>300</v>
      </c>
      <c r="P68" s="328" t="s">
        <v>300</v>
      </c>
      <c r="Q68" s="43" t="s">
        <v>300</v>
      </c>
      <c r="R68" s="43" t="s">
        <v>300</v>
      </c>
      <c r="S68" s="43" t="s">
        <v>56</v>
      </c>
      <c r="T68" s="43" t="s">
        <v>300</v>
      </c>
      <c r="U68" s="43" t="s">
        <v>300</v>
      </c>
      <c r="V68" s="334" t="s">
        <v>300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300</v>
      </c>
      <c r="O69" s="54">
        <v>45870</v>
      </c>
      <c r="P69" s="328" t="s">
        <v>300</v>
      </c>
      <c r="Q69" s="43" t="s">
        <v>300</v>
      </c>
      <c r="R69" s="43" t="s">
        <v>300</v>
      </c>
      <c r="S69" s="43" t="s">
        <v>56</v>
      </c>
      <c r="T69" s="43" t="s">
        <v>300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300</v>
      </c>
      <c r="O70" s="124">
        <v>45705</v>
      </c>
      <c r="P70" s="79" t="s">
        <v>300</v>
      </c>
      <c r="Q70" s="43" t="s">
        <v>300</v>
      </c>
      <c r="R70" s="43" t="s">
        <v>300</v>
      </c>
      <c r="S70" s="43" t="s">
        <v>56</v>
      </c>
      <c r="T70" s="43" t="s">
        <v>300</v>
      </c>
      <c r="U70" s="43" t="s">
        <v>300</v>
      </c>
      <c r="V70" s="334" t="s">
        <v>300</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300</v>
      </c>
      <c r="O71" s="54">
        <v>45870</v>
      </c>
      <c r="P71" s="79" t="s">
        <v>300</v>
      </c>
      <c r="Q71" s="43" t="s">
        <v>300</v>
      </c>
      <c r="R71" s="43" t="s">
        <v>300</v>
      </c>
      <c r="S71" s="43" t="s">
        <v>56</v>
      </c>
      <c r="T71" s="43" t="s">
        <v>300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300</v>
      </c>
      <c r="O72" s="54">
        <v>45882</v>
      </c>
      <c r="P72" s="328" t="s">
        <v>300</v>
      </c>
      <c r="Q72" s="157" t="s">
        <v>300</v>
      </c>
      <c r="R72" s="43" t="s">
        <v>300</v>
      </c>
      <c r="S72" s="43" t="s">
        <v>56</v>
      </c>
      <c r="T72" s="43" t="s">
        <v>300</v>
      </c>
      <c r="U72" s="43" t="s">
        <v>300</v>
      </c>
      <c r="V72" s="43" t="s">
        <v>300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300</v>
      </c>
      <c r="O73" s="124">
        <v>45790</v>
      </c>
      <c r="P73" s="79" t="s">
        <v>300</v>
      </c>
      <c r="Q73" s="43" t="s">
        <v>300</v>
      </c>
      <c r="R73" s="43" t="s">
        <v>300</v>
      </c>
      <c r="S73" s="43" t="s">
        <v>56</v>
      </c>
      <c r="T73" s="43" t="s">
        <v>300</v>
      </c>
      <c r="U73" s="43" t="s">
        <v>300</v>
      </c>
      <c r="V73" s="334" t="s">
        <v>300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300</v>
      </c>
      <c r="O74" s="54">
        <v>45871</v>
      </c>
      <c r="P74" s="79" t="s">
        <v>300</v>
      </c>
      <c r="Q74" s="43" t="s">
        <v>300</v>
      </c>
      <c r="R74" s="43" t="s">
        <v>300</v>
      </c>
      <c r="S74" s="43" t="s">
        <v>56</v>
      </c>
      <c r="T74" s="43" t="s">
        <v>300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300</v>
      </c>
      <c r="O75" s="54">
        <v>45853</v>
      </c>
      <c r="P75" s="79" t="s">
        <v>300</v>
      </c>
      <c r="Q75" s="43" t="s">
        <v>300</v>
      </c>
      <c r="R75" s="43" t="s">
        <v>300</v>
      </c>
      <c r="S75" s="43" t="s">
        <v>56</v>
      </c>
      <c r="T75" s="43" t="s">
        <v>300</v>
      </c>
      <c r="U75" s="43" t="s">
        <v>300</v>
      </c>
      <c r="V75" s="43" t="s">
        <v>300</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300</v>
      </c>
      <c r="O76" s="54">
        <v>45838</v>
      </c>
      <c r="P76" s="87" t="s">
        <v>300</v>
      </c>
      <c r="Q76" s="169" t="s">
        <v>300</v>
      </c>
      <c r="R76" s="169" t="s">
        <v>300</v>
      </c>
      <c r="S76" s="169" t="s">
        <v>56</v>
      </c>
      <c r="T76" s="169" t="s">
        <v>300</v>
      </c>
      <c r="U76" s="43" t="s">
        <v>300</v>
      </c>
      <c r="V76" s="43" t="s">
        <v>300</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300</v>
      </c>
      <c r="O77" s="54">
        <v>45902</v>
      </c>
      <c r="P77" s="328" t="s">
        <v>300</v>
      </c>
      <c r="Q77" s="43" t="s">
        <v>300</v>
      </c>
      <c r="R77" s="43" t="s">
        <v>300</v>
      </c>
      <c r="S77" s="43" t="s">
        <v>56</v>
      </c>
      <c r="T77" s="43" t="s">
        <v>300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300</v>
      </c>
      <c r="O78" s="54">
        <v>45902</v>
      </c>
      <c r="P78" s="328" t="s">
        <v>300</v>
      </c>
      <c r="Q78" s="43" t="s">
        <v>300</v>
      </c>
      <c r="R78" s="43" t="s">
        <v>300</v>
      </c>
      <c r="S78" s="43" t="s">
        <v>56</v>
      </c>
      <c r="T78" s="43" t="s">
        <v>300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300</v>
      </c>
      <c r="N79" s="87" t="s">
        <v>300</v>
      </c>
      <c r="O79" s="87" t="s">
        <v>300</v>
      </c>
      <c r="P79" s="87" t="s">
        <v>300</v>
      </c>
      <c r="Q79" s="43" t="s">
        <v>56</v>
      </c>
      <c r="R79" s="43" t="s">
        <v>56</v>
      </c>
      <c r="S79" s="43" t="s">
        <v>56</v>
      </c>
      <c r="T79" s="43" t="s">
        <v>300</v>
      </c>
      <c r="U79" s="43" t="s">
        <v>300</v>
      </c>
      <c r="V79" s="334" t="s">
        <v>300</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300</v>
      </c>
      <c r="O80" s="30" t="s">
        <v>52</v>
      </c>
      <c r="P80" s="87" t="s">
        <v>300</v>
      </c>
      <c r="Q80" s="43" t="s">
        <v>56</v>
      </c>
      <c r="R80" s="43" t="s">
        <v>56</v>
      </c>
      <c r="S80" s="43" t="s">
        <v>56</v>
      </c>
      <c r="T80" s="43" t="s">
        <v>300</v>
      </c>
      <c r="U80" s="43" t="s">
        <v>300</v>
      </c>
      <c r="V80" s="69" t="s">
        <v>300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798</v>
      </c>
      <c r="E81" s="172"/>
      <c r="F81" s="129"/>
      <c r="G81" s="129"/>
      <c r="H81" s="179">
        <v>48</v>
      </c>
      <c r="I81" s="181"/>
      <c r="J81" s="179" t="s">
        <v>57</v>
      </c>
      <c r="K81" s="179" t="s">
        <v>57</v>
      </c>
      <c r="L81" s="179" t="s">
        <v>56</v>
      </c>
      <c r="M81" s="100" t="s">
        <v>300</v>
      </c>
      <c r="N81" s="87" t="s">
        <v>300</v>
      </c>
      <c r="O81" s="124">
        <v>45678</v>
      </c>
      <c r="P81" s="87" t="s">
        <v>300</v>
      </c>
      <c r="Q81" s="43" t="s">
        <v>300</v>
      </c>
      <c r="R81" s="43" t="s">
        <v>2134</v>
      </c>
      <c r="S81" s="43" t="s">
        <v>300</v>
      </c>
      <c r="T81" s="43" t="s">
        <v>300</v>
      </c>
      <c r="U81" s="115" t="s">
        <v>300</v>
      </c>
      <c r="V81" s="69" t="s">
        <v>300</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300</v>
      </c>
      <c r="O82" s="54">
        <v>45874</v>
      </c>
      <c r="P82" s="87" t="s">
        <v>300</v>
      </c>
      <c r="Q82" s="43" t="s">
        <v>300</v>
      </c>
      <c r="R82" s="43" t="s">
        <v>2134</v>
      </c>
      <c r="S82" s="43" t="s">
        <v>300</v>
      </c>
      <c r="T82" s="43" t="s">
        <v>300</v>
      </c>
      <c r="U82" s="115" t="s">
        <v>300</v>
      </c>
      <c r="V82" s="69" t="s">
        <v>300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300</v>
      </c>
      <c r="O83" s="54">
        <v>45706</v>
      </c>
      <c r="P83" s="87" t="s">
        <v>300</v>
      </c>
      <c r="Q83" s="165" t="s">
        <v>300</v>
      </c>
      <c r="R83" s="69" t="s">
        <v>300</v>
      </c>
      <c r="S83" s="69" t="s">
        <v>56</v>
      </c>
      <c r="T83" s="69" t="s">
        <v>300</v>
      </c>
      <c r="U83" s="43" t="s">
        <v>300</v>
      </c>
      <c r="V83" s="43" t="s">
        <v>300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300</v>
      </c>
      <c r="O84" s="54">
        <v>45728</v>
      </c>
      <c r="P84" s="30" t="s">
        <v>300</v>
      </c>
      <c r="Q84" s="169" t="s">
        <v>300</v>
      </c>
      <c r="R84" s="169" t="s">
        <v>2134</v>
      </c>
      <c r="S84" s="169" t="s">
        <v>300</v>
      </c>
      <c r="T84" s="169" t="s">
        <v>300</v>
      </c>
      <c r="U84" s="91" t="s">
        <v>300</v>
      </c>
      <c r="V84" s="69" t="s">
        <v>300</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300</v>
      </c>
      <c r="O85" s="54">
        <v>45719</v>
      </c>
      <c r="P85" s="30" t="s">
        <v>300</v>
      </c>
      <c r="Q85" s="43" t="s">
        <v>300</v>
      </c>
      <c r="R85" s="169" t="s">
        <v>2134</v>
      </c>
      <c r="S85" s="169" t="s">
        <v>300</v>
      </c>
      <c r="T85" s="169" t="s">
        <v>300</v>
      </c>
      <c r="U85" s="91" t="s">
        <v>300</v>
      </c>
      <c r="V85" s="91" t="s">
        <v>300</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300</v>
      </c>
      <c r="O86" s="195">
        <v>45728</v>
      </c>
      <c r="P86" s="30" t="s">
        <v>300</v>
      </c>
      <c r="Q86" s="43" t="s">
        <v>300</v>
      </c>
      <c r="R86" s="43" t="s">
        <v>2134</v>
      </c>
      <c r="S86" s="43" t="s">
        <v>300</v>
      </c>
      <c r="T86" s="43" t="s">
        <v>300</v>
      </c>
      <c r="U86" s="69" t="s">
        <v>300</v>
      </c>
      <c r="V86" s="69" t="s">
        <v>300</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300</v>
      </c>
      <c r="O87" s="30" t="s">
        <v>300</v>
      </c>
      <c r="P87" s="30" t="s">
        <v>300</v>
      </c>
      <c r="Q87" s="43" t="s">
        <v>300</v>
      </c>
      <c r="R87" s="43" t="s">
        <v>2134</v>
      </c>
      <c r="S87" s="43" t="s">
        <v>300</v>
      </c>
      <c r="T87" s="43" t="s">
        <v>300</v>
      </c>
      <c r="U87" s="157" t="s">
        <v>300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300</v>
      </c>
      <c r="O88" s="54">
        <v>45728</v>
      </c>
      <c r="P88" s="30" t="s">
        <v>300</v>
      </c>
      <c r="Q88" s="43" t="s">
        <v>300</v>
      </c>
      <c r="R88" s="43" t="s">
        <v>2134</v>
      </c>
      <c r="S88" s="43" t="s">
        <v>300</v>
      </c>
      <c r="T88" s="43" t="s">
        <v>300</v>
      </c>
      <c r="U88" s="157" t="s">
        <v>300</v>
      </c>
      <c r="V88" s="157" t="s">
        <v>300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300</v>
      </c>
      <c r="O89" s="54">
        <v>45722</v>
      </c>
      <c r="P89" s="30" t="s">
        <v>300</v>
      </c>
      <c r="Q89" s="69" t="s">
        <v>300</v>
      </c>
      <c r="R89" s="43" t="s">
        <v>2134</v>
      </c>
      <c r="S89" s="69" t="s">
        <v>300</v>
      </c>
      <c r="T89" s="69" t="s">
        <v>300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300</v>
      </c>
      <c r="O90" s="54">
        <v>45727</v>
      </c>
      <c r="P90" s="30" t="s">
        <v>300</v>
      </c>
      <c r="Q90" s="69" t="s">
        <v>300</v>
      </c>
      <c r="R90" s="43" t="s">
        <v>2134</v>
      </c>
      <c r="S90" s="69" t="s">
        <v>300</v>
      </c>
      <c r="T90" s="69" t="s">
        <v>300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300</v>
      </c>
      <c r="O91" s="54">
        <v>45723</v>
      </c>
      <c r="P91" s="30" t="s">
        <v>300</v>
      </c>
      <c r="Q91" s="69" t="s">
        <v>300</v>
      </c>
      <c r="R91" s="43" t="s">
        <v>2134</v>
      </c>
      <c r="S91" s="69" t="s">
        <v>300</v>
      </c>
      <c r="T91" s="69" t="s">
        <v>300</v>
      </c>
      <c r="U91" s="69" t="s">
        <v>300</v>
      </c>
      <c r="V91" s="69" t="s">
        <v>300</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300</v>
      </c>
      <c r="O92" s="54">
        <v>45726</v>
      </c>
      <c r="P92" s="30" t="s">
        <v>300</v>
      </c>
      <c r="Q92" s="148" t="s">
        <v>300</v>
      </c>
      <c r="R92" s="43" t="s">
        <v>2134</v>
      </c>
      <c r="S92" s="69" t="s">
        <v>300</v>
      </c>
      <c r="T92" s="69" t="s">
        <v>300</v>
      </c>
      <c r="U92" s="334" t="s">
        <v>300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300</v>
      </c>
      <c r="O93" s="54">
        <v>45727</v>
      </c>
      <c r="P93" s="79" t="s">
        <v>300</v>
      </c>
      <c r="Q93" s="43" t="s">
        <v>300</v>
      </c>
      <c r="R93" s="43" t="s">
        <v>2134</v>
      </c>
      <c r="S93" s="43" t="s">
        <v>300</v>
      </c>
      <c r="T93" s="43" t="s">
        <v>300</v>
      </c>
      <c r="U93" s="334" t="s">
        <v>300</v>
      </c>
      <c r="V93" s="69" t="s">
        <v>300</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300</v>
      </c>
      <c r="O94" s="54">
        <v>45693</v>
      </c>
      <c r="P94" s="79" t="s">
        <v>300</v>
      </c>
      <c r="Q94" s="69" t="s">
        <v>300</v>
      </c>
      <c r="R94" s="69" t="s">
        <v>2134</v>
      </c>
      <c r="S94" s="69" t="s">
        <v>300</v>
      </c>
      <c r="T94" s="69" t="s">
        <v>300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300</v>
      </c>
      <c r="O95" s="195">
        <v>45694</v>
      </c>
      <c r="P95" s="79" t="s">
        <v>300</v>
      </c>
      <c r="Q95" s="69" t="s">
        <v>300</v>
      </c>
      <c r="R95" s="69" t="s">
        <v>2134</v>
      </c>
      <c r="S95" s="69" t="s">
        <v>300</v>
      </c>
      <c r="T95" s="43" t="s">
        <v>300</v>
      </c>
      <c r="U95" s="69" t="s">
        <v>300</v>
      </c>
      <c r="V95" s="69" t="s">
        <v>300</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300</v>
      </c>
      <c r="O96" s="54">
        <v>45694</v>
      </c>
      <c r="P96" s="30" t="s">
        <v>300</v>
      </c>
      <c r="Q96" s="69" t="s">
        <v>300</v>
      </c>
      <c r="R96" s="91" t="s">
        <v>2134</v>
      </c>
      <c r="S96" s="69" t="s">
        <v>300</v>
      </c>
      <c r="T96" s="69" t="s">
        <v>300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300</v>
      </c>
      <c r="O97" s="54">
        <v>45688</v>
      </c>
      <c r="P97" s="30" t="s">
        <v>300</v>
      </c>
      <c r="Q97" s="69" t="s">
        <v>300</v>
      </c>
      <c r="R97" s="69" t="s">
        <v>2134</v>
      </c>
      <c r="S97" s="69" t="s">
        <v>300</v>
      </c>
      <c r="T97" s="69" t="s">
        <v>300</v>
      </c>
      <c r="U97" s="69" t="s">
        <v>300</v>
      </c>
      <c r="V97" s="43" t="s">
        <v>300</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300</v>
      </c>
      <c r="O98" s="54">
        <v>45692</v>
      </c>
      <c r="P98" s="30" t="s">
        <v>300</v>
      </c>
      <c r="Q98" s="43" t="s">
        <v>300</v>
      </c>
      <c r="R98" s="43" t="s">
        <v>2134</v>
      </c>
      <c r="S98" s="43" t="s">
        <v>300</v>
      </c>
      <c r="T98" s="43" t="s">
        <v>300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300</v>
      </c>
      <c r="O99" s="54">
        <v>45692</v>
      </c>
      <c r="P99" s="30" t="s">
        <v>300</v>
      </c>
      <c r="Q99" s="43" t="s">
        <v>300</v>
      </c>
      <c r="R99" s="43" t="s">
        <v>2134</v>
      </c>
      <c r="S99" s="43" t="s">
        <v>300</v>
      </c>
      <c r="T99" s="115" t="s">
        <v>300</v>
      </c>
      <c r="U99" s="148" t="s">
        <v>300</v>
      </c>
      <c r="V99" s="69" t="s">
        <v>300</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300</v>
      </c>
      <c r="O100" s="166">
        <v>45691</v>
      </c>
      <c r="P100" s="30" t="s">
        <v>300</v>
      </c>
      <c r="Q100" s="43" t="s">
        <v>300</v>
      </c>
      <c r="R100" s="43" t="s">
        <v>2134</v>
      </c>
      <c r="S100" s="43" t="s">
        <v>300</v>
      </c>
      <c r="T100" s="43" t="s">
        <v>300</v>
      </c>
      <c r="U100" s="69" t="s">
        <v>300</v>
      </c>
      <c r="V100" s="157" t="s">
        <v>300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300</v>
      </c>
      <c r="O101" s="54">
        <v>45695</v>
      </c>
      <c r="P101" s="30" t="s">
        <v>300</v>
      </c>
      <c r="Q101" s="43" t="s">
        <v>300</v>
      </c>
      <c r="R101" s="43" t="s">
        <v>2134</v>
      </c>
      <c r="S101" s="43" t="s">
        <v>300</v>
      </c>
      <c r="T101" s="43" t="s">
        <v>300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300</v>
      </c>
      <c r="N102" s="30" t="s">
        <v>300</v>
      </c>
      <c r="O102" s="54">
        <v>45699</v>
      </c>
      <c r="P102" s="87" t="s">
        <v>300</v>
      </c>
      <c r="Q102" s="88" t="s">
        <v>300</v>
      </c>
      <c r="R102" s="43" t="s">
        <v>2134</v>
      </c>
      <c r="S102" s="43" t="s">
        <v>300</v>
      </c>
      <c r="T102" s="43" t="s">
        <v>300</v>
      </c>
      <c r="U102" s="43" t="s">
        <v>300</v>
      </c>
      <c r="V102" s="165" t="s">
        <v>300</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300</v>
      </c>
      <c r="O103" s="54">
        <v>45675</v>
      </c>
      <c r="P103" s="87" t="s">
        <v>300</v>
      </c>
      <c r="Q103" s="43" t="s">
        <v>300</v>
      </c>
      <c r="R103" s="43" t="s">
        <v>2134</v>
      </c>
      <c r="S103" s="43" t="s">
        <v>300</v>
      </c>
      <c r="T103" s="43" t="s">
        <v>300</v>
      </c>
      <c r="U103" s="43" t="s">
        <v>300</v>
      </c>
      <c r="V103" s="139" t="s">
        <v>300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300</v>
      </c>
      <c r="N104" s="119" t="s">
        <v>300</v>
      </c>
      <c r="O104" s="54">
        <v>45675</v>
      </c>
      <c r="P104" s="213" t="s">
        <v>300</v>
      </c>
      <c r="Q104" s="43" t="s">
        <v>300</v>
      </c>
      <c r="R104" s="43" t="s">
        <v>2134</v>
      </c>
      <c r="S104" s="43" t="s">
        <v>300</v>
      </c>
      <c r="T104" s="43" t="s">
        <v>300</v>
      </c>
      <c r="U104" s="43" t="s">
        <v>300</v>
      </c>
      <c r="V104" s="139" t="s">
        <v>300</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300</v>
      </c>
      <c r="O105" s="54">
        <v>45743</v>
      </c>
      <c r="P105" s="87" t="s">
        <v>300</v>
      </c>
      <c r="Q105" s="157" t="s">
        <v>300</v>
      </c>
      <c r="R105" s="69" t="s">
        <v>2134</v>
      </c>
      <c r="S105" s="43" t="s">
        <v>300</v>
      </c>
      <c r="T105" s="43" t="s">
        <v>300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300</v>
      </c>
      <c r="O106" s="54">
        <v>45679</v>
      </c>
      <c r="P106" s="87" t="s">
        <v>300</v>
      </c>
      <c r="Q106" s="43" t="s">
        <v>300</v>
      </c>
      <c r="R106" s="43" t="s">
        <v>2134</v>
      </c>
      <c r="S106" s="43" t="s">
        <v>300</v>
      </c>
      <c r="T106" s="43" t="s">
        <v>300</v>
      </c>
      <c r="U106" s="43" t="s">
        <v>300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300</v>
      </c>
      <c r="O107" s="54">
        <v>45749</v>
      </c>
      <c r="P107" s="30" t="s">
        <v>300</v>
      </c>
      <c r="Q107" s="43" t="s">
        <v>300</v>
      </c>
      <c r="R107" s="43" t="s">
        <v>2134</v>
      </c>
      <c r="S107" s="43" t="s">
        <v>300</v>
      </c>
      <c r="T107" s="43" t="s">
        <v>300</v>
      </c>
      <c r="U107" s="43" t="s">
        <v>300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300</v>
      </c>
      <c r="O108" s="54">
        <v>45749</v>
      </c>
      <c r="P108" s="30" t="s">
        <v>300</v>
      </c>
      <c r="Q108" s="43" t="s">
        <v>300</v>
      </c>
      <c r="R108" s="334" t="s">
        <v>2134</v>
      </c>
      <c r="S108" s="43" t="s">
        <v>300</v>
      </c>
      <c r="T108" s="43" t="s">
        <v>300</v>
      </c>
      <c r="U108" s="88" t="s">
        <v>300</v>
      </c>
      <c r="V108" s="481" t="s">
        <v>300</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300</v>
      </c>
      <c r="O109" s="54">
        <v>45744</v>
      </c>
      <c r="P109" s="79" t="s">
        <v>300</v>
      </c>
      <c r="Q109" s="43" t="s">
        <v>300</v>
      </c>
      <c r="R109" s="334" t="s">
        <v>2134</v>
      </c>
      <c r="S109" s="43" t="s">
        <v>300</v>
      </c>
      <c r="T109" s="43" t="s">
        <v>300</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300</v>
      </c>
      <c r="O110" s="54">
        <v>45691</v>
      </c>
      <c r="P110" s="79" t="s">
        <v>300</v>
      </c>
      <c r="Q110" s="43" t="s">
        <v>300</v>
      </c>
      <c r="R110" s="334" t="s">
        <v>2134</v>
      </c>
      <c r="S110" s="43" t="s">
        <v>300</v>
      </c>
      <c r="T110" s="43" t="s">
        <v>300</v>
      </c>
      <c r="U110" s="88" t="s">
        <v>300</v>
      </c>
      <c r="V110" s="481" t="s">
        <v>300</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300</v>
      </c>
      <c r="O111" s="54">
        <v>45708</v>
      </c>
      <c r="P111" s="30" t="s">
        <v>300</v>
      </c>
      <c r="Q111" s="169" t="s">
        <v>300</v>
      </c>
      <c r="R111" s="69" t="s">
        <v>2134</v>
      </c>
      <c r="S111" s="43" t="s">
        <v>300</v>
      </c>
      <c r="T111" s="43" t="s">
        <v>300</v>
      </c>
      <c r="U111" s="43" t="s">
        <v>300</v>
      </c>
      <c r="V111" s="201" t="s">
        <v>300</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300</v>
      </c>
      <c r="O112" s="166">
        <v>45744</v>
      </c>
      <c r="P112" s="114" t="s">
        <v>300</v>
      </c>
      <c r="Q112" s="115" t="s">
        <v>300</v>
      </c>
      <c r="R112" s="148" t="s">
        <v>2134</v>
      </c>
      <c r="S112" s="43" t="s">
        <v>300</v>
      </c>
      <c r="T112" s="43" t="s">
        <v>300</v>
      </c>
      <c r="U112" s="43" t="s">
        <v>300</v>
      </c>
      <c r="V112" s="201" t="s">
        <v>300</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300</v>
      </c>
      <c r="O113" s="166">
        <v>45755</v>
      </c>
      <c r="P113" s="114" t="s">
        <v>300</v>
      </c>
      <c r="Q113" s="115" t="s">
        <v>300</v>
      </c>
      <c r="R113" s="148" t="s">
        <v>2134</v>
      </c>
      <c r="S113" s="115" t="s">
        <v>300</v>
      </c>
      <c r="T113" s="43" t="s">
        <v>300</v>
      </c>
      <c r="U113" s="43" t="s">
        <v>300</v>
      </c>
      <c r="V113" s="201" t="s">
        <v>300</v>
      </c>
      <c r="W113" s="479">
        <v>45791</v>
      </c>
      <c r="X113" s="148" t="s">
        <v>2137</v>
      </c>
    </row>
    <row r="114" spans="1:25">
      <c r="A114" s="178" t="s">
        <v>879</v>
      </c>
      <c r="B114" s="182" t="s">
        <v>50</v>
      </c>
      <c r="C114" s="314">
        <v>45772</v>
      </c>
      <c r="D114" s="410" t="s">
        <v>880</v>
      </c>
      <c r="H114" s="185">
        <v>75</v>
      </c>
      <c r="I114" s="181"/>
      <c r="J114" s="179" t="s">
        <v>57</v>
      </c>
      <c r="K114" s="420" t="s">
        <v>57</v>
      </c>
      <c r="L114" s="179" t="s">
        <v>63</v>
      </c>
      <c r="M114" s="193">
        <v>45741</v>
      </c>
      <c r="N114" s="114" t="s">
        <v>300</v>
      </c>
      <c r="O114" s="54">
        <v>45747</v>
      </c>
      <c r="P114" s="114" t="s">
        <v>300</v>
      </c>
      <c r="Q114" s="115" t="s">
        <v>300</v>
      </c>
      <c r="R114" s="148" t="s">
        <v>2134</v>
      </c>
      <c r="S114" s="115" t="s">
        <v>300</v>
      </c>
      <c r="T114" s="43" t="s">
        <v>300</v>
      </c>
      <c r="U114" s="157" t="s">
        <v>300</v>
      </c>
      <c r="V114" s="201" t="s">
        <v>300</v>
      </c>
      <c r="W114" s="54">
        <v>45798</v>
      </c>
      <c r="X114" s="69" t="s">
        <v>2137</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300</v>
      </c>
      <c r="O115" s="124">
        <v>45757</v>
      </c>
      <c r="P115" s="30" t="s">
        <v>300</v>
      </c>
      <c r="Q115" s="43" t="s">
        <v>300</v>
      </c>
      <c r="R115" s="69" t="s">
        <v>2134</v>
      </c>
      <c r="S115" s="43" t="s">
        <v>300</v>
      </c>
      <c r="T115" s="43" t="s">
        <v>300</v>
      </c>
      <c r="U115" s="43" t="s">
        <v>300</v>
      </c>
      <c r="V115" s="88" t="s">
        <v>300</v>
      </c>
      <c r="W115" s="54">
        <v>45814</v>
      </c>
      <c r="X115" s="69" t="s">
        <v>2137</v>
      </c>
    </row>
    <row r="116" spans="1:25">
      <c r="A116" s="178" t="s">
        <v>883</v>
      </c>
      <c r="B116" s="182" t="s">
        <v>50</v>
      </c>
      <c r="C116" s="314">
        <v>45772</v>
      </c>
      <c r="D116" s="712" t="s">
        <v>885</v>
      </c>
      <c r="H116" s="179">
        <v>50</v>
      </c>
      <c r="I116" s="181"/>
      <c r="J116" s="179" t="s">
        <v>57</v>
      </c>
      <c r="K116" s="420" t="s">
        <v>57</v>
      </c>
      <c r="L116" s="179" t="s">
        <v>63</v>
      </c>
      <c r="M116" s="193">
        <v>45757</v>
      </c>
      <c r="N116" s="30" t="s">
        <v>300</v>
      </c>
      <c r="O116" s="124">
        <v>45757</v>
      </c>
      <c r="P116" s="30" t="s">
        <v>300</v>
      </c>
      <c r="Q116" s="43" t="s">
        <v>300</v>
      </c>
      <c r="R116" s="69" t="s">
        <v>2134</v>
      </c>
      <c r="S116" s="43" t="s">
        <v>300</v>
      </c>
      <c r="T116" s="43" t="s">
        <v>300</v>
      </c>
      <c r="U116" s="43" t="s">
        <v>300</v>
      </c>
      <c r="V116" s="481" t="s">
        <v>300</v>
      </c>
      <c r="W116" s="54">
        <v>45807</v>
      </c>
      <c r="X116" s="69" t="s">
        <v>2137</v>
      </c>
    </row>
    <row r="117" spans="1:25">
      <c r="A117" s="178" t="s">
        <v>887</v>
      </c>
      <c r="B117" s="182" t="s">
        <v>50</v>
      </c>
      <c r="C117" s="314">
        <v>45772</v>
      </c>
      <c r="D117" s="517" t="s">
        <v>888</v>
      </c>
      <c r="H117" s="179">
        <v>76</v>
      </c>
      <c r="I117" s="181"/>
      <c r="J117" s="179" t="s">
        <v>57</v>
      </c>
      <c r="K117" s="420" t="s">
        <v>57</v>
      </c>
      <c r="L117" s="179" t="s">
        <v>63</v>
      </c>
      <c r="M117" s="193">
        <v>45757</v>
      </c>
      <c r="N117" s="87" t="s">
        <v>300</v>
      </c>
      <c r="O117" s="124">
        <v>45757</v>
      </c>
      <c r="P117" s="30" t="s">
        <v>300</v>
      </c>
      <c r="Q117" s="43" t="s">
        <v>300</v>
      </c>
      <c r="R117" s="69" t="s">
        <v>2134</v>
      </c>
      <c r="S117" s="43" t="s">
        <v>300</v>
      </c>
      <c r="T117" s="43" t="s">
        <v>300</v>
      </c>
      <c r="U117" s="43" t="s">
        <v>300</v>
      </c>
      <c r="V117" s="88" t="s">
        <v>300</v>
      </c>
      <c r="W117" s="54">
        <v>45811</v>
      </c>
      <c r="X117" s="69" t="s">
        <v>2137</v>
      </c>
    </row>
    <row r="118" spans="1:25">
      <c r="A118" s="178" t="s">
        <v>889</v>
      </c>
      <c r="B118" s="182" t="s">
        <v>50</v>
      </c>
      <c r="C118" s="314">
        <v>45772</v>
      </c>
      <c r="D118" s="179" t="s">
        <v>891</v>
      </c>
      <c r="H118" s="185">
        <v>88</v>
      </c>
      <c r="I118" s="181"/>
      <c r="J118" s="179" t="s">
        <v>57</v>
      </c>
      <c r="K118" s="420" t="s">
        <v>57</v>
      </c>
      <c r="L118" s="179" t="s">
        <v>63</v>
      </c>
      <c r="M118" s="193">
        <v>45757</v>
      </c>
      <c r="N118" s="87" t="s">
        <v>300</v>
      </c>
      <c r="O118" s="124">
        <v>45757</v>
      </c>
      <c r="P118" s="87" t="s">
        <v>300</v>
      </c>
      <c r="Q118" s="43" t="s">
        <v>300</v>
      </c>
      <c r="R118" s="43" t="s">
        <v>2134</v>
      </c>
      <c r="S118" s="43" t="s">
        <v>300</v>
      </c>
      <c r="T118" s="43" t="s">
        <v>300</v>
      </c>
      <c r="U118" s="157" t="s">
        <v>300</v>
      </c>
      <c r="V118" s="88" t="s">
        <v>300</v>
      </c>
      <c r="W118" s="54">
        <v>45810</v>
      </c>
      <c r="X118" s="69" t="s">
        <v>2137</v>
      </c>
    </row>
    <row r="119" spans="1:25">
      <c r="A119" s="178" t="s">
        <v>893</v>
      </c>
      <c r="B119" s="182" t="s">
        <v>50</v>
      </c>
      <c r="C119" s="314">
        <v>45772</v>
      </c>
      <c r="D119" s="179" t="s">
        <v>894</v>
      </c>
      <c r="H119" s="185">
        <v>86</v>
      </c>
      <c r="I119" s="181"/>
      <c r="J119" s="179" t="s">
        <v>57</v>
      </c>
      <c r="K119" s="420" t="s">
        <v>57</v>
      </c>
      <c r="L119" s="179" t="s">
        <v>63</v>
      </c>
      <c r="M119" s="195">
        <v>45756</v>
      </c>
      <c r="N119" s="30" t="s">
        <v>300</v>
      </c>
      <c r="O119" s="124">
        <v>45757</v>
      </c>
      <c r="P119" s="30" t="s">
        <v>300</v>
      </c>
      <c r="Q119" s="69" t="s">
        <v>300</v>
      </c>
      <c r="R119" s="69" t="s">
        <v>2134</v>
      </c>
      <c r="S119" s="43" t="s">
        <v>300</v>
      </c>
      <c r="T119" s="43" t="s">
        <v>300</v>
      </c>
      <c r="U119" s="157" t="s">
        <v>300</v>
      </c>
      <c r="V119" s="88" t="s">
        <v>300</v>
      </c>
      <c r="W119" s="54">
        <v>45813</v>
      </c>
      <c r="X119" s="69" t="s">
        <v>2137</v>
      </c>
    </row>
    <row r="120" spans="1:25">
      <c r="A120" s="178" t="s">
        <v>895</v>
      </c>
      <c r="B120" s="182" t="s">
        <v>50</v>
      </c>
      <c r="C120" s="314">
        <v>45772</v>
      </c>
      <c r="D120" s="518" t="s">
        <v>896</v>
      </c>
      <c r="H120" s="185">
        <v>84</v>
      </c>
      <c r="I120" s="181"/>
      <c r="J120" s="179" t="s">
        <v>57</v>
      </c>
      <c r="K120" s="420" t="s">
        <v>57</v>
      </c>
      <c r="L120" s="179" t="s">
        <v>63</v>
      </c>
      <c r="M120" s="195">
        <v>45741</v>
      </c>
      <c r="N120" s="30" t="s">
        <v>300</v>
      </c>
      <c r="O120" s="54">
        <v>45748</v>
      </c>
      <c r="P120" s="30" t="s">
        <v>300</v>
      </c>
      <c r="Q120" s="43" t="s">
        <v>300</v>
      </c>
      <c r="R120" s="69" t="s">
        <v>2134</v>
      </c>
      <c r="S120" s="43" t="s">
        <v>300</v>
      </c>
      <c r="T120" s="43" t="s">
        <v>300</v>
      </c>
      <c r="U120" s="43" t="s">
        <v>300</v>
      </c>
      <c r="V120" s="88" t="s">
        <v>300</v>
      </c>
      <c r="W120" s="54">
        <v>45811</v>
      </c>
      <c r="X120" s="69" t="s">
        <v>2137</v>
      </c>
    </row>
    <row r="121" spans="1:25">
      <c r="A121" s="366" t="s">
        <v>897</v>
      </c>
      <c r="B121" s="685" t="s">
        <v>50</v>
      </c>
      <c r="C121" s="686">
        <v>45772</v>
      </c>
      <c r="D121" s="363" t="s">
        <v>898</v>
      </c>
      <c r="H121" s="341">
        <v>87</v>
      </c>
      <c r="I121" s="339"/>
      <c r="J121" s="363" t="s">
        <v>57</v>
      </c>
      <c r="K121" s="706" t="s">
        <v>57</v>
      </c>
      <c r="L121" s="179" t="s">
        <v>63</v>
      </c>
      <c r="M121" s="193">
        <v>45757</v>
      </c>
      <c r="N121" s="30" t="s">
        <v>300</v>
      </c>
      <c r="O121" s="124">
        <v>45757</v>
      </c>
      <c r="P121" s="30" t="s">
        <v>300</v>
      </c>
      <c r="Q121" s="69" t="s">
        <v>300</v>
      </c>
      <c r="R121" s="69" t="s">
        <v>2134</v>
      </c>
      <c r="S121" s="43" t="s">
        <v>300</v>
      </c>
      <c r="T121" s="43" t="s">
        <v>300</v>
      </c>
      <c r="U121" s="43" t="s">
        <v>300</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300</v>
      </c>
      <c r="O122" s="54">
        <v>45747</v>
      </c>
      <c r="P122" s="30" t="s">
        <v>300</v>
      </c>
      <c r="Q122" s="69" t="s">
        <v>300</v>
      </c>
      <c r="R122" s="69" t="s">
        <v>2134</v>
      </c>
      <c r="S122" s="43" t="s">
        <v>300</v>
      </c>
      <c r="T122" s="43" t="s">
        <v>300</v>
      </c>
      <c r="U122" s="157" t="s">
        <v>300</v>
      </c>
      <c r="V122" s="157" t="s">
        <v>300</v>
      </c>
      <c r="W122" s="54">
        <v>45789</v>
      </c>
      <c r="X122" s="69" t="s">
        <v>2137</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300</v>
      </c>
      <c r="O123" s="54">
        <v>45744</v>
      </c>
      <c r="P123" s="30" t="s">
        <v>300</v>
      </c>
      <c r="Q123" s="43" t="s">
        <v>300</v>
      </c>
      <c r="R123" s="69" t="s">
        <v>2134</v>
      </c>
      <c r="S123" s="43" t="s">
        <v>300</v>
      </c>
      <c r="T123" s="43" t="s">
        <v>300</v>
      </c>
      <c r="U123" s="43" t="s">
        <v>300</v>
      </c>
      <c r="V123" s="69" t="s">
        <v>300</v>
      </c>
      <c r="W123" s="54">
        <v>45811</v>
      </c>
      <c r="X123" s="69" t="s">
        <v>2137</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300</v>
      </c>
      <c r="O124" s="54">
        <v>45744</v>
      </c>
      <c r="P124" s="30" t="s">
        <v>300</v>
      </c>
      <c r="Q124" s="43" t="s">
        <v>300</v>
      </c>
      <c r="R124" s="69" t="s">
        <v>2134</v>
      </c>
      <c r="S124" s="43" t="s">
        <v>300</v>
      </c>
      <c r="T124" s="43" t="s">
        <v>300</v>
      </c>
      <c r="U124" s="43" t="s">
        <v>2140</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300</v>
      </c>
      <c r="N125" s="30" t="s">
        <v>300</v>
      </c>
      <c r="O125" s="54">
        <v>45679</v>
      </c>
      <c r="P125" s="30" t="s">
        <v>300</v>
      </c>
      <c r="Q125" s="69" t="s">
        <v>300</v>
      </c>
      <c r="R125" s="43" t="s">
        <v>2134</v>
      </c>
      <c r="S125" s="43" t="s">
        <v>300</v>
      </c>
      <c r="T125" s="43" t="s">
        <v>300</v>
      </c>
      <c r="U125" s="43" t="s">
        <v>300</v>
      </c>
      <c r="V125" s="43" t="s">
        <v>300</v>
      </c>
      <c r="W125" s="54">
        <v>45814</v>
      </c>
      <c r="X125" s="69" t="s">
        <v>2137</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300</v>
      </c>
      <c r="N126" s="30" t="s">
        <v>300</v>
      </c>
      <c r="O126" s="54">
        <v>45720</v>
      </c>
      <c r="P126" s="30" t="s">
        <v>300</v>
      </c>
      <c r="Q126" s="69" t="s">
        <v>300</v>
      </c>
      <c r="R126" s="43" t="s">
        <v>2134</v>
      </c>
      <c r="S126" s="43" t="s">
        <v>300</v>
      </c>
      <c r="T126" s="43" t="s">
        <v>300</v>
      </c>
      <c r="U126" s="43" t="s">
        <v>300</v>
      </c>
      <c r="V126" s="88" t="s">
        <v>300</v>
      </c>
      <c r="W126" s="54">
        <v>45819</v>
      </c>
      <c r="X126" s="69" t="s">
        <v>2137</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300</v>
      </c>
      <c r="O127" s="54">
        <v>45679</v>
      </c>
      <c r="P127" s="30" t="s">
        <v>300</v>
      </c>
      <c r="Q127" s="43" t="s">
        <v>300</v>
      </c>
      <c r="R127" s="43" t="s">
        <v>2134</v>
      </c>
      <c r="S127" s="43" t="s">
        <v>300</v>
      </c>
      <c r="T127" s="43" t="s">
        <v>300</v>
      </c>
      <c r="U127" s="43" t="s">
        <v>300</v>
      </c>
      <c r="V127" s="88" t="s">
        <v>300</v>
      </c>
      <c r="W127" s="54">
        <v>45812</v>
      </c>
      <c r="X127" s="69" t="s">
        <v>2137</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300</v>
      </c>
      <c r="O128" s="347">
        <v>45694</v>
      </c>
      <c r="P128" s="87" t="s">
        <v>300</v>
      </c>
      <c r="Q128" s="43" t="s">
        <v>300</v>
      </c>
      <c r="R128" s="43" t="s">
        <v>2134</v>
      </c>
      <c r="S128" s="43" t="s">
        <v>300</v>
      </c>
      <c r="T128" s="43" t="s">
        <v>300</v>
      </c>
      <c r="U128" s="43" t="s">
        <v>300</v>
      </c>
      <c r="V128" s="88" t="s">
        <v>300</v>
      </c>
      <c r="W128" s="166">
        <v>45883</v>
      </c>
      <c r="X128" s="69" t="s">
        <v>2137</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300</v>
      </c>
      <c r="O129" s="166">
        <v>45720</v>
      </c>
      <c r="P129" s="114" t="s">
        <v>300</v>
      </c>
      <c r="Q129" s="148" t="s">
        <v>300</v>
      </c>
      <c r="R129" s="43" t="s">
        <v>2134</v>
      </c>
      <c r="S129" s="43" t="s">
        <v>300</v>
      </c>
      <c r="T129" s="115" t="s">
        <v>300</v>
      </c>
      <c r="U129" s="115" t="s">
        <v>300</v>
      </c>
      <c r="V129" s="88" t="s">
        <v>300</v>
      </c>
      <c r="W129" s="166">
        <v>45814</v>
      </c>
      <c r="X129" s="69" t="s">
        <v>2137</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300</v>
      </c>
      <c r="O130" s="54">
        <v>45698</v>
      </c>
      <c r="P130" s="30" t="s">
        <v>300</v>
      </c>
      <c r="Q130" s="69" t="s">
        <v>300</v>
      </c>
      <c r="R130" s="43" t="s">
        <v>2134</v>
      </c>
      <c r="S130" s="43" t="s">
        <v>300</v>
      </c>
      <c r="T130" s="43" t="s">
        <v>300</v>
      </c>
      <c r="U130" s="43" t="s">
        <v>300</v>
      </c>
      <c r="V130" s="88" t="s">
        <v>300</v>
      </c>
      <c r="W130" s="54">
        <v>45798</v>
      </c>
      <c r="X130" s="69" t="s">
        <v>2137</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300</v>
      </c>
      <c r="N131" s="49" t="s">
        <v>300</v>
      </c>
      <c r="O131" s="30" t="s">
        <v>300</v>
      </c>
      <c r="P131" s="30" t="s">
        <v>300</v>
      </c>
      <c r="Q131" s="43" t="s">
        <v>300</v>
      </c>
      <c r="R131" s="43" t="s">
        <v>2134</v>
      </c>
      <c r="S131" s="43" t="s">
        <v>300</v>
      </c>
      <c r="T131" s="157" t="s">
        <v>300</v>
      </c>
      <c r="U131" s="157" t="s">
        <v>300</v>
      </c>
      <c r="V131" s="88" t="s">
        <v>300</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300</v>
      </c>
      <c r="O132" s="54">
        <v>45691</v>
      </c>
      <c r="P132" s="87" t="s">
        <v>300</v>
      </c>
      <c r="Q132" s="43" t="s">
        <v>300</v>
      </c>
      <c r="R132" s="43" t="s">
        <v>2134</v>
      </c>
      <c r="S132" s="43" t="s">
        <v>300</v>
      </c>
      <c r="T132" s="43" t="s">
        <v>300</v>
      </c>
      <c r="U132" s="43" t="s">
        <v>300</v>
      </c>
      <c r="V132" s="43" t="s">
        <v>300</v>
      </c>
      <c r="W132" s="54">
        <v>45820</v>
      </c>
      <c r="X132" s="69" t="s">
        <v>2137</v>
      </c>
      <c r="Y132" t="e">
        <f>VLOOKUP(A132,#REF!,2,FALSE)</f>
        <v>#REF!</v>
      </c>
    </row>
    <row r="133" spans="1:25" ht="15" customHeight="1">
      <c r="A133" s="358" t="s">
        <v>916</v>
      </c>
      <c r="B133" s="406" t="s">
        <v>50</v>
      </c>
      <c r="C133" s="367">
        <v>45742</v>
      </c>
      <c r="D133" s="419" t="s">
        <v>2141</v>
      </c>
      <c r="E133" s="361"/>
      <c r="F133" s="361"/>
      <c r="G133" s="361"/>
      <c r="H133" s="361">
        <v>38</v>
      </c>
      <c r="I133" s="360"/>
      <c r="J133" s="361" t="s">
        <v>57</v>
      </c>
      <c r="K133" s="361" t="s">
        <v>57</v>
      </c>
      <c r="L133" s="361" t="s">
        <v>63</v>
      </c>
      <c r="M133" s="49" t="s">
        <v>300</v>
      </c>
      <c r="N133" s="49" t="s">
        <v>300</v>
      </c>
      <c r="O133" s="54">
        <v>45701</v>
      </c>
      <c r="P133" s="30" t="s">
        <v>300</v>
      </c>
      <c r="Q133" s="69" t="s">
        <v>300</v>
      </c>
      <c r="R133" s="43" t="s">
        <v>2134</v>
      </c>
      <c r="S133" s="43" t="s">
        <v>300</v>
      </c>
      <c r="T133" s="43" t="s">
        <v>300</v>
      </c>
      <c r="U133" s="43" t="s">
        <v>300</v>
      </c>
      <c r="V133" s="69" t="s">
        <v>300</v>
      </c>
      <c r="W133" s="54">
        <v>45821</v>
      </c>
      <c r="X133" s="69" t="s">
        <v>2137</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300</v>
      </c>
      <c r="O134" s="54">
        <v>45709</v>
      </c>
      <c r="P134" s="30" t="s">
        <v>300</v>
      </c>
      <c r="Q134" s="43" t="s">
        <v>300</v>
      </c>
      <c r="R134" s="43" t="s">
        <v>2134</v>
      </c>
      <c r="S134" s="43" t="s">
        <v>300</v>
      </c>
      <c r="T134" s="43" t="s">
        <v>300</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300</v>
      </c>
      <c r="N135" s="49" t="s">
        <v>300</v>
      </c>
      <c r="O135" s="195">
        <v>45720</v>
      </c>
      <c r="P135" s="49" t="s">
        <v>300</v>
      </c>
      <c r="Q135" s="69" t="s">
        <v>300</v>
      </c>
      <c r="R135" s="43" t="s">
        <v>2134</v>
      </c>
      <c r="S135" s="43" t="s">
        <v>300</v>
      </c>
      <c r="T135" s="43" t="s">
        <v>300</v>
      </c>
      <c r="U135" s="157" t="s">
        <v>300</v>
      </c>
      <c r="V135" s="43" t="s">
        <v>300</v>
      </c>
      <c r="W135" s="54">
        <v>45819</v>
      </c>
      <c r="X135" s="69" t="s">
        <v>2137</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300</v>
      </c>
      <c r="O136" s="54">
        <v>45691</v>
      </c>
      <c r="P136" s="30" t="s">
        <v>300</v>
      </c>
      <c r="Q136" s="43" t="s">
        <v>300</v>
      </c>
      <c r="R136" s="43" t="s">
        <v>2134</v>
      </c>
      <c r="S136" s="43" t="s">
        <v>300</v>
      </c>
      <c r="T136" s="43" t="s">
        <v>300</v>
      </c>
      <c r="U136" s="43" t="s">
        <v>300</v>
      </c>
      <c r="V136" s="43" t="s">
        <v>300</v>
      </c>
      <c r="W136" s="54">
        <v>45791</v>
      </c>
      <c r="X136" s="69" t="s">
        <v>2137</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300</v>
      </c>
      <c r="O137" s="30" t="s">
        <v>300</v>
      </c>
      <c r="P137" s="49" t="s">
        <v>300</v>
      </c>
      <c r="Q137" s="69" t="s">
        <v>300</v>
      </c>
      <c r="R137" s="43" t="s">
        <v>2134</v>
      </c>
      <c r="S137" s="43" t="s">
        <v>300</v>
      </c>
      <c r="T137" s="43" t="s">
        <v>300</v>
      </c>
      <c r="U137" s="157" t="s">
        <v>300</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300</v>
      </c>
      <c r="O138" s="124">
        <v>45707</v>
      </c>
      <c r="P138" s="30" t="s">
        <v>300</v>
      </c>
      <c r="Q138" s="43" t="s">
        <v>300</v>
      </c>
      <c r="R138" s="43" t="s">
        <v>2134</v>
      </c>
      <c r="S138" s="43" t="s">
        <v>300</v>
      </c>
      <c r="T138" s="43" t="s">
        <v>300</v>
      </c>
      <c r="U138" s="43" t="s">
        <v>300</v>
      </c>
      <c r="V138" s="43" t="s">
        <v>300</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300</v>
      </c>
      <c r="N139" s="30" t="s">
        <v>300</v>
      </c>
      <c r="O139" s="30" t="s">
        <v>300</v>
      </c>
      <c r="P139" s="30" t="s">
        <v>300</v>
      </c>
      <c r="Q139" s="43" t="s">
        <v>300</v>
      </c>
      <c r="R139" s="43" t="s">
        <v>2134</v>
      </c>
      <c r="S139" s="43" t="s">
        <v>300</v>
      </c>
      <c r="T139" s="43" t="s">
        <v>300</v>
      </c>
      <c r="U139" s="157" t="s">
        <v>300</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300</v>
      </c>
      <c r="O140" s="54">
        <v>45743</v>
      </c>
      <c r="P140" s="87" t="s">
        <v>300</v>
      </c>
      <c r="Q140" s="88" t="s">
        <v>300</v>
      </c>
      <c r="R140" s="43" t="s">
        <v>2134</v>
      </c>
      <c r="S140" s="43" t="s">
        <v>300</v>
      </c>
      <c r="T140" s="43" t="s">
        <v>300</v>
      </c>
      <c r="U140" s="88" t="s">
        <v>300</v>
      </c>
      <c r="V140" s="69" t="s">
        <v>300</v>
      </c>
      <c r="W140" s="54">
        <v>45819</v>
      </c>
      <c r="X140" s="69" t="s">
        <v>2137</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300</v>
      </c>
      <c r="O141" s="195">
        <v>45743</v>
      </c>
      <c r="P141" s="87" t="s">
        <v>300</v>
      </c>
      <c r="Q141" s="88" t="s">
        <v>300</v>
      </c>
      <c r="R141" s="43" t="s">
        <v>2134</v>
      </c>
      <c r="S141" s="43" t="s">
        <v>300</v>
      </c>
      <c r="T141" s="43" t="s">
        <v>300</v>
      </c>
      <c r="U141" s="88" t="s">
        <v>300</v>
      </c>
      <c r="V141" s="88" t="s">
        <v>300</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300</v>
      </c>
      <c r="N142" s="49" t="s">
        <v>300</v>
      </c>
      <c r="O142" s="195">
        <v>45691</v>
      </c>
      <c r="P142" s="30" t="s">
        <v>300</v>
      </c>
      <c r="Q142" s="69" t="s">
        <v>300</v>
      </c>
      <c r="R142" s="43" t="s">
        <v>2134</v>
      </c>
      <c r="S142" s="43" t="s">
        <v>300</v>
      </c>
      <c r="T142" s="43" t="s">
        <v>300</v>
      </c>
      <c r="U142" s="157" t="s">
        <v>300</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300</v>
      </c>
      <c r="N143" s="49" t="s">
        <v>300</v>
      </c>
      <c r="O143" s="195">
        <v>45675</v>
      </c>
      <c r="P143" s="30" t="s">
        <v>300</v>
      </c>
      <c r="Q143" s="69" t="s">
        <v>300</v>
      </c>
      <c r="R143" s="43" t="s">
        <v>2134</v>
      </c>
      <c r="S143" s="43" t="s">
        <v>300</v>
      </c>
      <c r="T143" s="43" t="s">
        <v>300</v>
      </c>
      <c r="U143" s="157" t="s">
        <v>300</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300</v>
      </c>
      <c r="O144" s="195">
        <v>45749</v>
      </c>
      <c r="P144" s="30" t="s">
        <v>300</v>
      </c>
      <c r="Q144" s="43" t="s">
        <v>300</v>
      </c>
      <c r="R144" s="43" t="s">
        <v>300</v>
      </c>
      <c r="S144" s="43" t="s">
        <v>56</v>
      </c>
      <c r="T144" s="43" t="s">
        <v>300</v>
      </c>
      <c r="U144" s="88" t="s">
        <v>300</v>
      </c>
      <c r="V144" s="88" t="s">
        <v>300</v>
      </c>
      <c r="W144" s="54">
        <v>45888</v>
      </c>
      <c r="X144" s="69" t="s">
        <v>2137</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300</v>
      </c>
      <c r="O148" s="195">
        <v>45744</v>
      </c>
      <c r="P148" s="49" t="s">
        <v>300</v>
      </c>
      <c r="Q148" s="43" t="s">
        <v>300</v>
      </c>
      <c r="R148" s="43" t="s">
        <v>300</v>
      </c>
      <c r="S148" s="43" t="s">
        <v>56</v>
      </c>
      <c r="T148" s="43" t="s">
        <v>300</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300</v>
      </c>
      <c r="O150" s="195">
        <v>45744</v>
      </c>
      <c r="P150" s="100" t="s">
        <v>300</v>
      </c>
      <c r="Q150" s="69" t="s">
        <v>300</v>
      </c>
      <c r="R150" s="43" t="s">
        <v>2134</v>
      </c>
      <c r="S150" s="43" t="s">
        <v>300</v>
      </c>
      <c r="T150" s="43" t="s">
        <v>300</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300</v>
      </c>
      <c r="O151" s="195">
        <v>45698</v>
      </c>
      <c r="P151" s="100" t="s">
        <v>300</v>
      </c>
      <c r="Q151" s="69" t="s">
        <v>300</v>
      </c>
      <c r="R151" s="43" t="s">
        <v>2134</v>
      </c>
      <c r="S151" s="43" t="s">
        <v>300</v>
      </c>
      <c r="T151" s="43" t="s">
        <v>300</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300</v>
      </c>
      <c r="O153" s="195">
        <v>45696</v>
      </c>
      <c r="P153" s="30" t="s">
        <v>300</v>
      </c>
      <c r="Q153" s="69" t="s">
        <v>300</v>
      </c>
      <c r="R153" s="43" t="s">
        <v>2134</v>
      </c>
      <c r="S153" s="43" t="s">
        <v>300</v>
      </c>
      <c r="T153" s="157" t="s">
        <v>300</v>
      </c>
      <c r="U153" s="157" t="s">
        <v>300</v>
      </c>
      <c r="V153" s="43" t="s">
        <v>300</v>
      </c>
      <c r="W153" s="54">
        <v>45807</v>
      </c>
      <c r="X153" s="69" t="s">
        <v>2137</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300</v>
      </c>
      <c r="O154" s="347">
        <v>45696</v>
      </c>
      <c r="P154" s="30" t="s">
        <v>300</v>
      </c>
      <c r="Q154" s="69" t="s">
        <v>300</v>
      </c>
      <c r="R154" s="43" t="s">
        <v>2134</v>
      </c>
      <c r="S154" s="43" t="s">
        <v>300</v>
      </c>
      <c r="T154" s="157" t="s">
        <v>300</v>
      </c>
      <c r="U154" s="157" t="s">
        <v>300</v>
      </c>
      <c r="V154" s="43" t="s">
        <v>300</v>
      </c>
      <c r="W154" s="166">
        <v>45792</v>
      </c>
      <c r="X154" s="148" t="s">
        <v>2137</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300</v>
      </c>
      <c r="O155" s="54">
        <v>45699</v>
      </c>
      <c r="P155" s="49" t="s">
        <v>300</v>
      </c>
      <c r="Q155" s="69" t="s">
        <v>300</v>
      </c>
      <c r="R155" s="43" t="s">
        <v>2134</v>
      </c>
      <c r="S155" s="43" t="s">
        <v>300</v>
      </c>
      <c r="T155" s="43" t="s">
        <v>300</v>
      </c>
      <c r="U155" s="157" t="s">
        <v>300</v>
      </c>
      <c r="V155" s="43" t="s">
        <v>300</v>
      </c>
      <c r="W155" s="356">
        <v>45821</v>
      </c>
      <c r="X155" s="69" t="s">
        <v>2137</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300</v>
      </c>
      <c r="O156" s="54">
        <v>45699</v>
      </c>
      <c r="P156" s="49" t="s">
        <v>300</v>
      </c>
      <c r="Q156" s="69" t="s">
        <v>300</v>
      </c>
      <c r="R156" s="43" t="s">
        <v>2134</v>
      </c>
      <c r="S156" s="43" t="s">
        <v>300</v>
      </c>
      <c r="T156" s="43" t="s">
        <v>300</v>
      </c>
      <c r="U156" s="69" t="s">
        <v>300</v>
      </c>
      <c r="V156" s="69" t="s">
        <v>83</v>
      </c>
      <c r="W156" s="356">
        <v>45747</v>
      </c>
      <c r="X156" s="69" t="s">
        <v>83</v>
      </c>
      <c r="Y156" t="e">
        <f>VLOOKUP(A156,#REF!,2,FALSE)</f>
        <v>#REF!</v>
      </c>
    </row>
    <row r="157" spans="1:25" ht="15" customHeight="1">
      <c r="A157" s="365" t="s">
        <v>1112</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300</v>
      </c>
      <c r="O158" s="54">
        <v>45736</v>
      </c>
      <c r="P158" s="49" t="s">
        <v>300</v>
      </c>
      <c r="Q158" s="69" t="s">
        <v>300</v>
      </c>
      <c r="R158" s="43" t="s">
        <v>2134</v>
      </c>
      <c r="S158" s="43" t="s">
        <v>300</v>
      </c>
      <c r="T158" s="43" t="s">
        <v>300</v>
      </c>
      <c r="U158" s="157" t="s">
        <v>300</v>
      </c>
      <c r="V158" s="157" t="s">
        <v>300</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300</v>
      </c>
      <c r="O159" s="30" t="s">
        <v>300</v>
      </c>
      <c r="P159" s="49" t="s">
        <v>300</v>
      </c>
      <c r="Q159" s="43" t="s">
        <v>300</v>
      </c>
      <c r="R159" s="43" t="s">
        <v>300</v>
      </c>
      <c r="S159" s="43" t="s">
        <v>56</v>
      </c>
      <c r="T159" s="43" t="s">
        <v>300</v>
      </c>
      <c r="U159" s="43" t="s">
        <v>300</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300</v>
      </c>
      <c r="O160" s="54">
        <v>45723</v>
      </c>
      <c r="P160" s="49" t="s">
        <v>300</v>
      </c>
      <c r="Q160" s="43" t="s">
        <v>300</v>
      </c>
      <c r="R160" s="43" t="s">
        <v>300</v>
      </c>
      <c r="S160" s="43" t="s">
        <v>56</v>
      </c>
      <c r="T160" s="43" t="s">
        <v>300</v>
      </c>
      <c r="U160" s="43" t="s">
        <v>300</v>
      </c>
      <c r="V160" s="69" t="s">
        <v>300</v>
      </c>
      <c r="W160" s="356">
        <v>45897</v>
      </c>
      <c r="X160" s="69" t="s">
        <v>2137</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300</v>
      </c>
      <c r="O161" s="156">
        <v>45726</v>
      </c>
      <c r="P161" s="49" t="s">
        <v>300</v>
      </c>
      <c r="Q161" s="43" t="s">
        <v>300</v>
      </c>
      <c r="R161" s="43" t="s">
        <v>300</v>
      </c>
      <c r="S161" s="43" t="s">
        <v>56</v>
      </c>
      <c r="T161" s="43" t="s">
        <v>300</v>
      </c>
      <c r="U161" s="43" t="s">
        <v>300</v>
      </c>
      <c r="V161" s="88" t="s">
        <v>300</v>
      </c>
      <c r="W161" s="54">
        <v>45814</v>
      </c>
      <c r="X161" s="69" t="s">
        <v>2137</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300</v>
      </c>
      <c r="O162" s="579">
        <v>45693</v>
      </c>
      <c r="P162" s="30" t="s">
        <v>300</v>
      </c>
      <c r="Q162" s="43" t="s">
        <v>300</v>
      </c>
      <c r="R162" s="43" t="s">
        <v>300</v>
      </c>
      <c r="S162" s="43" t="s">
        <v>56</v>
      </c>
      <c r="T162" s="43" t="s">
        <v>300</v>
      </c>
      <c r="U162" s="43" t="s">
        <v>300</v>
      </c>
      <c r="V162" s="88" t="s">
        <v>300</v>
      </c>
      <c r="W162" s="356">
        <v>45838</v>
      </c>
      <c r="X162" s="69" t="s">
        <v>2137</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300</v>
      </c>
      <c r="O163" s="54">
        <v>45693</v>
      </c>
      <c r="P163" s="30" t="s">
        <v>300</v>
      </c>
      <c r="Q163" s="69" t="s">
        <v>300</v>
      </c>
      <c r="R163" s="69" t="s">
        <v>300</v>
      </c>
      <c r="S163" s="43" t="s">
        <v>56</v>
      </c>
      <c r="T163" s="43" t="s">
        <v>300</v>
      </c>
      <c r="U163" s="69" t="s">
        <v>300</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300</v>
      </c>
      <c r="N164" s="30" t="s">
        <v>300</v>
      </c>
      <c r="O164" s="40" t="s">
        <v>300</v>
      </c>
      <c r="P164" s="87" t="s">
        <v>300</v>
      </c>
      <c r="Q164" s="43" t="s">
        <v>300</v>
      </c>
      <c r="R164" s="43" t="s">
        <v>300</v>
      </c>
      <c r="S164" s="43" t="s">
        <v>56</v>
      </c>
      <c r="T164" s="43" t="s">
        <v>300</v>
      </c>
      <c r="U164" s="43" t="s">
        <v>300</v>
      </c>
      <c r="V164" s="43" t="s">
        <v>300</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300</v>
      </c>
      <c r="N165" s="30" t="s">
        <v>300</v>
      </c>
      <c r="O165" s="579">
        <v>45818</v>
      </c>
      <c r="P165" s="87" t="s">
        <v>300</v>
      </c>
      <c r="Q165" s="43" t="s">
        <v>300</v>
      </c>
      <c r="R165" s="43" t="s">
        <v>300</v>
      </c>
      <c r="S165" s="43" t="s">
        <v>56</v>
      </c>
      <c r="T165" s="43" t="s">
        <v>300</v>
      </c>
      <c r="U165" s="43" t="s">
        <v>300</v>
      </c>
      <c r="V165" s="43" t="s">
        <v>300</v>
      </c>
      <c r="W165" s="356">
        <v>45854</v>
      </c>
      <c r="X165" s="69" t="s">
        <v>2137</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300</v>
      </c>
      <c r="N166" s="30" t="s">
        <v>300</v>
      </c>
      <c r="O166" s="579">
        <v>45693</v>
      </c>
      <c r="P166" s="87" t="s">
        <v>300</v>
      </c>
      <c r="Q166" s="43" t="s">
        <v>300</v>
      </c>
      <c r="R166" s="43" t="s">
        <v>300</v>
      </c>
      <c r="S166" s="43" t="s">
        <v>56</v>
      </c>
      <c r="T166" s="43" t="s">
        <v>300</v>
      </c>
      <c r="U166" s="43" t="s">
        <v>300</v>
      </c>
      <c r="V166" s="43" t="s">
        <v>300</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300</v>
      </c>
      <c r="O167" s="579">
        <v>45720</v>
      </c>
      <c r="P167" s="87" t="s">
        <v>300</v>
      </c>
      <c r="Q167" s="43" t="s">
        <v>300</v>
      </c>
      <c r="R167" s="43" t="s">
        <v>300</v>
      </c>
      <c r="S167" s="43" t="s">
        <v>56</v>
      </c>
      <c r="T167" s="43" t="s">
        <v>300</v>
      </c>
      <c r="U167" s="43" t="s">
        <v>300</v>
      </c>
      <c r="V167" s="43" t="s">
        <v>300</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300</v>
      </c>
      <c r="O172" s="40" t="s">
        <v>52</v>
      </c>
      <c r="P172" s="87" t="s">
        <v>300</v>
      </c>
      <c r="Q172" s="43" t="s">
        <v>56</v>
      </c>
      <c r="R172" s="43" t="s">
        <v>56</v>
      </c>
      <c r="S172" s="43" t="s">
        <v>56</v>
      </c>
      <c r="T172" s="43" t="s">
        <v>300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2147</v>
      </c>
      <c r="C1" s="1495"/>
      <c r="D1" s="555"/>
      <c r="E1" s="1495" t="s">
        <v>2148</v>
      </c>
      <c r="F1" s="1495"/>
    </row>
    <row r="2" spans="1:25">
      <c r="B2" s="44" t="s">
        <v>2149</v>
      </c>
      <c r="E2" s="44" t="s">
        <v>22</v>
      </c>
      <c r="F2" t="s">
        <v>1083</v>
      </c>
      <c r="P2" s="44" t="s">
        <v>27</v>
      </c>
      <c r="Q2" t="s">
        <v>2150</v>
      </c>
    </row>
    <row r="3" spans="1:25">
      <c r="B3" s="44" t="s">
        <v>22</v>
      </c>
      <c r="C3" t="s">
        <v>1089</v>
      </c>
      <c r="K3" s="44" t="s">
        <v>2151</v>
      </c>
      <c r="L3" t="s">
        <v>2152</v>
      </c>
      <c r="P3" s="44" t="s">
        <v>2151</v>
      </c>
      <c r="Q3" t="s">
        <v>2152</v>
      </c>
    </row>
    <row r="4" spans="1:25">
      <c r="B4" t="s">
        <v>139</v>
      </c>
      <c r="C4" s="1499">
        <v>44534</v>
      </c>
      <c r="E4" s="44" t="s">
        <v>2149</v>
      </c>
      <c r="F4" t="s">
        <v>1089</v>
      </c>
      <c r="W4" t="s">
        <v>2153</v>
      </c>
      <c r="X4">
        <v>22</v>
      </c>
    </row>
    <row r="5" spans="1:25">
      <c r="B5" t="s">
        <v>187</v>
      </c>
      <c r="C5" s="1499">
        <v>21010</v>
      </c>
      <c r="E5" t="s">
        <v>1089</v>
      </c>
      <c r="F5" s="1499">
        <v>111233</v>
      </c>
      <c r="K5" s="44" t="s">
        <v>2154</v>
      </c>
      <c r="P5" s="44" t="s">
        <v>2154</v>
      </c>
      <c r="W5" t="s">
        <v>2155</v>
      </c>
      <c r="X5">
        <v>13</v>
      </c>
    </row>
    <row r="6" spans="1:25">
      <c r="B6" t="s">
        <v>1116</v>
      </c>
      <c r="C6" s="1499">
        <v>192105</v>
      </c>
      <c r="K6" s="44" t="s">
        <v>27</v>
      </c>
      <c r="L6" s="44" t="s">
        <v>2156</v>
      </c>
      <c r="M6" t="s">
        <v>1089</v>
      </c>
      <c r="P6" s="44" t="s">
        <v>2157</v>
      </c>
      <c r="Q6" s="44" t="s">
        <v>2156</v>
      </c>
      <c r="R6" t="s">
        <v>1089</v>
      </c>
    </row>
    <row r="7" spans="1:25">
      <c r="B7" t="s">
        <v>51</v>
      </c>
      <c r="C7" s="1499">
        <v>446</v>
      </c>
      <c r="K7" t="s">
        <v>2150</v>
      </c>
      <c r="L7" t="s">
        <v>666</v>
      </c>
      <c r="M7" s="1499">
        <v>1</v>
      </c>
      <c r="P7" t="s">
        <v>2158</v>
      </c>
      <c r="R7" s="1499">
        <v>1</v>
      </c>
      <c r="X7" t="s">
        <v>2159</v>
      </c>
      <c r="Y7" t="s">
        <v>2160</v>
      </c>
    </row>
    <row r="8" spans="1:25">
      <c r="B8" t="s">
        <v>22</v>
      </c>
      <c r="C8" s="1499">
        <v>0</v>
      </c>
      <c r="L8" t="s">
        <v>668</v>
      </c>
      <c r="M8" s="1499">
        <v>1</v>
      </c>
      <c r="P8" t="s">
        <v>2161</v>
      </c>
      <c r="R8" s="1499">
        <v>1</v>
      </c>
      <c r="V8" t="s">
        <v>2162</v>
      </c>
      <c r="W8" s="257">
        <v>203521</v>
      </c>
      <c r="X8" s="313">
        <f>X5/X4</f>
        <v>0.59090909090909094</v>
      </c>
      <c r="Y8" s="313">
        <f>W9/W8</f>
        <v>0.31446386367991508</v>
      </c>
    </row>
    <row r="9" spans="1:25">
      <c r="B9" t="s">
        <v>198</v>
      </c>
      <c r="C9" s="1499">
        <v>10811</v>
      </c>
      <c r="L9" t="s">
        <v>2163</v>
      </c>
      <c r="M9" s="1499">
        <v>1</v>
      </c>
      <c r="P9" t="s">
        <v>2164</v>
      </c>
      <c r="Q9" t="s">
        <v>2163</v>
      </c>
      <c r="R9" s="1499">
        <v>1</v>
      </c>
      <c r="V9" t="s">
        <v>2165</v>
      </c>
      <c r="W9">
        <v>64000</v>
      </c>
    </row>
    <row r="10" spans="1:25">
      <c r="B10" t="s">
        <v>209</v>
      </c>
      <c r="C10" s="1499">
        <v>23096</v>
      </c>
      <c r="L10" t="s">
        <v>860</v>
      </c>
      <c r="M10" s="1499">
        <v>1</v>
      </c>
      <c r="Q10" t="s">
        <v>864</v>
      </c>
      <c r="R10" s="1499">
        <v>1</v>
      </c>
    </row>
    <row r="11" spans="1:25">
      <c r="B11" t="s">
        <v>181</v>
      </c>
      <c r="C11" s="1499">
        <v>103</v>
      </c>
      <c r="L11" t="s">
        <v>864</v>
      </c>
      <c r="M11" s="1499">
        <v>1</v>
      </c>
      <c r="Q11" t="s">
        <v>867</v>
      </c>
      <c r="R11" s="1499">
        <v>1</v>
      </c>
    </row>
    <row r="12" spans="1:25">
      <c r="B12" t="s">
        <v>123</v>
      </c>
      <c r="C12" s="1499">
        <v>13766</v>
      </c>
      <c r="L12" t="s">
        <v>867</v>
      </c>
      <c r="M12" s="1499">
        <v>1</v>
      </c>
      <c r="Q12" t="s">
        <v>2166</v>
      </c>
      <c r="R12" s="1499">
        <v>1</v>
      </c>
    </row>
    <row r="13" spans="1:25">
      <c r="B13" t="s">
        <v>157</v>
      </c>
      <c r="C13" s="1499">
        <v>3</v>
      </c>
      <c r="L13" t="s">
        <v>2167</v>
      </c>
      <c r="M13" s="1499">
        <v>1</v>
      </c>
      <c r="Q13" t="s">
        <v>1043</v>
      </c>
      <c r="R13" s="1499">
        <v>1</v>
      </c>
    </row>
    <row r="14" spans="1:25">
      <c r="B14" t="s">
        <v>76</v>
      </c>
      <c r="C14" s="1499">
        <v>831</v>
      </c>
      <c r="L14" t="s">
        <v>881</v>
      </c>
      <c r="M14" s="1499">
        <v>1</v>
      </c>
      <c r="P14" t="s">
        <v>2168</v>
      </c>
      <c r="R14" s="1499">
        <v>5</v>
      </c>
    </row>
    <row r="15" spans="1:25">
      <c r="B15" t="s">
        <v>242</v>
      </c>
      <c r="C15" s="1499">
        <v>8622</v>
      </c>
      <c r="L15" t="s">
        <v>2166</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344420</v>
      </c>
      <c r="L18" t="s">
        <v>889</v>
      </c>
      <c r="M18" s="1499">
        <v>1</v>
      </c>
    </row>
    <row r="19" spans="2:13">
      <c r="L19" t="s">
        <v>893</v>
      </c>
      <c r="M19" s="1499">
        <v>1</v>
      </c>
    </row>
    <row r="20" spans="2:13">
      <c r="L20" t="s">
        <v>897</v>
      </c>
      <c r="M20" s="1499">
        <v>1</v>
      </c>
    </row>
    <row r="21" spans="2:13">
      <c r="L21" t="s">
        <v>2169</v>
      </c>
      <c r="M21" s="1499">
        <v>1</v>
      </c>
    </row>
    <row r="22" spans="2:13">
      <c r="L22" t="s">
        <v>1043</v>
      </c>
      <c r="M22" s="1499">
        <v>1</v>
      </c>
    </row>
    <row r="23" spans="2:13">
      <c r="L23" t="s">
        <v>929</v>
      </c>
      <c r="M23" s="1499">
        <v>1</v>
      </c>
    </row>
    <row r="24" spans="2:13">
      <c r="L24" t="s">
        <v>958</v>
      </c>
      <c r="M24" s="1499">
        <v>1</v>
      </c>
    </row>
    <row r="25" spans="2:13">
      <c r="L25" t="s">
        <v>153</v>
      </c>
      <c r="M25" s="1499">
        <v>1</v>
      </c>
    </row>
    <row r="26" spans="2:13">
      <c r="K26" t="s">
        <v>2170</v>
      </c>
      <c r="M26" s="1499">
        <v>19</v>
      </c>
    </row>
    <row r="27" spans="2:13">
      <c r="K27" t="s">
        <v>2171</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2172</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2173</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653</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1113</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1130</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1138</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1115</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512</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1110</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1136</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508</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1114</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958</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929</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932</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875</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877</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860</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864</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867</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1043</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895</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899</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887</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881</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883</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879</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889</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893</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897</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518</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515</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666</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668</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717</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711</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709</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715</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691</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693</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689</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747</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689</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691</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693</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1089</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1398D12-2B18-465D-B463-974DEAC869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2026-01-21T15:41:37Z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