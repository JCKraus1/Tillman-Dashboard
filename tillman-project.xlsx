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23" documentId="120_S{26355A1A-C9FF-5539-9B49-32C1F08D0326}" xr6:coauthVersionLast="47" xr6:coauthVersionMax="47" xr10:uidLastSave="{10A2F8B3-1A7A-46C1-A7BA-E16A05CB5653}"/>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state="hidden" r:id="rId7"/>
    <sheet name="Completed Jobs Summary" sheetId="18" state="hidden" r:id="rId8"/>
    <sheet name="Project Summary " sheetId="23" state="hidden"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575" r:id="rId10"/>
    <pivotCache cacheId="576" r:id="rId11"/>
    <pivotCache cacheId="577" r:id="rId12"/>
    <pivotCache cacheId="578" r:id="rId13"/>
    <pivotCache cacheId="579"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<sst xmlns="http://schemas.openxmlformats.org/spreadsheetml/2006/main" count="18255" uniqueCount="2284">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</sst>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46814814817"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4681539351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46815393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46815509256"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46815509256"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837"/>
    <m/>
    <m/>
  </r>
  <r>
    <x v="365"/>
    <x v="5"/>
    <x v="269"/>
    <m/>
    <m/>
    <s v="FDH"/>
  </r>
  <r>
    <x v="360"/>
    <x v="39"/>
    <x v="269"/>
    <n v="1044"/>
    <m/>
    <s v="13 Toby Boxes / 6 Daps / 29 Splices"/>
  </r>
  <r>
    <x v="332"/>
    <x v="29"/>
    <x v="269"/>
    <n v="1274"/>
    <m/>
    <m/>
  </r>
  <r>
    <x v="364"/>
    <x v="29"/>
    <x v="269"/>
    <n v="1099"/>
    <m/>
    <m/>
  </r>
  <r>
    <x v="366"/>
    <x v="40"/>
    <x v="269"/>
    <n v="475"/>
    <m/>
    <s v="8 Toby Boxes / 8 Daps / 16 Splices"/>
  </r>
  <r>
    <x v="360"/>
    <x v="39"/>
    <x v="270"/>
    <m/>
    <m/>
    <s v="FDH / Proofing"/>
  </r>
  <r>
    <x v="367"/>
    <x v="5"/>
    <x v="270"/>
    <m/>
    <m/>
    <m/>
  </r>
  <r>
    <x v="332"/>
    <x v="29"/>
    <x v="270"/>
    <m/>
    <m/>
    <m/>
  </r>
  <r>
    <x v="363"/>
    <x v="26"/>
    <x v="270"/>
    <m/>
    <m/>
    <m/>
  </r>
  <r>
    <x v="125"/>
    <x v="15"/>
    <x v="2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1" activePane="topRight" state="frozen"/>
      <selection pane="topRight" activeCell="AD5" sqref="AD5"/>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1355">
        <v>6091</v>
      </c>
      <c r="X3" s="903">
        <f>SUM(V3-W3)</f>
        <v>1</v>
      </c>
      <c r="Y3" s="526">
        <f t="shared" si="1"/>
        <v>0.99983585029546951</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B33" activePane="topRight" state="frozen"/>
      <selection pane="topRight" activeCell="A33" sqref="A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B65" activePane="topRight" state="frozen"/>
      <selection pane="topRight" activeCell="A70" sqref="A7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s="50">
        <v>46077</v>
      </c>
      <c r="D1349" t="s">
        <v>1156</v>
      </c>
    </row>
    <row r="1350" spans="1:7">
      <c r="A1350" t="s">
        <v>1179</v>
      </c>
      <c r="B1350">
        <v>837</v>
      </c>
      <c r="D1350">
        <v>837</v>
      </c>
    </row>
    <row r="1351" spans="1:7">
      <c r="A1351" t="s">
        <v>202</v>
      </c>
      <c r="B1351">
        <v>1274</v>
      </c>
      <c r="D1351">
        <v>1274</v>
      </c>
    </row>
    <row r="1352" spans="1:7">
      <c r="A1352" t="s">
        <v>89</v>
      </c>
      <c r="B1352">
        <v>1044</v>
      </c>
      <c r="D1352">
        <v>1044</v>
      </c>
    </row>
    <row r="1353" spans="1:7">
      <c r="A1353" t="s">
        <v>199</v>
      </c>
    </row>
    <row r="1354" spans="1:7">
      <c r="A1354" t="s">
        <v>220</v>
      </c>
      <c r="B1354">
        <v>1099</v>
      </c>
      <c r="D1354">
        <v>1099</v>
      </c>
    </row>
    <row r="1355" spans="1:7">
      <c r="A1355" t="s">
        <v>383</v>
      </c>
    </row>
    <row r="1356" spans="1:7">
      <c r="A1356" t="s">
        <v>1237</v>
      </c>
      <c r="B1356">
        <v>475</v>
      </c>
      <c r="D1356">
        <v>475</v>
      </c>
    </row>
    <row r="1357" spans="1:7">
      <c r="A1357" t="s">
        <v>79</v>
      </c>
    </row>
    <row r="1358" spans="1:7">
      <c r="A1358" t="s">
        <v>1239</v>
      </c>
      <c r="B1358">
        <v>201</v>
      </c>
      <c r="D1358">
        <v>201</v>
      </c>
    </row>
    <row r="1359" spans="1:7">
      <c r="A1359" t="s">
        <v>1156</v>
      </c>
      <c r="B1359">
        <v>4930</v>
      </c>
      <c r="D1359">
        <v>4930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06"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837</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row r="2723" spans="1:7">
      <c r="A2723" s="243" t="s">
        <v>89</v>
      </c>
      <c r="B2723" s="243" t="s">
        <v>998</v>
      </c>
      <c r="C2723" s="24">
        <v>46077</v>
      </c>
      <c r="F2723" s="243" t="s">
        <v>1886</v>
      </c>
      <c r="G2723" t="s">
        <v>1160</v>
      </c>
    </row>
    <row r="2724" spans="1:7">
      <c r="A2724" s="247" t="s">
        <v>79</v>
      </c>
      <c r="B2724" s="247" t="s">
        <v>107</v>
      </c>
      <c r="C2724" s="24">
        <v>46077</v>
      </c>
      <c r="G2724" t="s">
        <v>1160</v>
      </c>
    </row>
    <row r="2725" spans="1:7">
      <c r="A2725" s="243" t="s">
        <v>202</v>
      </c>
      <c r="B2725" s="243" t="s">
        <v>203</v>
      </c>
      <c r="C2725" s="24">
        <v>46077</v>
      </c>
      <c r="G2725" t="s">
        <v>1160</v>
      </c>
    </row>
    <row r="2726" spans="1:7">
      <c r="A2726" s="247" t="s">
        <v>199</v>
      </c>
      <c r="B2726" s="247" t="s">
        <v>154</v>
      </c>
      <c r="C2726" s="24">
        <v>46077</v>
      </c>
      <c r="G2726"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B6D84F-D88F-4723-8DD6-09FE3E81A29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2026-02-24T13:58:14Z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