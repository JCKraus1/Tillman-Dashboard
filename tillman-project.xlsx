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57" documentId="8_{E14B221E-02E2-46A3-8CEC-C736815F2DD5}" xr6:coauthVersionLast="47" xr6:coauthVersionMax="47" xr10:uidLastSave="{4A7A8EEC-320A-4E45-8DB3-6DAC6E1AFE2F}"/>
  <bookViews>
    <workbookView minimized="1" xWindow="1800" yWindow="325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5347" r:id="rId12"/>
    <pivotCache cacheId="5352" r:id="rId13"/>
    <pivotCache cacheId="5359" r:id="rId14"/>
    <pivotCache cacheId="5365" r:id="rId15"/>
    <pivotCache cacheId="53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18" i="31"/>
  <c r="X18" i="31"/>
  <c r="Y25" i="2"/>
  <c r="X25" i="2"/>
  <c r="X148" i="2"/>
  <c r="Y148" i="2"/>
  <c r="Y13" i="31"/>
  <c r="X13" i="31"/>
  <c r="Y11" i="31"/>
  <c r="X11" i="31"/>
  <c r="Y14" i="31"/>
  <c r="X14" i="31"/>
  <c r="Y23" i="32"/>
  <c r="X23" i="32"/>
  <c r="Y35" i="2"/>
  <c r="X35" i="2"/>
  <c r="Y60" i="2"/>
  <c r="X60" i="2"/>
  <c r="Y68" i="2"/>
  <c r="Y65" i="2"/>
  <c r="Y63" i="2"/>
  <c r="X65" i="2"/>
  <c r="X63" i="2"/>
  <c r="Y20" i="32"/>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5" i="2"/>
  <c r="Y95" i="2"/>
  <c r="X99" i="2"/>
  <c r="Y99" i="2"/>
  <c r="Y64" i="2"/>
  <c r="X64" i="2"/>
  <c r="Y9" i="32"/>
  <c r="X9" i="32"/>
  <c r="Y12" i="32"/>
  <c r="X12" i="32"/>
  <c r="X19" i="32"/>
  <c r="Y19" i="32"/>
  <c r="U94" i="30"/>
  <c r="Y5" i="32"/>
  <c r="X5" i="32"/>
  <c r="Y25" i="31"/>
  <c r="X25" i="31"/>
  <c r="X28" i="32"/>
  <c r="Y28" i="32"/>
  <c r="Y22" i="32"/>
  <c r="X22" i="32"/>
  <c r="X68" i="2"/>
  <c r="X78" i="2"/>
  <c r="Y78" i="2"/>
  <c r="U88" i="30"/>
  <c r="Y10" i="31"/>
  <c r="X10" i="31"/>
  <c r="Y20" i="31"/>
  <c r="X20" i="31"/>
  <c r="Y16" i="31"/>
  <c r="X16" i="31"/>
  <c r="X16" i="2"/>
  <c r="Y16" i="2"/>
  <c r="X17" i="2"/>
  <c r="Y17" i="2"/>
  <c r="X18" i="2"/>
  <c r="Y18" i="2"/>
  <c r="X19" i="2"/>
  <c r="Y19" i="2"/>
  <c r="X20" i="2"/>
  <c r="Y20" i="2"/>
  <c r="Y21" i="2"/>
  <c r="X21" i="2"/>
  <c r="X49" i="2"/>
  <c r="X134" i="2"/>
  <c r="X135" i="2"/>
  <c r="X136" i="2"/>
  <c r="X137" i="2"/>
  <c r="X138" i="2"/>
  <c r="X139" i="2"/>
  <c r="X140" i="2"/>
  <c r="X141" i="2"/>
  <c r="X142" i="2"/>
  <c r="X143" i="2"/>
  <c r="X144" i="2"/>
  <c r="X145" i="2"/>
  <c r="X146" i="2"/>
  <c r="X147" i="2"/>
  <c r="X149" i="2"/>
  <c r="X133" i="2"/>
  <c r="X75" i="2"/>
  <c r="X76" i="2"/>
  <c r="X77" i="2"/>
  <c r="X79" i="2"/>
  <c r="X80" i="2"/>
  <c r="X81" i="2"/>
  <c r="X82" i="2"/>
  <c r="X83" i="2"/>
  <c r="X84" i="2"/>
  <c r="X85" i="2"/>
  <c r="X86" i="2"/>
  <c r="X87" i="2"/>
  <c r="X88" i="2"/>
  <c r="X89" i="2"/>
  <c r="X90" i="2"/>
  <c r="X91" i="2"/>
  <c r="X92" i="2"/>
  <c r="X93" i="2"/>
  <c r="X94" i="2"/>
  <c r="X96" i="2"/>
  <c r="X97" i="2"/>
  <c r="X98" i="2"/>
  <c r="X100" i="2"/>
  <c r="X101" i="2"/>
  <c r="X102" i="2"/>
  <c r="X103" i="2"/>
  <c r="X104" i="2"/>
  <c r="X105" i="2"/>
  <c r="X106" i="2"/>
  <c r="X107" i="2"/>
  <c r="X108" i="2"/>
  <c r="X109" i="2"/>
  <c r="X110" i="2"/>
  <c r="X111" i="2"/>
  <c r="X112" i="2"/>
  <c r="X113" i="2"/>
  <c r="X114" i="2"/>
  <c r="X115" i="2"/>
  <c r="X116"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3" i="2"/>
  <c r="Y134" i="2"/>
  <c r="Y135" i="2"/>
  <c r="Y136" i="2"/>
  <c r="Y137" i="2"/>
  <c r="Y138" i="2"/>
  <c r="Y139" i="2"/>
  <c r="Y140" i="2"/>
  <c r="Y141" i="2"/>
  <c r="Y142" i="2"/>
  <c r="Y143" i="2"/>
  <c r="Y144" i="2"/>
  <c r="Y145" i="2"/>
  <c r="Y146" i="2"/>
  <c r="Y147" i="2"/>
  <c r="Y149" i="2"/>
  <c r="Y86" i="2"/>
  <c r="Y87" i="2"/>
  <c r="Y88" i="2"/>
  <c r="Y89" i="2"/>
  <c r="Y90" i="2"/>
  <c r="Y91" i="2"/>
  <c r="Y92" i="2"/>
  <c r="Y93" i="2"/>
  <c r="Y94" i="2"/>
  <c r="Y96" i="2"/>
  <c r="Y97" i="2"/>
  <c r="Y98" i="2"/>
  <c r="Y100" i="2"/>
  <c r="Y101" i="2"/>
  <c r="Y102" i="2"/>
  <c r="Y103" i="2"/>
  <c r="Y104" i="2"/>
  <c r="Y105" i="2"/>
  <c r="Y77" i="2"/>
  <c r="Y79" i="2"/>
  <c r="Y80" i="2"/>
  <c r="Y69" i="2"/>
  <c r="Y70" i="2"/>
  <c r="Y55" i="2"/>
  <c r="Y42" i="2"/>
  <c r="Y24" i="2"/>
  <c r="Y26" i="2"/>
  <c r="Y116" i="2"/>
  <c r="Y115" i="2"/>
  <c r="Y114" i="2"/>
  <c r="Y113" i="2"/>
  <c r="Y112" i="2"/>
  <c r="Y111" i="2"/>
  <c r="Y110" i="2"/>
  <c r="Y109" i="2"/>
  <c r="Y108" i="2"/>
  <c r="Y107" i="2"/>
  <c r="Y106"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7" i="31"/>
  <c r="X17" i="31"/>
  <c r="Y15" i="31"/>
  <c r="X15"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<sst xmlns="http://schemas.openxmlformats.org/spreadsheetml/2006/main" count="14103" uniqueCount="1729">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</sst>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14"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6" totalsRowShown="0" headerRowDxfId="207" tableBorderDxfId="206">
  <autoFilter ref="A73: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9" totalsRowShown="0" tableBorderDxfId="114">
  <autoFilter ref="A119: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B73" activePane="topRight" state="frozen"/>
      <selection pane="topRight" activeCell="A15" sqref="A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6"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6"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45960</v>
      </c>
      <c r="D96" s="489" t="s">
        <v>239</v>
      </c>
      <c r="E96" s="490">
        <v>45966</v>
      </c>
      <c r="F96" s="489" t="s">
        <v>240</v>
      </c>
      <c r="G96" s="887"/>
      <c r="H96" s="492">
        <v>0</v>
      </c>
      <c r="I96" s="892" t="s">
        <v>55</v>
      </c>
      <c r="J96" s="492" t="s">
        <v>63</v>
      </c>
      <c r="K96" s="504"/>
      <c r="L96" s="490"/>
      <c r="M96" s="492" t="s">
        <v>57</v>
      </c>
      <c r="N96" s="561">
        <v>29960</v>
      </c>
      <c r="O96" s="492" t="s">
        <v>57</v>
      </c>
      <c r="P96" s="817" t="s">
        <v>64</v>
      </c>
      <c r="Q96" s="493">
        <v>45922</v>
      </c>
      <c r="R96" s="493"/>
      <c r="S96" s="493"/>
      <c r="T96" s="493"/>
      <c r="U96" s="493"/>
      <c r="V96" s="913">
        <v>2372</v>
      </c>
      <c r="W96" s="772">
        <v>1413</v>
      </c>
      <c r="X96" s="486">
        <f t="shared" si="6"/>
        <v>959</v>
      </c>
      <c r="Y96" s="688">
        <f t="shared" si="5"/>
        <v>0.59569983136593596</v>
      </c>
      <c r="Z96" s="493">
        <v>45968</v>
      </c>
      <c r="AA96" s="366">
        <v>0</v>
      </c>
      <c r="AB96" s="366">
        <v>0</v>
      </c>
      <c r="AC96" s="41">
        <v>0</v>
      </c>
      <c r="AD96" s="173" t="s">
        <v>262</v>
      </c>
      <c r="AE96" s="101"/>
    </row>
    <row r="97" spans="1:31" ht="24.75" customHeight="1">
      <c r="A97" s="941" t="s">
        <v>263</v>
      </c>
      <c r="B97" s="895" t="s">
        <v>213</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264</v>
      </c>
      <c r="AE97" s="101"/>
    </row>
    <row r="98" spans="1:31" ht="24.75" customHeight="1">
      <c r="A98" s="941" t="s">
        <v>265</v>
      </c>
      <c r="B98" s="895" t="s">
        <v>213</v>
      </c>
      <c r="C98" s="481">
        <v>46002</v>
      </c>
      <c r="D98" s="489"/>
      <c r="E98" s="490"/>
      <c r="F98" s="489"/>
      <c r="G98" s="491"/>
      <c r="H98" s="492">
        <v>0</v>
      </c>
      <c r="I98" s="892" t="s">
        <v>55</v>
      </c>
      <c r="J98" s="492" t="s">
        <v>63</v>
      </c>
      <c r="K98" s="483"/>
      <c r="L98" s="490"/>
      <c r="M98" s="492" t="s">
        <v>57</v>
      </c>
      <c r="N98" s="561">
        <v>1675.2</v>
      </c>
      <c r="O98" s="492" t="s">
        <v>57</v>
      </c>
      <c r="P98" s="817" t="s">
        <v>58</v>
      </c>
      <c r="Q98" s="493"/>
      <c r="R98" s="493"/>
      <c r="S98" s="493"/>
      <c r="T98" s="493"/>
      <c r="U98" s="493"/>
      <c r="V98" s="41">
        <v>123</v>
      </c>
      <c r="W98" s="486"/>
      <c r="X98" s="486">
        <f t="shared" si="6"/>
        <v>123</v>
      </c>
      <c r="Y98" s="688">
        <f t="shared" si="5"/>
        <v>0</v>
      </c>
      <c r="Z98" s="363"/>
      <c r="AA98" s="366">
        <v>0</v>
      </c>
      <c r="AB98" s="366">
        <v>0</v>
      </c>
      <c r="AC98" s="41">
        <v>0</v>
      </c>
      <c r="AD98" s="787" t="s">
        <v>266</v>
      </c>
      <c r="AE98" s="101"/>
    </row>
    <row r="99" spans="1:31" ht="24.75" customHeight="1">
      <c r="A99" s="941" t="s">
        <v>267</v>
      </c>
      <c r="B99" s="895" t="s">
        <v>213</v>
      </c>
      <c r="C99" s="481">
        <v>46009</v>
      </c>
      <c r="D99" s="489"/>
      <c r="E99" s="490"/>
      <c r="F99" s="489"/>
      <c r="G99" s="491"/>
      <c r="H99" s="492">
        <v>0</v>
      </c>
      <c r="I99" s="892" t="s">
        <v>55</v>
      </c>
      <c r="J99" s="492" t="s">
        <v>63</v>
      </c>
      <c r="K99" s="483"/>
      <c r="L99" s="490"/>
      <c r="M99" s="492" t="s">
        <v>57</v>
      </c>
      <c r="N99" s="561">
        <v>105558.2</v>
      </c>
      <c r="O99" s="492" t="s">
        <v>57</v>
      </c>
      <c r="P99" s="817" t="s">
        <v>58</v>
      </c>
      <c r="Q99" s="493"/>
      <c r="R99" s="493"/>
      <c r="S99" s="493"/>
      <c r="T99" s="493"/>
      <c r="U99" s="493"/>
      <c r="V99" s="41">
        <v>7753</v>
      </c>
      <c r="W99" s="486"/>
      <c r="X99" s="486">
        <f>SUM(V99-W99)</f>
        <v>7753</v>
      </c>
      <c r="Y99" s="688">
        <f>IFERROR($W99/$V99, 0)</f>
        <v>0</v>
      </c>
      <c r="Z99" s="363"/>
      <c r="AA99" s="366">
        <v>0</v>
      </c>
      <c r="AB99" s="366">
        <v>0</v>
      </c>
      <c r="AC99" s="41">
        <v>0</v>
      </c>
      <c r="AD99" s="488" t="s">
        <v>268</v>
      </c>
      <c r="AE99" s="101"/>
    </row>
    <row r="100" spans="1:31" ht="24.75" customHeight="1">
      <c r="A100" s="941" t="s">
        <v>269</v>
      </c>
      <c r="B100" s="895" t="s">
        <v>213</v>
      </c>
      <c r="C100" s="481">
        <v>45960</v>
      </c>
      <c r="D100" s="489" t="s">
        <v>60</v>
      </c>
      <c r="E100" s="490">
        <v>45867</v>
      </c>
      <c r="F100" s="489" t="s">
        <v>217</v>
      </c>
      <c r="G100" s="887" t="s">
        <v>270</v>
      </c>
      <c r="H100" s="492">
        <v>0</v>
      </c>
      <c r="I100" s="892" t="s">
        <v>55</v>
      </c>
      <c r="J100" s="492" t="s">
        <v>63</v>
      </c>
      <c r="K100" s="483"/>
      <c r="L100" s="490"/>
      <c r="M100" s="492" t="s">
        <v>57</v>
      </c>
      <c r="N100" s="561">
        <v>144972.5</v>
      </c>
      <c r="O100" s="492" t="s">
        <v>57</v>
      </c>
      <c r="P100" s="817" t="s">
        <v>64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271</v>
      </c>
      <c r="B101" s="895" t="s">
        <v>213</v>
      </c>
      <c r="C101" s="481">
        <v>45960</v>
      </c>
      <c r="D101" s="489" t="s">
        <v>239</v>
      </c>
      <c r="E101" s="490">
        <v>45923</v>
      </c>
      <c r="F101" s="489" t="s">
        <v>240</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262</v>
      </c>
      <c r="AE101" s="101"/>
    </row>
    <row r="102" spans="1:31" ht="24.75" customHeight="1">
      <c r="A102" s="941" t="s">
        <v>272</v>
      </c>
      <c r="B102" s="895" t="s">
        <v>213</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273</v>
      </c>
      <c r="B103" s="895" t="s">
        <v>213</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245</v>
      </c>
      <c r="AE103" s="101"/>
    </row>
    <row r="104" spans="1:31" ht="24.75" customHeight="1">
      <c r="A104" s="941" t="s">
        <v>274</v>
      </c>
      <c r="B104" s="508" t="s">
        <v>275</v>
      </c>
      <c r="C104" s="481">
        <v>46053</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276</v>
      </c>
      <c r="AE104" s="101"/>
    </row>
    <row r="105" spans="1:31" ht="24.75" customHeight="1">
      <c r="A105" s="942" t="s">
        <v>277</v>
      </c>
      <c r="B105" s="508" t="s">
        <v>275</v>
      </c>
      <c r="C105" s="481">
        <v>46053</v>
      </c>
      <c r="D105" s="489"/>
      <c r="E105" s="490"/>
      <c r="F105" s="489"/>
      <c r="G105" s="491"/>
      <c r="H105" s="492">
        <v>30</v>
      </c>
      <c r="I105" s="892" t="s">
        <v>55</v>
      </c>
      <c r="J105" s="896" t="s">
        <v>63</v>
      </c>
      <c r="K105" s="483" t="s">
        <v>244</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1" t="s">
        <v>278</v>
      </c>
      <c r="B106" s="508" t="s">
        <v>275</v>
      </c>
      <c r="C106" s="481">
        <v>46053</v>
      </c>
      <c r="D106" s="489"/>
      <c r="E106" s="490"/>
      <c r="F106" s="489"/>
      <c r="G106" s="491"/>
      <c r="H106" s="492">
        <v>86</v>
      </c>
      <c r="I106" s="892" t="s">
        <v>55</v>
      </c>
      <c r="J106" s="896" t="s">
        <v>63</v>
      </c>
      <c r="K106" s="483"/>
      <c r="L106" s="490"/>
      <c r="M106" s="492" t="s">
        <v>57</v>
      </c>
      <c r="N106" s="561">
        <v>111432</v>
      </c>
      <c r="O106" s="492" t="s">
        <v>57</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t="s">
        <v>279</v>
      </c>
      <c r="AE106" s="101"/>
    </row>
    <row r="107" spans="1:31" ht="24.75" customHeight="1">
      <c r="A107" s="942" t="s">
        <v>280</v>
      </c>
      <c r="B107" s="508" t="s">
        <v>275</v>
      </c>
      <c r="C107" s="481">
        <v>46053</v>
      </c>
      <c r="D107" s="489"/>
      <c r="E107" s="490"/>
      <c r="F107" s="489"/>
      <c r="G107" s="491"/>
      <c r="H107" s="492">
        <v>73</v>
      </c>
      <c r="I107" s="892" t="s">
        <v>55</v>
      </c>
      <c r="J107" s="896" t="s">
        <v>63</v>
      </c>
      <c r="K107" s="483" t="s">
        <v>244</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281</v>
      </c>
      <c r="B108" s="508" t="s">
        <v>275</v>
      </c>
      <c r="C108" s="481">
        <v>46053</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282</v>
      </c>
      <c r="AE108" s="101"/>
    </row>
    <row r="109" spans="1:31" ht="24.75" customHeight="1">
      <c r="A109" s="941" t="s">
        <v>283</v>
      </c>
      <c r="B109" s="508" t="s">
        <v>275</v>
      </c>
      <c r="C109" s="481">
        <v>46053</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282</v>
      </c>
      <c r="AE109" s="101"/>
    </row>
    <row r="110" spans="1:31" ht="24.75" customHeight="1">
      <c r="A110" s="941" t="s">
        <v>284</v>
      </c>
      <c r="B110" s="508" t="s">
        <v>275</v>
      </c>
      <c r="C110" s="481">
        <v>46053</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276</v>
      </c>
      <c r="AE110" s="101"/>
    </row>
    <row r="111" spans="1:31" ht="24.75" customHeight="1">
      <c r="A111" s="941" t="s">
        <v>285</v>
      </c>
      <c r="B111" s="508" t="s">
        <v>275</v>
      </c>
      <c r="C111" s="481">
        <v>46053</v>
      </c>
      <c r="D111" s="489" t="s">
        <v>239</v>
      </c>
      <c r="E111" s="490">
        <v>45964</v>
      </c>
      <c r="F111" s="489" t="s">
        <v>217</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276</v>
      </c>
      <c r="AE111" s="101"/>
    </row>
    <row r="112" spans="1:31" ht="24.75" customHeight="1">
      <c r="A112" s="942" t="s">
        <v>286</v>
      </c>
      <c r="B112" s="508" t="s">
        <v>275</v>
      </c>
      <c r="C112" s="481">
        <v>46053</v>
      </c>
      <c r="D112" s="489"/>
      <c r="E112" s="490"/>
      <c r="F112" s="489"/>
      <c r="G112" s="491"/>
      <c r="H112" s="492">
        <v>86</v>
      </c>
      <c r="I112" s="892" t="s">
        <v>55</v>
      </c>
      <c r="J112" s="896" t="s">
        <v>63</v>
      </c>
      <c r="K112" s="483" t="s">
        <v>244</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287</v>
      </c>
      <c r="B113" s="508" t="s">
        <v>275</v>
      </c>
      <c r="C113" s="481">
        <v>46053</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276</v>
      </c>
      <c r="AE113" s="101"/>
    </row>
    <row r="114" spans="1:31" ht="24.75" customHeight="1">
      <c r="A114" s="941" t="s">
        <v>288</v>
      </c>
      <c r="B114" s="508" t="s">
        <v>275</v>
      </c>
      <c r="C114" s="481">
        <v>46053</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276</v>
      </c>
      <c r="AE114" s="101"/>
    </row>
    <row r="115" spans="1:31" ht="24.75" customHeight="1">
      <c r="A115" s="941" t="s">
        <v>289</v>
      </c>
      <c r="B115" s="508" t="s">
        <v>275</v>
      </c>
      <c r="C115" s="481">
        <v>46053</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276</v>
      </c>
      <c r="AE115" s="101"/>
    </row>
    <row r="116" spans="1:31" ht="24.75" customHeight="1">
      <c r="A116" s="1115" t="s">
        <v>290</v>
      </c>
      <c r="B116" s="1110" t="s">
        <v>275</v>
      </c>
      <c r="C116" s="481">
        <v>46053</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276</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291</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292</v>
      </c>
      <c r="B120" s="464" t="s">
        <v>293</v>
      </c>
      <c r="C120" s="386">
        <v>46045</v>
      </c>
      <c r="D120" s="1094" t="s">
        <v>132</v>
      </c>
      <c r="E120" s="386"/>
      <c r="F120" s="385" t="s">
        <v>294</v>
      </c>
      <c r="G120" s="659"/>
      <c r="H120" s="1141"/>
      <c r="I120" s="995"/>
      <c r="J120" s="1142"/>
      <c r="K120" s="1143"/>
      <c r="L120" s="386"/>
      <c r="M120" s="1142"/>
      <c r="N120" s="1144"/>
      <c r="O120" s="1141"/>
      <c r="P120" s="1145"/>
      <c r="Q120" s="125"/>
      <c r="R120" s="676"/>
      <c r="S120" s="676"/>
      <c r="T120" s="676"/>
      <c r="U120" s="676"/>
      <c r="V120" s="1148">
        <v>7137</v>
      </c>
      <c r="W120" s="677"/>
      <c r="X120" s="1148">
        <f t="shared" ref="X120:X132" si="7">SUM(V120-W120)</f>
        <v>7137</v>
      </c>
      <c r="Y120" s="939">
        <f t="shared" ref="Y120:Y132" si="8">IFERROR($W120/$V120, 0)</f>
        <v>0</v>
      </c>
      <c r="Z120" s="55"/>
      <c r="AA120" s="1146"/>
      <c r="AB120" s="1146"/>
      <c r="AC120" s="1147"/>
      <c r="AD120" s="450" t="s">
        <v>295</v>
      </c>
      <c r="AE120" s="400"/>
    </row>
    <row r="121" spans="1:31" ht="24.75" customHeight="1">
      <c r="A121" s="1140" t="s">
        <v>296</v>
      </c>
      <c r="B121" s="464" t="s">
        <v>293</v>
      </c>
      <c r="C121" s="386">
        <v>46045</v>
      </c>
      <c r="D121" s="1094" t="s">
        <v>132</v>
      </c>
      <c r="E121" s="386"/>
      <c r="F121" s="385" t="s">
        <v>294</v>
      </c>
      <c r="G121" s="659"/>
      <c r="H121" s="1141"/>
      <c r="I121" s="995"/>
      <c r="J121" s="1142"/>
      <c r="K121" s="1143"/>
      <c r="L121" s="386"/>
      <c r="M121" s="1142"/>
      <c r="N121" s="1144"/>
      <c r="O121" s="1141"/>
      <c r="P121" s="1145"/>
      <c r="Q121" s="125"/>
      <c r="R121" s="676"/>
      <c r="S121" s="676"/>
      <c r="T121" s="676"/>
      <c r="U121" s="676"/>
      <c r="V121" s="1148">
        <v>8153</v>
      </c>
      <c r="W121" s="677"/>
      <c r="X121" s="1148">
        <f t="shared" si="7"/>
        <v>8153</v>
      </c>
      <c r="Y121" s="939">
        <f t="shared" si="8"/>
        <v>0</v>
      </c>
      <c r="Z121" s="55"/>
      <c r="AA121" s="1146"/>
      <c r="AB121" s="1146"/>
      <c r="AC121" s="1147"/>
      <c r="AD121" s="450" t="s">
        <v>295</v>
      </c>
      <c r="AE121" s="400"/>
    </row>
    <row r="122" spans="1:31" ht="24.75" customHeight="1">
      <c r="A122" s="1140" t="s">
        <v>297</v>
      </c>
      <c r="B122" s="464" t="s">
        <v>293</v>
      </c>
      <c r="C122" s="386">
        <v>46045</v>
      </c>
      <c r="D122" s="1094" t="s">
        <v>132</v>
      </c>
      <c r="E122" s="386"/>
      <c r="F122" s="385" t="s">
        <v>294</v>
      </c>
      <c r="G122" s="659"/>
      <c r="H122" s="1141"/>
      <c r="I122" s="995"/>
      <c r="J122" s="1142"/>
      <c r="K122" s="1143"/>
      <c r="L122" s="386"/>
      <c r="M122" s="1142"/>
      <c r="N122" s="1144"/>
      <c r="O122" s="1141"/>
      <c r="P122" s="1145"/>
      <c r="Q122" s="125"/>
      <c r="R122" s="676"/>
      <c r="S122" s="676"/>
      <c r="T122" s="676"/>
      <c r="U122" s="676"/>
      <c r="V122" s="1148">
        <v>7522</v>
      </c>
      <c r="W122" s="677"/>
      <c r="X122" s="1148">
        <f t="shared" si="7"/>
        <v>7522</v>
      </c>
      <c r="Y122" s="939">
        <f t="shared" si="8"/>
        <v>0</v>
      </c>
      <c r="Z122" s="55"/>
      <c r="AA122" s="1146"/>
      <c r="AB122" s="1146"/>
      <c r="AC122" s="1147"/>
      <c r="AD122" s="450" t="s">
        <v>295</v>
      </c>
      <c r="AE122" s="400"/>
    </row>
    <row r="123" spans="1:31" ht="24.75" customHeight="1">
      <c r="A123" s="1140" t="s">
        <v>298</v>
      </c>
      <c r="B123" s="464" t="s">
        <v>293</v>
      </c>
      <c r="C123" s="386">
        <v>46045</v>
      </c>
      <c r="D123" s="1094" t="s">
        <v>132</v>
      </c>
      <c r="E123" s="386"/>
      <c r="F123" s="385" t="s">
        <v>294</v>
      </c>
      <c r="G123" s="659"/>
      <c r="H123" s="1141"/>
      <c r="I123" s="995"/>
      <c r="J123" s="1142"/>
      <c r="K123" s="1143"/>
      <c r="L123" s="386"/>
      <c r="M123" s="1142"/>
      <c r="N123" s="1144"/>
      <c r="O123" s="1141"/>
      <c r="P123" s="1145"/>
      <c r="Q123" s="125"/>
      <c r="R123" s="676"/>
      <c r="S123" s="676"/>
      <c r="T123" s="676"/>
      <c r="U123" s="676"/>
      <c r="V123" s="1148">
        <v>8523</v>
      </c>
      <c r="W123" s="677"/>
      <c r="X123" s="1148">
        <f t="shared" si="7"/>
        <v>8523</v>
      </c>
      <c r="Y123" s="939">
        <f t="shared" si="8"/>
        <v>0</v>
      </c>
      <c r="Z123" s="55"/>
      <c r="AA123" s="1146"/>
      <c r="AB123" s="1146"/>
      <c r="AC123" s="1147"/>
      <c r="AD123" s="450" t="s">
        <v>295</v>
      </c>
      <c r="AE123" s="400"/>
    </row>
    <row r="124" spans="1:31" ht="24.75" customHeight="1">
      <c r="A124" s="1140" t="s">
        <v>299</v>
      </c>
      <c r="B124" s="464" t="s">
        <v>293</v>
      </c>
      <c r="C124" s="386">
        <v>46045</v>
      </c>
      <c r="D124" s="1094" t="s">
        <v>132</v>
      </c>
      <c r="E124" s="386"/>
      <c r="F124" s="385" t="s">
        <v>294</v>
      </c>
      <c r="G124" s="659"/>
      <c r="H124" s="1141"/>
      <c r="I124" s="995"/>
      <c r="J124" s="1142"/>
      <c r="K124" s="1143"/>
      <c r="L124" s="386"/>
      <c r="M124" s="1142"/>
      <c r="N124" s="1144"/>
      <c r="O124" s="1141"/>
      <c r="P124" s="1145"/>
      <c r="Q124" s="125"/>
      <c r="R124" s="676"/>
      <c r="S124" s="676"/>
      <c r="T124" s="676"/>
      <c r="U124" s="676"/>
      <c r="V124" s="1148">
        <v>5827</v>
      </c>
      <c r="W124" s="677"/>
      <c r="X124" s="1148">
        <f t="shared" si="7"/>
        <v>5827</v>
      </c>
      <c r="Y124" s="939">
        <f t="shared" si="8"/>
        <v>0</v>
      </c>
      <c r="Z124" s="55"/>
      <c r="AA124" s="1146"/>
      <c r="AB124" s="1146"/>
      <c r="AC124" s="1147"/>
      <c r="AD124" s="450" t="s">
        <v>295</v>
      </c>
      <c r="AE124" s="400"/>
    </row>
    <row r="125" spans="1:31" ht="24.75" customHeight="1">
      <c r="A125" s="1140" t="s">
        <v>300</v>
      </c>
      <c r="B125" s="464" t="s">
        <v>293</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5136</v>
      </c>
      <c r="W125" s="677"/>
      <c r="X125" s="1148">
        <f t="shared" si="7"/>
        <v>5136</v>
      </c>
      <c r="Y125" s="939">
        <f t="shared" si="8"/>
        <v>0</v>
      </c>
      <c r="Z125" s="55"/>
      <c r="AA125" s="1146"/>
      <c r="AB125" s="1146"/>
      <c r="AC125" s="1147"/>
      <c r="AD125" s="450" t="s">
        <v>295</v>
      </c>
      <c r="AE125" s="400"/>
    </row>
    <row r="126" spans="1:31" ht="24.75" customHeight="1">
      <c r="A126" s="1140" t="s">
        <v>301</v>
      </c>
      <c r="B126" s="464" t="s">
        <v>293</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6249</v>
      </c>
      <c r="W126" s="677"/>
      <c r="X126" s="1148">
        <f t="shared" si="7"/>
        <v>6249</v>
      </c>
      <c r="Y126" s="939">
        <f t="shared" si="8"/>
        <v>0</v>
      </c>
      <c r="Z126" s="55"/>
      <c r="AA126" s="1146"/>
      <c r="AB126" s="1146"/>
      <c r="AC126" s="1147"/>
      <c r="AD126" s="450" t="s">
        <v>295</v>
      </c>
      <c r="AE126" s="400"/>
    </row>
    <row r="127" spans="1:31" ht="24.75" customHeight="1">
      <c r="A127" s="1140" t="s">
        <v>302</v>
      </c>
      <c r="B127" s="464" t="s">
        <v>293</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4095</v>
      </c>
      <c r="W127" s="677"/>
      <c r="X127" s="1148">
        <f t="shared" si="7"/>
        <v>4095</v>
      </c>
      <c r="Y127" s="939">
        <f t="shared" si="8"/>
        <v>0</v>
      </c>
      <c r="Z127" s="55"/>
      <c r="AA127" s="1146"/>
      <c r="AB127" s="1146"/>
      <c r="AC127" s="1147"/>
      <c r="AD127" s="450" t="s">
        <v>295</v>
      </c>
      <c r="AE127" s="400"/>
    </row>
    <row r="128" spans="1:31" ht="24.75" customHeight="1">
      <c r="A128" s="1140" t="s">
        <v>303</v>
      </c>
      <c r="B128" s="464" t="s">
        <v>293</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5254</v>
      </c>
      <c r="W128" s="677"/>
      <c r="X128" s="1148">
        <f t="shared" si="7"/>
        <v>5254</v>
      </c>
      <c r="Y128" s="939">
        <f t="shared" si="8"/>
        <v>0</v>
      </c>
      <c r="Z128" s="55"/>
      <c r="AA128" s="1146"/>
      <c r="AB128" s="1146"/>
      <c r="AC128" s="1147"/>
      <c r="AD128" s="450" t="s">
        <v>295</v>
      </c>
      <c r="AE128" s="400"/>
    </row>
    <row r="129" spans="1:31" ht="24.75" customHeight="1">
      <c r="A129" s="1140" t="s">
        <v>304</v>
      </c>
      <c r="B129" s="464" t="s">
        <v>293</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5947</v>
      </c>
      <c r="W129" s="677"/>
      <c r="X129" s="1148">
        <f t="shared" si="7"/>
        <v>5947</v>
      </c>
      <c r="Y129" s="939">
        <f t="shared" si="8"/>
        <v>0</v>
      </c>
      <c r="Z129" s="55"/>
      <c r="AA129" s="1146"/>
      <c r="AB129" s="1146"/>
      <c r="AC129" s="1147"/>
      <c r="AD129" s="450" t="s">
        <v>295</v>
      </c>
      <c r="AE129" s="400"/>
    </row>
    <row r="130" spans="1:31" ht="24.75" customHeight="1">
      <c r="A130" s="1140" t="s">
        <v>305</v>
      </c>
      <c r="B130" s="464" t="s">
        <v>293</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5599</v>
      </c>
      <c r="W130" s="677"/>
      <c r="X130" s="1148">
        <f t="shared" si="7"/>
        <v>5599</v>
      </c>
      <c r="Y130" s="939">
        <f t="shared" si="8"/>
        <v>0</v>
      </c>
      <c r="Z130" s="55"/>
      <c r="AA130" s="1146"/>
      <c r="AB130" s="1146"/>
      <c r="AC130" s="1147"/>
      <c r="AD130" s="450" t="s">
        <v>295</v>
      </c>
      <c r="AE130" s="400"/>
    </row>
    <row r="131" spans="1:31" ht="24.75" customHeight="1">
      <c r="A131" s="1140" t="s">
        <v>306</v>
      </c>
      <c r="B131" s="464" t="s">
        <v>293</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6646</v>
      </c>
      <c r="W131" s="677"/>
      <c r="X131" s="1148">
        <f t="shared" si="7"/>
        <v>6646</v>
      </c>
      <c r="Y131" s="939">
        <f t="shared" si="8"/>
        <v>0</v>
      </c>
      <c r="Z131" s="55"/>
      <c r="AA131" s="1146"/>
      <c r="AB131" s="1146"/>
      <c r="AC131" s="1147"/>
      <c r="AD131" s="450" t="s">
        <v>295</v>
      </c>
      <c r="AE131" s="400"/>
    </row>
    <row r="132" spans="1:31" ht="24.75" customHeight="1">
      <c r="A132" s="1140" t="s">
        <v>307</v>
      </c>
      <c r="B132" s="464" t="s">
        <v>293</v>
      </c>
      <c r="C132" s="386">
        <v>46045</v>
      </c>
      <c r="D132" s="1094"/>
      <c r="E132" s="386"/>
      <c r="F132" s="385"/>
      <c r="G132" s="659"/>
      <c r="H132" s="1141"/>
      <c r="I132" s="995"/>
      <c r="J132" s="1142"/>
      <c r="K132" s="1143"/>
      <c r="L132" s="386"/>
      <c r="M132" s="1142"/>
      <c r="N132" s="1144"/>
      <c r="O132" s="1141"/>
      <c r="P132" s="1145"/>
      <c r="Q132" s="125"/>
      <c r="R132" s="676"/>
      <c r="S132" s="676"/>
      <c r="T132" s="676"/>
      <c r="U132" s="676"/>
      <c r="V132" s="1148">
        <v>2136</v>
      </c>
      <c r="W132" s="677"/>
      <c r="X132" s="1148">
        <f t="shared" si="7"/>
        <v>2136</v>
      </c>
      <c r="Y132" s="939">
        <f t="shared" si="8"/>
        <v>0</v>
      </c>
      <c r="Z132" s="55"/>
      <c r="AA132" s="1146"/>
      <c r="AB132" s="1146"/>
      <c r="AC132" s="1147"/>
      <c r="AD132" s="450" t="s">
        <v>295</v>
      </c>
      <c r="AE132" s="400"/>
    </row>
    <row r="133" spans="1:31" ht="24.75" customHeight="1">
      <c r="A133" s="1117" t="s">
        <v>308</v>
      </c>
      <c r="B133" s="464" t="s">
        <v>293</v>
      </c>
      <c r="C133" s="386">
        <v>46045</v>
      </c>
      <c r="D133" s="1094" t="s">
        <v>132</v>
      </c>
      <c r="E133" s="386">
        <v>45959</v>
      </c>
      <c r="F133" s="385" t="s">
        <v>125</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9" si="9">SUM(V133-W133)</f>
        <v>6935</v>
      </c>
      <c r="Y133" s="929">
        <f t="shared" ref="Y133:Y149" si="10">IFERROR($W133/$V133, 0)</f>
        <v>0</v>
      </c>
      <c r="Z133" s="55"/>
      <c r="AA133" s="622">
        <v>0</v>
      </c>
      <c r="AB133" s="622">
        <v>0</v>
      </c>
      <c r="AC133" s="1100">
        <v>0</v>
      </c>
      <c r="AD133" s="450" t="s">
        <v>309</v>
      </c>
      <c r="AE133" s="400"/>
    </row>
    <row r="134" spans="1:31" ht="24.75" customHeight="1">
      <c r="A134" s="1117" t="s">
        <v>310</v>
      </c>
      <c r="B134" s="464" t="s">
        <v>293</v>
      </c>
      <c r="C134" s="386">
        <v>46045</v>
      </c>
      <c r="D134" s="1094" t="s">
        <v>132</v>
      </c>
      <c r="E134" s="386">
        <v>45959</v>
      </c>
      <c r="F134" s="385" t="s">
        <v>125</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309</v>
      </c>
      <c r="AE134" s="400"/>
    </row>
    <row r="135" spans="1:31" ht="24.75" customHeight="1">
      <c r="A135" s="1117" t="s">
        <v>311</v>
      </c>
      <c r="B135" s="464" t="s">
        <v>293</v>
      </c>
      <c r="C135" s="386">
        <v>46045</v>
      </c>
      <c r="D135" s="1094" t="s">
        <v>132</v>
      </c>
      <c r="E135" s="386">
        <v>45959</v>
      </c>
      <c r="F135" s="385" t="s">
        <v>125</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309</v>
      </c>
      <c r="AE135" s="400"/>
    </row>
    <row r="136" spans="1:31" ht="24.75" customHeight="1">
      <c r="A136" s="1117" t="s">
        <v>312</v>
      </c>
      <c r="B136" s="464" t="s">
        <v>293</v>
      </c>
      <c r="C136" s="386">
        <v>46045</v>
      </c>
      <c r="D136" s="1094" t="s">
        <v>132</v>
      </c>
      <c r="E136" s="386">
        <v>45959</v>
      </c>
      <c r="F136" s="385" t="s">
        <v>125</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309</v>
      </c>
      <c r="AE136" s="400"/>
    </row>
    <row r="137" spans="1:31" ht="24.75" customHeight="1">
      <c r="A137" s="1117" t="s">
        <v>313</v>
      </c>
      <c r="B137" s="464" t="s">
        <v>293</v>
      </c>
      <c r="C137" s="386">
        <v>46045</v>
      </c>
      <c r="D137" s="1094" t="s">
        <v>132</v>
      </c>
      <c r="E137" s="386">
        <v>45959</v>
      </c>
      <c r="F137" s="385" t="s">
        <v>125</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309</v>
      </c>
      <c r="AE137" s="400"/>
    </row>
    <row r="138" spans="1:31" ht="24.75" customHeight="1">
      <c r="A138" s="1117" t="s">
        <v>314</v>
      </c>
      <c r="B138" s="464" t="s">
        <v>293</v>
      </c>
      <c r="C138" s="386">
        <v>46045</v>
      </c>
      <c r="D138" s="1094" t="s">
        <v>132</v>
      </c>
      <c r="E138" s="386">
        <v>45959</v>
      </c>
      <c r="F138" s="385" t="s">
        <v>125</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309</v>
      </c>
      <c r="AE138" s="400"/>
    </row>
    <row r="139" spans="1:31" ht="24.75" customHeight="1">
      <c r="A139" s="1117" t="s">
        <v>315</v>
      </c>
      <c r="B139" s="464" t="s">
        <v>293</v>
      </c>
      <c r="C139" s="386">
        <v>46045</v>
      </c>
      <c r="D139" s="1094" t="s">
        <v>132</v>
      </c>
      <c r="E139" s="386">
        <v>45959</v>
      </c>
      <c r="F139" s="385" t="s">
        <v>125</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309</v>
      </c>
      <c r="AE139" s="400"/>
    </row>
    <row r="140" spans="1:31" ht="24.75" customHeight="1">
      <c r="A140" s="1117" t="s">
        <v>316</v>
      </c>
      <c r="B140" s="464" t="s">
        <v>293</v>
      </c>
      <c r="C140" s="386">
        <v>46045</v>
      </c>
      <c r="D140" s="1094" t="s">
        <v>132</v>
      </c>
      <c r="E140" s="386">
        <v>45959</v>
      </c>
      <c r="F140" s="385" t="s">
        <v>125</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309</v>
      </c>
      <c r="AE140" s="400"/>
    </row>
    <row r="141" spans="1:31" ht="24.75" customHeight="1">
      <c r="A141" s="1117" t="s">
        <v>317</v>
      </c>
      <c r="B141" s="464" t="s">
        <v>293</v>
      </c>
      <c r="C141" s="386">
        <v>46045</v>
      </c>
      <c r="D141" s="1094" t="s">
        <v>132</v>
      </c>
      <c r="E141" s="386">
        <v>45959</v>
      </c>
      <c r="F141" s="385" t="s">
        <v>125</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309</v>
      </c>
      <c r="AE141" s="400"/>
    </row>
    <row r="142" spans="1:31" ht="24.75" customHeight="1">
      <c r="A142" s="1117" t="s">
        <v>318</v>
      </c>
      <c r="B142" s="464" t="s">
        <v>293</v>
      </c>
      <c r="C142" s="386">
        <v>46045</v>
      </c>
      <c r="D142" s="1094" t="s">
        <v>132</v>
      </c>
      <c r="E142" s="386">
        <v>45959</v>
      </c>
      <c r="F142" s="385" t="s">
        <v>125</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309</v>
      </c>
      <c r="AE142" s="400"/>
    </row>
    <row r="143" spans="1:31" ht="24.75" customHeight="1">
      <c r="A143" s="1117" t="s">
        <v>319</v>
      </c>
      <c r="B143" s="464" t="s">
        <v>293</v>
      </c>
      <c r="C143" s="386">
        <v>46045</v>
      </c>
      <c r="D143" s="1094" t="s">
        <v>132</v>
      </c>
      <c r="E143" s="386">
        <v>45959</v>
      </c>
      <c r="F143" s="385" t="s">
        <v>125</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309</v>
      </c>
      <c r="AE143" s="400"/>
    </row>
    <row r="144" spans="1:31" ht="24.75" customHeight="1">
      <c r="A144" s="1117" t="s">
        <v>320</v>
      </c>
      <c r="B144" s="464" t="s">
        <v>293</v>
      </c>
      <c r="C144" s="386">
        <v>46045</v>
      </c>
      <c r="D144" s="1094" t="s">
        <v>132</v>
      </c>
      <c r="E144" s="386">
        <v>45959</v>
      </c>
      <c r="F144" s="385" t="s">
        <v>125</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309</v>
      </c>
      <c r="AE144" s="400"/>
    </row>
    <row r="145" spans="1:31" ht="24.75" customHeight="1">
      <c r="A145" s="1117" t="s">
        <v>321</v>
      </c>
      <c r="B145" s="464" t="s">
        <v>293</v>
      </c>
      <c r="C145" s="386">
        <v>46045</v>
      </c>
      <c r="D145" s="1094" t="s">
        <v>132</v>
      </c>
      <c r="E145" s="386">
        <v>45959</v>
      </c>
      <c r="F145" s="385" t="s">
        <v>125</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309</v>
      </c>
      <c r="AE145" s="400"/>
    </row>
    <row r="146" spans="1:31" ht="24.75" customHeight="1">
      <c r="A146" s="1117" t="s">
        <v>322</v>
      </c>
      <c r="B146" s="464" t="s">
        <v>293</v>
      </c>
      <c r="C146" s="386">
        <v>46045</v>
      </c>
      <c r="D146" s="1094" t="s">
        <v>132</v>
      </c>
      <c r="E146" s="386">
        <v>45959</v>
      </c>
      <c r="F146" s="385" t="s">
        <v>125</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309</v>
      </c>
      <c r="AE146" s="400"/>
    </row>
    <row r="147" spans="1:31" ht="24.75" customHeight="1">
      <c r="A147" s="1117" t="s">
        <v>323</v>
      </c>
      <c r="B147" s="464" t="s">
        <v>293</v>
      </c>
      <c r="C147" s="386">
        <v>46045</v>
      </c>
      <c r="D147" s="1094" t="s">
        <v>132</v>
      </c>
      <c r="E147" s="386">
        <v>45959</v>
      </c>
      <c r="F147" s="385" t="s">
        <v>125</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309</v>
      </c>
      <c r="AE147" s="400"/>
    </row>
    <row r="148" spans="1:31" ht="24.75" customHeight="1">
      <c r="A148" s="1118" t="s">
        <v>324</v>
      </c>
      <c r="B148" s="464" t="s">
        <v>293</v>
      </c>
      <c r="C148" s="386">
        <v>45991</v>
      </c>
      <c r="D148" s="1094"/>
      <c r="E148" s="386"/>
      <c r="F148" s="385"/>
      <c r="G148" s="659"/>
      <c r="H148" s="387">
        <v>0</v>
      </c>
      <c r="I148" s="1098" t="s">
        <v>55</v>
      </c>
      <c r="J148" s="1099" t="s">
        <v>63</v>
      </c>
      <c r="K148" s="673"/>
      <c r="L148" s="51"/>
      <c r="M148" s="1099" t="s">
        <v>57</v>
      </c>
      <c r="N148" s="903">
        <v>64985.65</v>
      </c>
      <c r="O148" s="1099" t="s">
        <v>57</v>
      </c>
      <c r="P148" s="101" t="s">
        <v>58</v>
      </c>
      <c r="Q148" s="54"/>
      <c r="R148" s="676"/>
      <c r="S148" s="676"/>
      <c r="T148" s="676"/>
      <c r="U148" s="676"/>
      <c r="V148" s="107">
        <v>3189</v>
      </c>
      <c r="W148" s="677"/>
      <c r="X148" s="107">
        <f>SUM(V148-W148)</f>
        <v>3189</v>
      </c>
      <c r="Y148" s="939">
        <f>IFERROR($W148/$V148, 0)</f>
        <v>0</v>
      </c>
      <c r="Z148" s="55"/>
      <c r="AA148" s="622">
        <v>0</v>
      </c>
      <c r="AB148" s="622">
        <v>0</v>
      </c>
      <c r="AC148" s="1100">
        <v>0</v>
      </c>
      <c r="AD148" s="450" t="s">
        <v>325</v>
      </c>
      <c r="AE148" s="400"/>
    </row>
    <row r="149" spans="1:31" ht="24.75" customHeight="1">
      <c r="A149" s="1118" t="s">
        <v>326</v>
      </c>
      <c r="B149" s="464" t="s">
        <v>293</v>
      </c>
      <c r="C149" s="386">
        <v>46045</v>
      </c>
      <c r="D149" s="1094" t="s">
        <v>132</v>
      </c>
      <c r="E149" s="386">
        <v>45959</v>
      </c>
      <c r="F149" s="385" t="s">
        <v>125</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309</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1">
    <sortCondition descending="1" ref="B2:B81"/>
  </sortState>
  <dataValidations count="8">
    <dataValidation allowBlank="1" showInputMessage="1" showErrorMessage="1" sqref="E5 E12 R5 Q6:U7 D118 L133:L1048576 Q3:U4 Q133:U1048576 D120:D149 Q74:U118 L74:L118 L24:L72 Q24:U72 L2:L22 Q12:U22" xr:uid="{1D31F93E-3D68-4310-94BF-578ADAD65882}"/>
    <dataValidation type="list" allowBlank="1" showInputMessage="1" showErrorMessage="1" sqref="J92 J120:J149 J96:J104 J110:J111 J113:J118 J74:J84 J24:J72 J2:J22" xr:uid="{5598570D-D2DE-4A6E-ABB1-14F4B3480632}">
      <formula1>"Received, Pending, Not Required"</formula1>
    </dataValidation>
    <dataValidation type="list" allowBlank="1" showInputMessage="1" showErrorMessage="1" sqref="I4 I92 I6:I11 I110:I111 I113:I118 I96:I104 I74:I84 I94 I51:I72 I133:I1048576 I13:I22" xr:uid="{BDA55F74-4FDA-49CF-8062-F3046665EBCB}">
      <formula1>"On Track, In Jeopardy, Completed on Track, Completed, Completed -Missed TSD"</formula1>
    </dataValidation>
    <dataValidation type="list" allowBlank="1" showInputMessage="1" showErrorMessage="1" sqref="I5 I12 I2:I3 I85:I91 I93 I112 I105:I109 I95 I24:I50" xr:uid="{B676ED09-FB47-4D85-B41D-60012AA8BA0B}">
      <formula1>"On Track, In Jeopardy, Completed on Track, Completed, Completed -Missed TSD, On Hold Per Tillman"</formula1>
    </dataValidation>
    <dataValidation type="list" allowBlank="1" showInputMessage="1" showErrorMessage="1" sqref="K74:K80 K133:K1048576 K85:K118 K24:K72 K2:K22"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3:P1048576 P74:P118 P24:P72 P2:P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tabSelected="1" workbookViewId="0">
      <pane xSplit="1" topLeftCell="U1" activePane="topRight" state="frozen"/>
      <selection pane="topRight" activeCell="W5" sqref="W5"/>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328</v>
      </c>
      <c r="B2" s="895" t="s">
        <v>213</v>
      </c>
      <c r="C2" s="481">
        <v>45960</v>
      </c>
      <c r="D2" s="481" t="s">
        <v>329</v>
      </c>
      <c r="E2" s="481">
        <v>45909</v>
      </c>
      <c r="F2" s="481" t="s">
        <v>235</v>
      </c>
      <c r="G2" s="709"/>
      <c r="H2" s="483">
        <v>0</v>
      </c>
      <c r="I2" s="483" t="s">
        <v>330</v>
      </c>
      <c r="J2" s="483" t="s">
        <v>63</v>
      </c>
      <c r="K2" s="483"/>
      <c r="L2" s="481">
        <v>45905</v>
      </c>
      <c r="M2" s="483" t="s">
        <v>57</v>
      </c>
      <c r="N2" s="560">
        <v>98170.1</v>
      </c>
      <c r="O2" s="483" t="s">
        <v>57</v>
      </c>
      <c r="P2" s="647" t="s">
        <v>331</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332</v>
      </c>
    </row>
    <row r="3" spans="1:30" ht="39.75" customHeight="1">
      <c r="A3" s="1011" t="s">
        <v>333</v>
      </c>
      <c r="B3" s="895" t="s">
        <v>213</v>
      </c>
      <c r="C3" s="481">
        <v>45960</v>
      </c>
      <c r="D3" s="481" t="s">
        <v>334</v>
      </c>
      <c r="E3" s="481">
        <v>45897</v>
      </c>
      <c r="F3" s="479" t="s">
        <v>240</v>
      </c>
      <c r="G3" s="709"/>
      <c r="H3" s="483">
        <v>0</v>
      </c>
      <c r="I3" s="687" t="s">
        <v>330</v>
      </c>
      <c r="J3" s="483" t="s">
        <v>63</v>
      </c>
      <c r="K3" s="483"/>
      <c r="L3" s="481">
        <v>45891</v>
      </c>
      <c r="M3" s="483" t="s">
        <v>57</v>
      </c>
      <c r="N3" s="560">
        <v>184994.5</v>
      </c>
      <c r="O3" s="483" t="s">
        <v>57</v>
      </c>
      <c r="P3" s="647" t="s">
        <v>331</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335</v>
      </c>
    </row>
    <row r="4" spans="1:30" ht="39.75" customHeight="1">
      <c r="A4" s="1011" t="s">
        <v>336</v>
      </c>
      <c r="B4" s="895" t="s">
        <v>213</v>
      </c>
      <c r="C4" s="481">
        <v>45960</v>
      </c>
      <c r="D4" s="481" t="s">
        <v>231</v>
      </c>
      <c r="E4" s="481">
        <v>45852</v>
      </c>
      <c r="F4" s="665" t="s">
        <v>217</v>
      </c>
      <c r="G4" s="709" t="s">
        <v>337</v>
      </c>
      <c r="H4" s="483">
        <v>0</v>
      </c>
      <c r="I4" s="483" t="s">
        <v>330</v>
      </c>
      <c r="J4" s="483" t="s">
        <v>63</v>
      </c>
      <c r="K4" s="483"/>
      <c r="L4" s="481">
        <v>45852</v>
      </c>
      <c r="M4" s="483" t="s">
        <v>57</v>
      </c>
      <c r="N4" s="560">
        <v>42837.2</v>
      </c>
      <c r="O4" s="483" t="s">
        <v>57</v>
      </c>
      <c r="P4" s="647" t="s">
        <v>331</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338</v>
      </c>
      <c r="B5" s="895" t="s">
        <v>213</v>
      </c>
      <c r="C5" s="481">
        <v>45960</v>
      </c>
      <c r="D5" s="481" t="s">
        <v>60</v>
      </c>
      <c r="E5" s="481">
        <v>45905</v>
      </c>
      <c r="F5" s="481" t="s">
        <v>235</v>
      </c>
      <c r="G5" s="709"/>
      <c r="H5" s="483">
        <v>0</v>
      </c>
      <c r="I5" s="687" t="s">
        <v>330</v>
      </c>
      <c r="J5" s="483" t="s">
        <v>63</v>
      </c>
      <c r="K5" s="492"/>
      <c r="L5" s="481">
        <v>45943</v>
      </c>
      <c r="M5" s="483" t="s">
        <v>57</v>
      </c>
      <c r="N5" s="560">
        <v>2167.3000000000002</v>
      </c>
      <c r="O5" s="483" t="s">
        <v>57</v>
      </c>
      <c r="P5" s="647" t="s">
        <v>331</v>
      </c>
      <c r="Q5" s="485">
        <v>45908</v>
      </c>
      <c r="R5" s="485"/>
      <c r="S5" s="485"/>
      <c r="T5" s="485"/>
      <c r="U5" s="485"/>
      <c r="V5" s="430">
        <v>158</v>
      </c>
      <c r="W5" s="600">
        <v>429</v>
      </c>
      <c r="X5" s="107">
        <f t="shared" si="0"/>
        <v>-271</v>
      </c>
      <c r="Y5" s="683">
        <f t="shared" si="1"/>
        <v>2.7151898734177213</v>
      </c>
      <c r="Z5" s="72" t="s">
        <v>339</v>
      </c>
      <c r="AA5" s="366">
        <v>0</v>
      </c>
      <c r="AB5" s="366">
        <v>0</v>
      </c>
      <c r="AC5" s="41">
        <v>0</v>
      </c>
      <c r="AD5" s="173" t="s">
        <v>340</v>
      </c>
    </row>
    <row r="6" spans="1:30" ht="39.75" customHeight="1">
      <c r="A6" s="906" t="s">
        <v>341</v>
      </c>
      <c r="B6" s="508" t="s">
        <v>213</v>
      </c>
      <c r="C6" s="481">
        <v>45991</v>
      </c>
      <c r="D6" s="489" t="s">
        <v>342</v>
      </c>
      <c r="E6" s="490">
        <v>45716</v>
      </c>
      <c r="F6" s="489" t="s">
        <v>235</v>
      </c>
      <c r="G6" s="491" t="s">
        <v>343</v>
      </c>
      <c r="H6" s="492">
        <v>31</v>
      </c>
      <c r="I6" s="498" t="s">
        <v>330</v>
      </c>
      <c r="J6" s="492" t="s">
        <v>63</v>
      </c>
      <c r="K6" s="504"/>
      <c r="L6" s="481">
        <v>45716</v>
      </c>
      <c r="M6" s="492" t="s">
        <v>57</v>
      </c>
      <c r="N6" s="561">
        <v>28777</v>
      </c>
      <c r="O6" s="492" t="s">
        <v>57</v>
      </c>
      <c r="P6" s="647" t="s">
        <v>331</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344</v>
      </c>
      <c r="B7" s="508" t="s">
        <v>213</v>
      </c>
      <c r="C7" s="481">
        <v>45991</v>
      </c>
      <c r="D7" s="489" t="s">
        <v>345</v>
      </c>
      <c r="E7" s="490">
        <v>45716</v>
      </c>
      <c r="F7" s="489" t="s">
        <v>217</v>
      </c>
      <c r="G7" s="491" t="s">
        <v>346</v>
      </c>
      <c r="H7" s="492">
        <v>44</v>
      </c>
      <c r="I7" s="498" t="s">
        <v>330</v>
      </c>
      <c r="J7" s="492" t="s">
        <v>63</v>
      </c>
      <c r="K7" s="492"/>
      <c r="L7" s="490">
        <v>45716</v>
      </c>
      <c r="M7" s="492" t="s">
        <v>57</v>
      </c>
      <c r="N7" s="561">
        <v>57973.5</v>
      </c>
      <c r="O7" s="492" t="s">
        <v>57</v>
      </c>
      <c r="P7" s="647" t="s">
        <v>331</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347</v>
      </c>
      <c r="B8" s="895" t="s">
        <v>213</v>
      </c>
      <c r="C8" s="481">
        <v>45991</v>
      </c>
      <c r="D8" s="489" t="s">
        <v>231</v>
      </c>
      <c r="E8" s="490">
        <v>45880</v>
      </c>
      <c r="F8" s="489" t="s">
        <v>217</v>
      </c>
      <c r="G8" s="887" t="s">
        <v>348</v>
      </c>
      <c r="H8" s="492">
        <v>57</v>
      </c>
      <c r="I8" s="892" t="s">
        <v>330</v>
      </c>
      <c r="J8" s="492" t="s">
        <v>63</v>
      </c>
      <c r="K8" s="504"/>
      <c r="L8" s="490">
        <v>45863</v>
      </c>
      <c r="M8" s="492" t="s">
        <v>57</v>
      </c>
      <c r="N8" s="561">
        <v>49223.7</v>
      </c>
      <c r="O8" s="492" t="s">
        <v>57</v>
      </c>
      <c r="P8" s="647" t="s">
        <v>331</v>
      </c>
      <c r="Q8" s="493">
        <v>45863</v>
      </c>
      <c r="R8" s="493"/>
      <c r="S8" s="493"/>
      <c r="T8" s="493"/>
      <c r="U8" s="493"/>
      <c r="V8" s="486">
        <v>3394</v>
      </c>
      <c r="W8" s="526">
        <v>3394</v>
      </c>
      <c r="X8" s="107">
        <f t="shared" si="0"/>
        <v>0</v>
      </c>
      <c r="Y8" s="683">
        <f t="shared" si="1"/>
        <v>1</v>
      </c>
      <c r="Z8" s="704">
        <v>45916</v>
      </c>
      <c r="AA8" s="366">
        <v>0</v>
      </c>
      <c r="AB8" s="366">
        <v>0</v>
      </c>
      <c r="AC8" s="41">
        <v>0</v>
      </c>
      <c r="AD8" s="173" t="s">
        <v>349</v>
      </c>
    </row>
    <row r="9" spans="1:30" ht="39.75" customHeight="1">
      <c r="A9" s="1011" t="s">
        <v>350</v>
      </c>
      <c r="B9" s="895" t="s">
        <v>213</v>
      </c>
      <c r="C9" s="481">
        <v>45991</v>
      </c>
      <c r="D9" s="489" t="s">
        <v>231</v>
      </c>
      <c r="E9" s="490">
        <v>45880</v>
      </c>
      <c r="F9" s="489" t="s">
        <v>217</v>
      </c>
      <c r="G9" s="887" t="s">
        <v>351</v>
      </c>
      <c r="H9" s="492">
        <v>75</v>
      </c>
      <c r="I9" s="892" t="s">
        <v>330</v>
      </c>
      <c r="J9" s="492" t="s">
        <v>63</v>
      </c>
      <c r="K9" s="504"/>
      <c r="L9" s="490">
        <v>45879</v>
      </c>
      <c r="M9" s="492" t="s">
        <v>57</v>
      </c>
      <c r="N9" s="561">
        <v>68151.75</v>
      </c>
      <c r="O9" s="492" t="s">
        <v>57</v>
      </c>
      <c r="P9" s="647" t="s">
        <v>331</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352</v>
      </c>
      <c r="B10" s="895" t="s">
        <v>213</v>
      </c>
      <c r="C10" s="481">
        <v>45960</v>
      </c>
      <c r="D10" s="490" t="s">
        <v>231</v>
      </c>
      <c r="E10" s="490">
        <v>45930</v>
      </c>
      <c r="F10" s="489" t="s">
        <v>217</v>
      </c>
      <c r="G10" s="891"/>
      <c r="H10" s="896">
        <v>80</v>
      </c>
      <c r="I10" s="892" t="s">
        <v>330</v>
      </c>
      <c r="J10" s="896" t="s">
        <v>63</v>
      </c>
      <c r="K10" s="892"/>
      <c r="L10" s="490">
        <v>45902</v>
      </c>
      <c r="M10" s="892" t="s">
        <v>57</v>
      </c>
      <c r="N10" s="897">
        <v>90173</v>
      </c>
      <c r="O10" s="892" t="s">
        <v>57</v>
      </c>
      <c r="P10" s="647" t="s">
        <v>331</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353</v>
      </c>
      <c r="B11" s="895" t="s">
        <v>213</v>
      </c>
      <c r="C11" s="481">
        <v>45960</v>
      </c>
      <c r="D11" s="490" t="s">
        <v>239</v>
      </c>
      <c r="E11" s="490">
        <v>45950</v>
      </c>
      <c r="F11" s="489" t="s">
        <v>240</v>
      </c>
      <c r="G11" s="891"/>
      <c r="H11" s="896">
        <v>80</v>
      </c>
      <c r="I11" s="892" t="s">
        <v>330</v>
      </c>
      <c r="J11" s="896" t="s">
        <v>63</v>
      </c>
      <c r="K11" s="892"/>
      <c r="L11" s="490">
        <v>45905</v>
      </c>
      <c r="M11" s="892" t="s">
        <v>57</v>
      </c>
      <c r="N11" s="897">
        <v>66674.3</v>
      </c>
      <c r="O11" s="892" t="s">
        <v>57</v>
      </c>
      <c r="P11" s="647" t="s">
        <v>331</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354</v>
      </c>
    </row>
    <row r="12" spans="1:30" ht="39.75" customHeight="1">
      <c r="A12" s="1011" t="s">
        <v>355</v>
      </c>
      <c r="B12" s="895" t="s">
        <v>213</v>
      </c>
      <c r="C12" s="481">
        <v>45960</v>
      </c>
      <c r="D12" s="490" t="s">
        <v>239</v>
      </c>
      <c r="E12" s="490">
        <v>45937</v>
      </c>
      <c r="F12" s="489" t="s">
        <v>240</v>
      </c>
      <c r="G12" s="891"/>
      <c r="H12" s="896">
        <v>82</v>
      </c>
      <c r="I12" s="892" t="s">
        <v>330</v>
      </c>
      <c r="J12" s="896" t="s">
        <v>63</v>
      </c>
      <c r="K12" s="483"/>
      <c r="L12" s="490">
        <v>45903</v>
      </c>
      <c r="M12" s="892" t="s">
        <v>57</v>
      </c>
      <c r="N12" s="897">
        <v>93666.75</v>
      </c>
      <c r="O12" s="892" t="s">
        <v>57</v>
      </c>
      <c r="P12" s="647" t="s">
        <v>331</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356</v>
      </c>
      <c r="B13" s="895" t="s">
        <v>213</v>
      </c>
      <c r="C13" s="481">
        <v>45960</v>
      </c>
      <c r="D13" s="489" t="s">
        <v>239</v>
      </c>
      <c r="E13" s="490">
        <v>45944</v>
      </c>
      <c r="F13" s="489" t="s">
        <v>240</v>
      </c>
      <c r="G13" s="887"/>
      <c r="H13" s="492">
        <v>0</v>
      </c>
      <c r="I13" s="892" t="s">
        <v>330</v>
      </c>
      <c r="J13" s="492" t="s">
        <v>63</v>
      </c>
      <c r="K13" s="504"/>
      <c r="L13" s="490"/>
      <c r="M13" s="492" t="s">
        <v>57</v>
      </c>
      <c r="N13" s="561">
        <v>50539.6</v>
      </c>
      <c r="O13" s="492" t="s">
        <v>57</v>
      </c>
      <c r="P13" s="647" t="s">
        <v>331</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357</v>
      </c>
    </row>
    <row r="14" spans="1:30" ht="39.75" customHeight="1">
      <c r="A14" s="1011" t="s">
        <v>358</v>
      </c>
      <c r="B14" s="895" t="s">
        <v>213</v>
      </c>
      <c r="C14" s="481" t="s">
        <v>359</v>
      </c>
      <c r="D14" s="489" t="s">
        <v>60</v>
      </c>
      <c r="E14" s="490">
        <v>45964</v>
      </c>
      <c r="F14" s="489" t="s">
        <v>217</v>
      </c>
      <c r="G14" s="887"/>
      <c r="H14" s="492">
        <v>0</v>
      </c>
      <c r="I14" s="483" t="s">
        <v>330</v>
      </c>
      <c r="J14" s="492" t="s">
        <v>63</v>
      </c>
      <c r="K14" s="483"/>
      <c r="L14" s="490" t="s">
        <v>52</v>
      </c>
      <c r="M14" s="492" t="s">
        <v>57</v>
      </c>
      <c r="N14" s="561">
        <v>2670.65</v>
      </c>
      <c r="O14" s="492" t="s">
        <v>57</v>
      </c>
      <c r="P14" s="647" t="s">
        <v>331</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215</v>
      </c>
    </row>
    <row r="15" spans="1:30" ht="39.75" customHeight="1">
      <c r="A15" s="513" t="s">
        <v>360</v>
      </c>
      <c r="B15" s="479" t="s">
        <v>109</v>
      </c>
      <c r="C15" s="481">
        <v>45868</v>
      </c>
      <c r="D15" s="481" t="s">
        <v>60</v>
      </c>
      <c r="E15" s="481">
        <v>45793</v>
      </c>
      <c r="F15" s="505" t="s">
        <v>110</v>
      </c>
      <c r="G15" s="1128" t="s">
        <v>361</v>
      </c>
      <c r="H15" s="483">
        <v>0</v>
      </c>
      <c r="I15" s="483" t="s">
        <v>330</v>
      </c>
      <c r="J15" s="483" t="s">
        <v>63</v>
      </c>
      <c r="K15" s="1027"/>
      <c r="L15" s="481">
        <v>45793</v>
      </c>
      <c r="M15" s="483" t="s">
        <v>57</v>
      </c>
      <c r="N15" s="560">
        <v>53589.8</v>
      </c>
      <c r="O15" s="483" t="s">
        <v>57</v>
      </c>
      <c r="P15" s="647" t="s">
        <v>331</v>
      </c>
      <c r="Q15" s="485">
        <v>45793</v>
      </c>
      <c r="R15" s="485" t="s">
        <v>362</v>
      </c>
      <c r="S15" s="485"/>
      <c r="T15" s="485"/>
      <c r="U15" s="485">
        <v>45917</v>
      </c>
      <c r="V15" s="486">
        <v>8305</v>
      </c>
      <c r="W15" s="648">
        <v>8818</v>
      </c>
      <c r="X15" s="107">
        <f t="shared" si="0"/>
        <v>-513</v>
      </c>
      <c r="Y15" s="22">
        <f t="shared" si="1"/>
        <v>1.0617700180614087</v>
      </c>
      <c r="Z15" s="678">
        <v>45810</v>
      </c>
      <c r="AA15" s="366">
        <v>1</v>
      </c>
      <c r="AB15" s="366">
        <v>1</v>
      </c>
      <c r="AC15" s="668">
        <v>0</v>
      </c>
      <c r="AD15" s="427" t="s">
        <v>363</v>
      </c>
    </row>
    <row r="16" spans="1:30" ht="39.75" customHeight="1">
      <c r="A16" s="1011" t="s">
        <v>364</v>
      </c>
      <c r="B16" s="479" t="s">
        <v>109</v>
      </c>
      <c r="C16" s="490">
        <v>45960</v>
      </c>
      <c r="D16" s="481" t="s">
        <v>146</v>
      </c>
      <c r="E16" s="481">
        <v>45932</v>
      </c>
      <c r="F16" s="479" t="s">
        <v>110</v>
      </c>
      <c r="G16" s="709"/>
      <c r="H16" s="483">
        <v>79</v>
      </c>
      <c r="I16" s="687" t="s">
        <v>330</v>
      </c>
      <c r="J16" s="483" t="s">
        <v>63</v>
      </c>
      <c r="K16" s="483"/>
      <c r="L16" s="481">
        <v>45933</v>
      </c>
      <c r="M16" s="483" t="s">
        <v>57</v>
      </c>
      <c r="N16" s="560">
        <v>45014</v>
      </c>
      <c r="O16" s="483" t="s">
        <v>57</v>
      </c>
      <c r="P16" s="647" t="s">
        <v>331</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365</v>
      </c>
    </row>
    <row r="17" spans="1:30" ht="39.75" customHeight="1">
      <c r="A17" s="1014" t="s">
        <v>366</v>
      </c>
      <c r="B17" s="479" t="s">
        <v>109</v>
      </c>
      <c r="C17" s="490">
        <v>45960</v>
      </c>
      <c r="D17" s="481" t="s">
        <v>132</v>
      </c>
      <c r="E17" s="481">
        <v>45936</v>
      </c>
      <c r="F17" s="479" t="s">
        <v>110</v>
      </c>
      <c r="G17" s="709"/>
      <c r="H17" s="483">
        <v>75</v>
      </c>
      <c r="I17" s="687" t="s">
        <v>330</v>
      </c>
      <c r="J17" s="483" t="s">
        <v>63</v>
      </c>
      <c r="K17" s="483"/>
      <c r="L17" s="481">
        <v>45936</v>
      </c>
      <c r="M17" s="483" t="s">
        <v>57</v>
      </c>
      <c r="N17" s="560">
        <v>38796</v>
      </c>
      <c r="O17" s="483" t="s">
        <v>57</v>
      </c>
      <c r="P17" s="843" t="s">
        <v>331</v>
      </c>
      <c r="Q17" s="485">
        <v>45936</v>
      </c>
      <c r="R17" s="571"/>
      <c r="S17" s="571"/>
      <c r="T17" s="571"/>
      <c r="U17" s="571"/>
      <c r="V17" s="430">
        <v>2874</v>
      </c>
      <c r="W17" s="1044">
        <v>2875</v>
      </c>
      <c r="X17" s="107">
        <f t="shared" ref="X17:X18" si="6">SUM(V17-W17)</f>
        <v>-1</v>
      </c>
      <c r="Y17" s="683">
        <f t="shared" ref="Y17:Y18" si="7">IFERROR($W17/$V17, 0)</f>
        <v>1.0003479471120389</v>
      </c>
      <c r="Z17" s="704">
        <v>45944</v>
      </c>
      <c r="AA17" s="366">
        <v>1</v>
      </c>
      <c r="AB17" s="366">
        <v>1</v>
      </c>
      <c r="AC17" s="486">
        <v>0</v>
      </c>
      <c r="AD17" s="173" t="s">
        <v>367</v>
      </c>
    </row>
    <row r="18" spans="1:30" ht="39.75" customHeight="1">
      <c r="A18" s="1011" t="s">
        <v>368</v>
      </c>
      <c r="B18" s="479" t="s">
        <v>109</v>
      </c>
      <c r="C18" s="490">
        <v>45976</v>
      </c>
      <c r="D18" s="481" t="s">
        <v>132</v>
      </c>
      <c r="E18" s="481">
        <v>45958</v>
      </c>
      <c r="F18" s="479" t="s">
        <v>133</v>
      </c>
      <c r="G18" s="709"/>
      <c r="H18" s="483">
        <v>48</v>
      </c>
      <c r="I18" s="687" t="s">
        <v>330</v>
      </c>
      <c r="J18" s="483" t="s">
        <v>63</v>
      </c>
      <c r="K18" s="483"/>
      <c r="L18" s="481">
        <v>45954</v>
      </c>
      <c r="M18" s="483" t="s">
        <v>57</v>
      </c>
      <c r="N18" s="560">
        <v>54228.7</v>
      </c>
      <c r="O18" s="483" t="s">
        <v>57</v>
      </c>
      <c r="P18" s="647" t="s">
        <v>331</v>
      </c>
      <c r="Q18" s="485">
        <v>45953</v>
      </c>
      <c r="R18" s="571"/>
      <c r="S18" s="571"/>
      <c r="T18" s="571"/>
      <c r="U18" s="571"/>
      <c r="V18" s="486">
        <v>4141</v>
      </c>
      <c r="W18" s="648">
        <v>4141</v>
      </c>
      <c r="X18" s="486">
        <f t="shared" si="6"/>
        <v>0</v>
      </c>
      <c r="Y18" s="688">
        <f t="shared" si="7"/>
        <v>1</v>
      </c>
      <c r="Z18" s="493">
        <v>45964</v>
      </c>
      <c r="AA18" s="366">
        <v>0</v>
      </c>
      <c r="AB18" s="366">
        <v>0</v>
      </c>
      <c r="AC18" s="822">
        <v>0</v>
      </c>
      <c r="AD18" s="488" t="s">
        <v>369</v>
      </c>
    </row>
    <row r="19" spans="1:30" ht="39.75" customHeight="1">
      <c r="A19" s="1011" t="s">
        <v>370</v>
      </c>
      <c r="B19" s="479" t="s">
        <v>109</v>
      </c>
      <c r="C19" s="505">
        <v>45838</v>
      </c>
      <c r="D19" s="505" t="s">
        <v>132</v>
      </c>
      <c r="E19" s="490">
        <v>45786</v>
      </c>
      <c r="F19" s="505" t="s">
        <v>125</v>
      </c>
      <c r="G19" s="1025" t="s">
        <v>371</v>
      </c>
      <c r="H19" s="483">
        <v>0</v>
      </c>
      <c r="I19" s="484" t="s">
        <v>330</v>
      </c>
      <c r="J19" s="483" t="s">
        <v>63</v>
      </c>
      <c r="K19" s="483"/>
      <c r="L19" s="481">
        <v>45790</v>
      </c>
      <c r="M19" s="483" t="s">
        <v>57</v>
      </c>
      <c r="N19" s="560">
        <v>63283</v>
      </c>
      <c r="O19" s="483" t="s">
        <v>57</v>
      </c>
      <c r="P19" s="647" t="s">
        <v>331</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372</v>
      </c>
    </row>
    <row r="20" spans="1:30" ht="39.75" customHeight="1">
      <c r="A20" s="1011" t="s">
        <v>373</v>
      </c>
      <c r="B20" s="479" t="s">
        <v>109</v>
      </c>
      <c r="C20" s="490">
        <v>45960</v>
      </c>
      <c r="D20" s="481" t="s">
        <v>206</v>
      </c>
      <c r="E20" s="481">
        <v>45939</v>
      </c>
      <c r="F20" s="479" t="s">
        <v>125</v>
      </c>
      <c r="G20" s="709"/>
      <c r="H20" s="483">
        <v>385</v>
      </c>
      <c r="I20" s="687" t="s">
        <v>330</v>
      </c>
      <c r="J20" s="483" t="s">
        <v>56</v>
      </c>
      <c r="K20" s="483"/>
      <c r="L20" s="481">
        <v>45937</v>
      </c>
      <c r="M20" s="483" t="s">
        <v>57</v>
      </c>
      <c r="N20" s="560">
        <v>210533.1</v>
      </c>
      <c r="O20" s="483" t="s">
        <v>57</v>
      </c>
      <c r="P20" s="647" t="s">
        <v>331</v>
      </c>
      <c r="Q20" s="485">
        <v>45936</v>
      </c>
      <c r="R20" s="485"/>
      <c r="S20" s="485"/>
      <c r="T20" s="485"/>
      <c r="U20" s="485"/>
      <c r="V20" s="430">
        <v>18693</v>
      </c>
      <c r="W20" s="600">
        <v>18693</v>
      </c>
      <c r="X20" s="486">
        <f>SUM(V20-W20)</f>
        <v>0</v>
      </c>
      <c r="Y20" s="688">
        <f t="shared" ref="Y20" si="8">IFERROR($W20/$V20, 0)</f>
        <v>1</v>
      </c>
      <c r="Z20" s="493">
        <v>45944</v>
      </c>
      <c r="AA20" s="366">
        <v>1</v>
      </c>
      <c r="AB20" s="366">
        <v>1</v>
      </c>
      <c r="AC20" s="486">
        <v>0</v>
      </c>
      <c r="AD20" s="173" t="s">
        <v>374</v>
      </c>
    </row>
    <row r="21" spans="1:30" ht="39.75" customHeight="1">
      <c r="A21" s="649" t="s">
        <v>375</v>
      </c>
      <c r="B21" s="480" t="s">
        <v>50</v>
      </c>
      <c r="C21" s="490">
        <v>45742</v>
      </c>
      <c r="D21" s="490" t="s">
        <v>376</v>
      </c>
      <c r="E21" s="442">
        <v>45680</v>
      </c>
      <c r="F21" s="489" t="s">
        <v>61</v>
      </c>
      <c r="G21" s="509" t="s">
        <v>377</v>
      </c>
      <c r="H21" s="492">
        <v>79</v>
      </c>
      <c r="I21" s="498" t="s">
        <v>378</v>
      </c>
      <c r="J21" s="492" t="s">
        <v>63</v>
      </c>
      <c r="K21" s="492"/>
      <c r="L21" s="479" t="s">
        <v>331</v>
      </c>
      <c r="M21" s="498" t="s">
        <v>57</v>
      </c>
      <c r="N21" s="561">
        <v>64790.5</v>
      </c>
      <c r="O21" s="498" t="s">
        <v>57</v>
      </c>
      <c r="P21" s="647" t="s">
        <v>331</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379</v>
      </c>
    </row>
    <row r="22" spans="1:30" ht="39.75" customHeight="1">
      <c r="A22" s="1011" t="s">
        <v>380</v>
      </c>
      <c r="B22" s="886" t="s">
        <v>50</v>
      </c>
      <c r="C22" s="481">
        <v>45991</v>
      </c>
      <c r="D22" s="481" t="s">
        <v>60</v>
      </c>
      <c r="E22" s="490">
        <v>45743</v>
      </c>
      <c r="F22" s="489" t="s">
        <v>61</v>
      </c>
      <c r="G22" s="887" t="s">
        <v>381</v>
      </c>
      <c r="H22" s="492">
        <v>69</v>
      </c>
      <c r="I22" s="687" t="s">
        <v>330</v>
      </c>
      <c r="J22" s="483" t="s">
        <v>63</v>
      </c>
      <c r="K22" s="888"/>
      <c r="L22" s="490">
        <v>45741</v>
      </c>
      <c r="M22" s="483" t="s">
        <v>57</v>
      </c>
      <c r="N22" s="560">
        <v>67734.5</v>
      </c>
      <c r="O22" s="483" t="s">
        <v>57</v>
      </c>
      <c r="P22" s="647" t="s">
        <v>331</v>
      </c>
      <c r="Q22" s="493">
        <v>45744</v>
      </c>
      <c r="R22" s="493"/>
      <c r="S22" s="493"/>
      <c r="T22" s="493"/>
      <c r="U22" s="493"/>
      <c r="V22" s="41">
        <v>4822</v>
      </c>
      <c r="W22" s="648">
        <v>4816</v>
      </c>
      <c r="X22" s="107">
        <f>SUM(V22-W22)</f>
        <v>6</v>
      </c>
      <c r="Y22" s="683">
        <f t="shared" ref="Y22" si="9">IFERROR($W22/$V22, 0)</f>
        <v>0.99875570302778927</v>
      </c>
      <c r="Z22" s="704">
        <v>45784</v>
      </c>
      <c r="AA22" s="366">
        <v>0</v>
      </c>
      <c r="AB22" s="366">
        <v>0</v>
      </c>
      <c r="AC22" s="668">
        <v>0</v>
      </c>
      <c r="AD22" s="1101"/>
    </row>
    <row r="23" spans="1:30" ht="39.75" customHeight="1">
      <c r="A23" s="906" t="s">
        <v>382</v>
      </c>
      <c r="B23" s="480" t="s">
        <v>50</v>
      </c>
      <c r="C23" s="481">
        <v>45991</v>
      </c>
      <c r="D23" s="489" t="s">
        <v>383</v>
      </c>
      <c r="E23" s="442">
        <v>45735</v>
      </c>
      <c r="F23" s="489" t="s">
        <v>61</v>
      </c>
      <c r="G23" s="491" t="s">
        <v>384</v>
      </c>
      <c r="H23" s="492">
        <v>70</v>
      </c>
      <c r="I23" s="484" t="s">
        <v>330</v>
      </c>
      <c r="J23" s="492" t="s">
        <v>63</v>
      </c>
      <c r="K23" s="492"/>
      <c r="L23" s="481">
        <v>45716</v>
      </c>
      <c r="M23" s="492" t="s">
        <v>57</v>
      </c>
      <c r="N23" s="561">
        <v>56262.5</v>
      </c>
      <c r="O23" s="492" t="s">
        <v>57</v>
      </c>
      <c r="P23" s="739" t="s">
        <v>331</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385</v>
      </c>
    </row>
    <row r="24" spans="1:30" ht="39.75" customHeight="1">
      <c r="A24" s="1011" t="s">
        <v>386</v>
      </c>
      <c r="B24" s="886" t="s">
        <v>50</v>
      </c>
      <c r="C24" s="481">
        <v>45991</v>
      </c>
      <c r="D24" s="481" t="s">
        <v>60</v>
      </c>
      <c r="E24" s="490">
        <v>45779</v>
      </c>
      <c r="F24" s="489" t="s">
        <v>61</v>
      </c>
      <c r="G24" s="887" t="s">
        <v>387</v>
      </c>
      <c r="H24" s="492">
        <v>0</v>
      </c>
      <c r="I24" s="492" t="s">
        <v>330</v>
      </c>
      <c r="J24" s="483" t="s">
        <v>63</v>
      </c>
      <c r="K24" s="888"/>
      <c r="L24" s="490">
        <v>45742</v>
      </c>
      <c r="M24" s="483" t="s">
        <v>57</v>
      </c>
      <c r="N24" s="561">
        <v>23800.25</v>
      </c>
      <c r="O24" s="483" t="s">
        <v>57</v>
      </c>
      <c r="P24" s="1085" t="s">
        <v>331</v>
      </c>
      <c r="Q24" s="493">
        <v>45743</v>
      </c>
      <c r="R24" s="493"/>
      <c r="S24" s="493"/>
      <c r="T24" s="493"/>
      <c r="U24" s="493"/>
      <c r="V24" s="41">
        <v>1697</v>
      </c>
      <c r="W24" s="648">
        <v>1815</v>
      </c>
      <c r="X24" s="107">
        <f t="shared" ref="X24" si="10">SUM(V24-W24)</f>
        <v>-118</v>
      </c>
      <c r="Y24" s="683">
        <f t="shared" ref="Y24:Y26" si="11">IFERROR($W24/$V24, 0)</f>
        <v>1.0695344725987035</v>
      </c>
      <c r="Z24" s="704">
        <v>45791</v>
      </c>
      <c r="AA24" s="366">
        <v>0</v>
      </c>
      <c r="AB24" s="366">
        <v>0</v>
      </c>
      <c r="AC24" s="668">
        <v>0</v>
      </c>
      <c r="AD24" s="503" t="s">
        <v>388</v>
      </c>
    </row>
    <row r="25" spans="1:30" ht="39.75" customHeight="1">
      <c r="A25" s="1011" t="s">
        <v>389</v>
      </c>
      <c r="B25" s="886" t="s">
        <v>50</v>
      </c>
      <c r="C25" s="481">
        <v>46008</v>
      </c>
      <c r="D25" s="481" t="s">
        <v>390</v>
      </c>
      <c r="E25" s="490">
        <v>45952</v>
      </c>
      <c r="F25" s="489" t="s">
        <v>97</v>
      </c>
      <c r="G25" s="887"/>
      <c r="H25" s="492">
        <v>139</v>
      </c>
      <c r="I25" s="687" t="s">
        <v>330</v>
      </c>
      <c r="J25" s="483" t="s">
        <v>56</v>
      </c>
      <c r="K25" s="492"/>
      <c r="L25" s="490" t="s">
        <v>52</v>
      </c>
      <c r="M25" s="492" t="s">
        <v>57</v>
      </c>
      <c r="N25" s="561">
        <v>42766.5</v>
      </c>
      <c r="O25" s="492" t="s">
        <v>57</v>
      </c>
      <c r="P25" s="647" t="s">
        <v>331</v>
      </c>
      <c r="Q25" s="493">
        <v>45939</v>
      </c>
      <c r="R25" s="493"/>
      <c r="S25" s="493"/>
      <c r="T25" s="493"/>
      <c r="U25" s="493"/>
      <c r="V25" s="41">
        <v>6699</v>
      </c>
      <c r="W25" s="648">
        <v>6604</v>
      </c>
      <c r="X25" s="486">
        <f>SUM(V25-W25)</f>
        <v>95</v>
      </c>
      <c r="Y25" s="688">
        <f t="shared" si="11"/>
        <v>0.98581877892222725</v>
      </c>
      <c r="Z25" s="493">
        <v>45954</v>
      </c>
      <c r="AA25" s="366">
        <v>0</v>
      </c>
      <c r="AB25" s="366">
        <v>0</v>
      </c>
      <c r="AC25" s="668">
        <v>0</v>
      </c>
      <c r="AD25" s="427"/>
    </row>
    <row r="26" spans="1:30" ht="39.75" customHeight="1">
      <c r="A26" s="1011" t="s">
        <v>391</v>
      </c>
      <c r="B26" s="886" t="s">
        <v>50</v>
      </c>
      <c r="C26" s="481">
        <v>46008</v>
      </c>
      <c r="D26" s="481" t="s">
        <v>392</v>
      </c>
      <c r="E26" s="490">
        <v>45938</v>
      </c>
      <c r="F26" s="489" t="s">
        <v>97</v>
      </c>
      <c r="G26" s="887"/>
      <c r="H26" s="492">
        <v>193</v>
      </c>
      <c r="I26" s="687" t="s">
        <v>330</v>
      </c>
      <c r="J26" s="483" t="s">
        <v>56</v>
      </c>
      <c r="K26" s="504"/>
      <c r="L26" s="490" t="s">
        <v>52</v>
      </c>
      <c r="M26" s="492" t="s">
        <v>57</v>
      </c>
      <c r="N26" s="561">
        <v>86136</v>
      </c>
      <c r="O26" s="492" t="s">
        <v>57</v>
      </c>
      <c r="P26" s="647" t="s">
        <v>331</v>
      </c>
      <c r="Q26" s="493">
        <v>45938</v>
      </c>
      <c r="R26" s="493"/>
      <c r="S26" s="493"/>
      <c r="T26" s="493"/>
      <c r="U26" s="493"/>
      <c r="V26" s="41">
        <v>7655</v>
      </c>
      <c r="W26" s="648">
        <v>7712</v>
      </c>
      <c r="X26" s="486">
        <f t="shared" ref="X26" si="12">SUM(V26-W26)</f>
        <v>-57</v>
      </c>
      <c r="Y26" s="688">
        <f t="shared" si="11"/>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8:I19 I15:I16" xr:uid="{FF75A226-FC7F-404C-911A-49986724D48A}">
      <formula1>"On Track, In Jeopardy, Completed on Track, Completed, Completed -Missed TSD, On Hold Per Tillman"</formula1>
    </dataValidation>
    <dataValidation type="list" allowBlank="1" showInputMessage="1" showErrorMessage="1" sqref="I20:I21 I2:I14 I17 I23:I26" xr:uid="{FAE40925-7EC8-4626-B635-D815FEB73FF5}">
      <formula1>"On Track, In Jeopardy, Completed on Track, Completed, Completed -Missed TSD"</formula1>
    </dataValidation>
    <dataValidation type="list" allowBlank="1" showInputMessage="1" showErrorMessage="1" sqref="J2:J5 J8:J12 J15:J26" xr:uid="{ECCD296E-320E-42DF-8A21-19E7E0361B1B}">
      <formula1>"Received, Pending, Not Required"</formula1>
    </dataValidation>
    <dataValidation allowBlank="1" showInputMessage="1" showErrorMessage="1" sqref="Q25:U26 E17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4" activePane="topRight" state="frozen"/>
      <selection pane="topRight" activeCell="A39" sqref="A3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393</v>
      </c>
      <c r="B2" s="508" t="s">
        <v>213</v>
      </c>
      <c r="C2" s="481">
        <v>45868</v>
      </c>
      <c r="D2" s="489" t="s">
        <v>394</v>
      </c>
      <c r="E2" s="490">
        <v>45716</v>
      </c>
      <c r="F2" s="489" t="s">
        <v>217</v>
      </c>
      <c r="G2" s="617" t="s">
        <v>395</v>
      </c>
      <c r="H2" s="492">
        <v>0</v>
      </c>
      <c r="I2" s="498" t="s">
        <v>330</v>
      </c>
      <c r="J2" s="492" t="s">
        <v>63</v>
      </c>
      <c r="K2" s="504"/>
      <c r="L2" s="481">
        <v>45716</v>
      </c>
      <c r="M2" s="492" t="s">
        <v>57</v>
      </c>
      <c r="N2" s="561">
        <v>64932.55</v>
      </c>
      <c r="O2" s="492" t="s">
        <v>57</v>
      </c>
      <c r="P2" s="843" t="s">
        <v>331</v>
      </c>
      <c r="Q2" s="493">
        <v>45721</v>
      </c>
      <c r="R2" s="493"/>
      <c r="S2" s="493"/>
      <c r="T2" s="493"/>
      <c r="U2" s="501" t="s">
        <v>396</v>
      </c>
      <c r="V2" s="41">
        <v>5151</v>
      </c>
      <c r="W2" s="772">
        <v>5207</v>
      </c>
      <c r="X2" s="107">
        <f>SUM(V2-W2)</f>
        <v>-56</v>
      </c>
      <c r="Y2" s="22">
        <f>IFERROR($W2/$V2, 0)</f>
        <v>1.0108716754028344</v>
      </c>
      <c r="Z2" s="704">
        <v>45748</v>
      </c>
      <c r="AA2" s="366">
        <v>1</v>
      </c>
      <c r="AB2" s="366">
        <v>1</v>
      </c>
      <c r="AC2" s="41">
        <v>0</v>
      </c>
      <c r="AD2" s="944"/>
    </row>
    <row r="3" spans="1:30" ht="39.75" customHeight="1">
      <c r="A3" s="957" t="s">
        <v>397</v>
      </c>
      <c r="B3" s="508" t="s">
        <v>213</v>
      </c>
      <c r="C3" s="481">
        <v>45991</v>
      </c>
      <c r="D3" s="490" t="s">
        <v>345</v>
      </c>
      <c r="E3" s="442">
        <v>45707</v>
      </c>
      <c r="F3" s="489" t="s">
        <v>217</v>
      </c>
      <c r="G3" s="509" t="s">
        <v>398</v>
      </c>
      <c r="H3" s="498">
        <v>0</v>
      </c>
      <c r="I3" s="498" t="s">
        <v>330</v>
      </c>
      <c r="J3" s="498" t="s">
        <v>63</v>
      </c>
      <c r="K3" s="498"/>
      <c r="L3" s="490">
        <v>45708</v>
      </c>
      <c r="M3" s="498" t="s">
        <v>57</v>
      </c>
      <c r="N3" s="562">
        <v>87944.4</v>
      </c>
      <c r="O3" s="498" t="s">
        <v>57</v>
      </c>
      <c r="P3" s="843" t="s">
        <v>331</v>
      </c>
      <c r="Q3" s="493">
        <v>45709</v>
      </c>
      <c r="R3" s="493"/>
      <c r="S3" s="493"/>
      <c r="T3" s="493"/>
      <c r="U3" s="501" t="s">
        <v>396</v>
      </c>
      <c r="V3" s="510">
        <v>7008</v>
      </c>
      <c r="W3" s="771">
        <v>7258</v>
      </c>
      <c r="X3" s="107">
        <f t="shared" ref="X3" si="0">SUM(V3-W3)</f>
        <v>-250</v>
      </c>
      <c r="Y3" s="22">
        <f t="shared" ref="Y3" si="1">IFERROR($W3/$V3, 0)</f>
        <v>1.0356735159817352</v>
      </c>
      <c r="Z3" s="704">
        <v>45747</v>
      </c>
      <c r="AA3" s="487">
        <v>1</v>
      </c>
      <c r="AB3" s="487">
        <v>1</v>
      </c>
      <c r="AC3" s="855">
        <v>0</v>
      </c>
      <c r="AD3" s="945" t="s">
        <v>399</v>
      </c>
    </row>
    <row r="4" spans="1:30" ht="39.75" customHeight="1">
      <c r="A4" s="908" t="s">
        <v>400</v>
      </c>
      <c r="B4" s="895" t="s">
        <v>213</v>
      </c>
      <c r="C4" s="490">
        <v>45807</v>
      </c>
      <c r="D4" s="479" t="s">
        <v>394</v>
      </c>
      <c r="E4" s="489" t="s">
        <v>52</v>
      </c>
      <c r="F4" s="479" t="s">
        <v>217</v>
      </c>
      <c r="G4" s="887" t="s">
        <v>401</v>
      </c>
      <c r="H4" s="483">
        <v>84</v>
      </c>
      <c r="I4" s="892" t="s">
        <v>330</v>
      </c>
      <c r="J4" s="492" t="s">
        <v>63</v>
      </c>
      <c r="K4" s="909"/>
      <c r="L4" s="481">
        <v>45716</v>
      </c>
      <c r="M4" s="492" t="s">
        <v>57</v>
      </c>
      <c r="N4" s="560">
        <v>2812.95</v>
      </c>
      <c r="O4" s="492" t="s">
        <v>57</v>
      </c>
      <c r="P4" s="843" t="s">
        <v>331</v>
      </c>
      <c r="Q4" s="493">
        <v>45792</v>
      </c>
      <c r="R4" s="493">
        <v>45947</v>
      </c>
      <c r="S4" s="363"/>
      <c r="T4" s="363"/>
      <c r="U4" s="501" t="s">
        <v>396</v>
      </c>
      <c r="V4" s="41">
        <v>285</v>
      </c>
      <c r="W4" s="910">
        <v>285</v>
      </c>
      <c r="X4" s="486">
        <f>SUM(V4-W4)</f>
        <v>0</v>
      </c>
      <c r="Y4" s="688">
        <f>IFERROR($W4/$V4, 0)</f>
        <v>1</v>
      </c>
      <c r="Z4" s="493">
        <v>45798</v>
      </c>
      <c r="AA4" s="688">
        <v>1</v>
      </c>
      <c r="AB4" s="688">
        <v>1</v>
      </c>
      <c r="AC4" s="486">
        <v>3451</v>
      </c>
      <c r="AD4" s="690"/>
    </row>
    <row r="5" spans="1:30" ht="39.75" customHeight="1">
      <c r="A5" s="908" t="s">
        <v>402</v>
      </c>
      <c r="B5" s="508" t="s">
        <v>213</v>
      </c>
      <c r="C5" s="481">
        <v>45991</v>
      </c>
      <c r="D5" s="489" t="s">
        <v>345</v>
      </c>
      <c r="E5" s="490">
        <v>45866</v>
      </c>
      <c r="F5" s="489" t="s">
        <v>217</v>
      </c>
      <c r="G5" s="491" t="s">
        <v>403</v>
      </c>
      <c r="H5" s="492">
        <v>0</v>
      </c>
      <c r="I5" s="498" t="s">
        <v>330</v>
      </c>
      <c r="J5" s="492" t="s">
        <v>63</v>
      </c>
      <c r="K5" s="504"/>
      <c r="L5" s="490">
        <v>45863</v>
      </c>
      <c r="M5" s="492" t="s">
        <v>57</v>
      </c>
      <c r="N5" s="561">
        <v>143407.25</v>
      </c>
      <c r="O5" s="492" t="s">
        <v>57</v>
      </c>
      <c r="P5" s="843" t="s">
        <v>331</v>
      </c>
      <c r="Q5" s="493">
        <v>45863</v>
      </c>
      <c r="R5" s="493"/>
      <c r="S5" s="493"/>
      <c r="T5" s="493"/>
      <c r="U5" s="501" t="s">
        <v>396</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404</v>
      </c>
      <c r="B6" s="508" t="s">
        <v>213</v>
      </c>
      <c r="C6" s="481">
        <v>45991</v>
      </c>
      <c r="D6" s="489" t="s">
        <v>60</v>
      </c>
      <c r="E6" s="490">
        <v>45880</v>
      </c>
      <c r="F6" s="489" t="s">
        <v>235</v>
      </c>
      <c r="G6" s="491" t="s">
        <v>405</v>
      </c>
      <c r="H6" s="492">
        <v>0</v>
      </c>
      <c r="I6" s="498" t="s">
        <v>330</v>
      </c>
      <c r="J6" s="492" t="s">
        <v>63</v>
      </c>
      <c r="K6" s="504"/>
      <c r="L6" s="490">
        <v>45881</v>
      </c>
      <c r="M6" s="492" t="s">
        <v>57</v>
      </c>
      <c r="N6" s="561">
        <v>4815.6499999999996</v>
      </c>
      <c r="O6" s="492" t="s">
        <v>57</v>
      </c>
      <c r="P6" s="843" t="s">
        <v>331</v>
      </c>
      <c r="Q6" s="493">
        <v>45881</v>
      </c>
      <c r="R6" s="493">
        <v>45947</v>
      </c>
      <c r="S6" s="493"/>
      <c r="T6" s="493"/>
      <c r="U6" s="501" t="s">
        <v>396</v>
      </c>
      <c r="V6" s="41">
        <v>321</v>
      </c>
      <c r="W6" s="772">
        <v>367</v>
      </c>
      <c r="X6" s="107">
        <f>SUM(V6-W6)</f>
        <v>-46</v>
      </c>
      <c r="Y6" s="22">
        <f>IFERROR($W6/$V6, 0)</f>
        <v>1.1433021806853583</v>
      </c>
      <c r="Z6" s="704">
        <v>45905</v>
      </c>
      <c r="AA6" s="366">
        <v>0</v>
      </c>
      <c r="AB6" s="366">
        <v>0</v>
      </c>
      <c r="AC6" s="41">
        <v>0</v>
      </c>
      <c r="AD6" s="533"/>
    </row>
    <row r="7" spans="1:30" ht="39.75" customHeight="1">
      <c r="A7" s="1028" t="s">
        <v>406</v>
      </c>
      <c r="B7" s="898" t="s">
        <v>213</v>
      </c>
      <c r="C7" s="899">
        <v>45955</v>
      </c>
      <c r="D7" s="900" t="s">
        <v>132</v>
      </c>
      <c r="E7" s="900">
        <v>45919</v>
      </c>
      <c r="F7" s="900" t="s">
        <v>240</v>
      </c>
      <c r="G7" s="901" t="s">
        <v>407</v>
      </c>
      <c r="H7" s="405">
        <v>0</v>
      </c>
      <c r="I7" s="902" t="s">
        <v>330</v>
      </c>
      <c r="J7" s="405" t="s">
        <v>63</v>
      </c>
      <c r="K7" s="405"/>
      <c r="L7" s="900" t="s">
        <v>52</v>
      </c>
      <c r="M7" s="405" t="s">
        <v>57</v>
      </c>
      <c r="N7" s="903">
        <v>4646.75</v>
      </c>
      <c r="O7" s="405" t="s">
        <v>94</v>
      </c>
      <c r="P7" s="998" t="s">
        <v>331</v>
      </c>
      <c r="Q7" s="618"/>
      <c r="R7" s="618">
        <v>45947</v>
      </c>
      <c r="S7" s="618"/>
      <c r="T7" s="618"/>
      <c r="U7" s="501" t="s">
        <v>396</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408</v>
      </c>
      <c r="B8" s="506" t="s">
        <v>109</v>
      </c>
      <c r="C8" s="521">
        <v>45930</v>
      </c>
      <c r="D8" s="521" t="s">
        <v>60</v>
      </c>
      <c r="E8" s="521">
        <v>45918</v>
      </c>
      <c r="F8" s="506" t="s">
        <v>110</v>
      </c>
      <c r="G8" s="1024"/>
      <c r="H8" s="520">
        <v>0</v>
      </c>
      <c r="I8" s="1026" t="s">
        <v>330</v>
      </c>
      <c r="J8" s="520" t="s">
        <v>63</v>
      </c>
      <c r="K8" s="520"/>
      <c r="L8" s="514">
        <v>45918</v>
      </c>
      <c r="M8" s="520" t="s">
        <v>57</v>
      </c>
      <c r="N8" s="563">
        <v>10840.25</v>
      </c>
      <c r="O8" s="520" t="s">
        <v>57</v>
      </c>
      <c r="P8" s="1043" t="s">
        <v>331</v>
      </c>
      <c r="Q8" s="493">
        <v>45912</v>
      </c>
      <c r="R8" s="485"/>
      <c r="S8" s="485"/>
      <c r="T8" s="485"/>
      <c r="U8" s="501" t="s">
        <v>396</v>
      </c>
      <c r="V8" s="486">
        <v>865</v>
      </c>
      <c r="W8" s="772">
        <v>851</v>
      </c>
      <c r="X8" s="107">
        <f t="shared" si="4"/>
        <v>14</v>
      </c>
      <c r="Y8" s="683">
        <f t="shared" si="5"/>
        <v>0.98381502890173411</v>
      </c>
      <c r="Z8" s="678">
        <v>45924</v>
      </c>
      <c r="AA8" s="517">
        <v>1</v>
      </c>
      <c r="AB8" s="517">
        <v>1</v>
      </c>
      <c r="AC8" s="668">
        <v>0</v>
      </c>
      <c r="AD8" s="947" t="s">
        <v>409</v>
      </c>
    </row>
    <row r="9" spans="1:30" ht="39.75" customHeight="1">
      <c r="A9" s="1014" t="s">
        <v>410</v>
      </c>
      <c r="B9" s="479" t="s">
        <v>109</v>
      </c>
      <c r="C9" s="490">
        <v>45960</v>
      </c>
      <c r="D9" s="481" t="s">
        <v>60</v>
      </c>
      <c r="E9" s="490">
        <v>45918</v>
      </c>
      <c r="F9" s="479" t="s">
        <v>110</v>
      </c>
      <c r="G9" s="50" t="s">
        <v>411</v>
      </c>
      <c r="H9" s="1127">
        <v>0</v>
      </c>
      <c r="I9" s="687" t="s">
        <v>330</v>
      </c>
      <c r="J9" s="483" t="s">
        <v>63</v>
      </c>
      <c r="K9" s="483"/>
      <c r="L9" s="490">
        <v>45918</v>
      </c>
      <c r="M9" s="492" t="s">
        <v>57</v>
      </c>
      <c r="N9" s="561">
        <v>9611.9500000000007</v>
      </c>
      <c r="O9" s="492" t="s">
        <v>57</v>
      </c>
      <c r="P9" s="843" t="s">
        <v>331</v>
      </c>
      <c r="Q9" s="493">
        <v>45918</v>
      </c>
      <c r="R9" s="493"/>
      <c r="S9" s="493"/>
      <c r="T9" s="493"/>
      <c r="U9" s="501" t="s">
        <v>396</v>
      </c>
      <c r="V9" s="41">
        <v>807</v>
      </c>
      <c r="W9" s="772">
        <v>896</v>
      </c>
      <c r="X9" s="107">
        <f t="shared" si="4"/>
        <v>-89</v>
      </c>
      <c r="Y9" s="683">
        <f t="shared" si="5"/>
        <v>1.110285006195787</v>
      </c>
      <c r="Z9" s="704">
        <v>45938</v>
      </c>
      <c r="AA9" s="688">
        <v>1</v>
      </c>
      <c r="AB9" s="688">
        <v>1</v>
      </c>
      <c r="AC9" s="668">
        <v>0</v>
      </c>
      <c r="AD9" s="488" t="s">
        <v>412</v>
      </c>
    </row>
    <row r="10" spans="1:30" ht="39.75" customHeight="1">
      <c r="A10" s="911" t="s">
        <v>413</v>
      </c>
      <c r="B10" s="479" t="s">
        <v>109</v>
      </c>
      <c r="C10" s="490">
        <v>45899</v>
      </c>
      <c r="D10" s="529" t="s">
        <v>414</v>
      </c>
      <c r="E10" s="490">
        <v>45889</v>
      </c>
      <c r="F10" s="505" t="s">
        <v>125</v>
      </c>
      <c r="G10" s="491"/>
      <c r="H10" s="492">
        <v>76</v>
      </c>
      <c r="I10" s="498" t="s">
        <v>330</v>
      </c>
      <c r="J10" s="492" t="s">
        <v>63</v>
      </c>
      <c r="K10" s="504"/>
      <c r="L10" s="490">
        <v>45888</v>
      </c>
      <c r="M10" s="492" t="s">
        <v>57</v>
      </c>
      <c r="N10" s="561">
        <v>53902</v>
      </c>
      <c r="O10" s="492" t="s">
        <v>57</v>
      </c>
      <c r="P10" s="843" t="s">
        <v>331</v>
      </c>
      <c r="Q10" s="493">
        <v>45887</v>
      </c>
      <c r="R10" s="493"/>
      <c r="S10" s="493"/>
      <c r="T10" s="493"/>
      <c r="U10" s="501" t="s">
        <v>396</v>
      </c>
      <c r="V10" s="41">
        <v>3566</v>
      </c>
      <c r="W10" s="772">
        <v>3704</v>
      </c>
      <c r="X10" s="107">
        <f t="shared" si="4"/>
        <v>-138</v>
      </c>
      <c r="Y10" s="22">
        <f t="shared" si="5"/>
        <v>1.0386988222097588</v>
      </c>
      <c r="Z10" s="704">
        <v>45904</v>
      </c>
      <c r="AA10" s="366">
        <v>1</v>
      </c>
      <c r="AB10" s="366">
        <v>1</v>
      </c>
      <c r="AC10" s="668">
        <v>0</v>
      </c>
      <c r="AD10" s="533" t="s">
        <v>415</v>
      </c>
    </row>
    <row r="11" spans="1:30" ht="39.75" customHeight="1">
      <c r="A11" s="911" t="s">
        <v>416</v>
      </c>
      <c r="B11" s="479" t="s">
        <v>109</v>
      </c>
      <c r="C11" s="490">
        <v>45930</v>
      </c>
      <c r="D11" s="481" t="s">
        <v>132</v>
      </c>
      <c r="E11" s="481">
        <v>45896</v>
      </c>
      <c r="F11" s="505" t="s">
        <v>125</v>
      </c>
      <c r="G11" s="479" t="s">
        <v>417</v>
      </c>
      <c r="H11" s="483">
        <v>72</v>
      </c>
      <c r="I11" s="483" t="s">
        <v>330</v>
      </c>
      <c r="J11" s="483" t="s">
        <v>63</v>
      </c>
      <c r="K11" s="483"/>
      <c r="L11" s="481">
        <v>45897</v>
      </c>
      <c r="M11" s="483" t="s">
        <v>57</v>
      </c>
      <c r="N11" s="560">
        <v>50874.95</v>
      </c>
      <c r="O11" s="483" t="s">
        <v>57</v>
      </c>
      <c r="P11" s="843" t="s">
        <v>331</v>
      </c>
      <c r="Q11" s="485">
        <v>45897</v>
      </c>
      <c r="R11" s="496"/>
      <c r="S11" s="496"/>
      <c r="T11" s="496"/>
      <c r="U11" s="501" t="s">
        <v>396</v>
      </c>
      <c r="V11" s="486">
        <v>3012</v>
      </c>
      <c r="W11" s="772">
        <v>3012</v>
      </c>
      <c r="X11" s="486">
        <f t="shared" si="4"/>
        <v>0</v>
      </c>
      <c r="Y11" s="688">
        <f t="shared" si="5"/>
        <v>1</v>
      </c>
      <c r="Z11" s="493">
        <v>45916</v>
      </c>
      <c r="AA11" s="366">
        <v>1</v>
      </c>
      <c r="AB11" s="366">
        <v>1</v>
      </c>
      <c r="AC11" s="668">
        <v>0</v>
      </c>
      <c r="AD11" s="177" t="s">
        <v>418</v>
      </c>
    </row>
    <row r="12" spans="1:30" ht="39.75" customHeight="1">
      <c r="A12" s="911" t="s">
        <v>419</v>
      </c>
      <c r="B12" s="479" t="s">
        <v>109</v>
      </c>
      <c r="C12" s="490">
        <v>45930</v>
      </c>
      <c r="D12" s="481" t="s">
        <v>132</v>
      </c>
      <c r="E12" s="481">
        <v>45896</v>
      </c>
      <c r="F12" s="479" t="s">
        <v>125</v>
      </c>
      <c r="G12" s="479" t="s">
        <v>420</v>
      </c>
      <c r="H12" s="483">
        <v>66</v>
      </c>
      <c r="I12" s="483" t="s">
        <v>330</v>
      </c>
      <c r="J12" s="483" t="s">
        <v>63</v>
      </c>
      <c r="K12" s="483"/>
      <c r="L12" s="481">
        <v>45897</v>
      </c>
      <c r="M12" s="483" t="s">
        <v>57</v>
      </c>
      <c r="N12" s="560">
        <v>44896.1</v>
      </c>
      <c r="O12" s="483" t="s">
        <v>57</v>
      </c>
      <c r="P12" s="843" t="s">
        <v>331</v>
      </c>
      <c r="Q12" s="485">
        <v>45897</v>
      </c>
      <c r="R12" s="496"/>
      <c r="S12" s="496"/>
      <c r="T12" s="496"/>
      <c r="U12" s="501" t="s">
        <v>396</v>
      </c>
      <c r="V12" s="486">
        <v>2385</v>
      </c>
      <c r="W12" s="772">
        <v>2385</v>
      </c>
      <c r="X12" s="107">
        <f t="shared" si="4"/>
        <v>0</v>
      </c>
      <c r="Y12" s="22">
        <f t="shared" si="5"/>
        <v>1</v>
      </c>
      <c r="Z12" s="704">
        <v>45918</v>
      </c>
      <c r="AA12" s="366">
        <v>1</v>
      </c>
      <c r="AB12" s="366">
        <v>1</v>
      </c>
      <c r="AC12" s="668">
        <v>0</v>
      </c>
      <c r="AD12" s="427" t="s">
        <v>421</v>
      </c>
    </row>
    <row r="13" spans="1:30" ht="39.75" customHeight="1">
      <c r="A13" s="908" t="s">
        <v>422</v>
      </c>
      <c r="B13" s="479" t="s">
        <v>109</v>
      </c>
      <c r="C13" s="490">
        <v>45930</v>
      </c>
      <c r="D13" s="481" t="s">
        <v>132</v>
      </c>
      <c r="E13" s="665">
        <v>45910</v>
      </c>
      <c r="F13" s="665" t="s">
        <v>125</v>
      </c>
      <c r="G13" s="479" t="s">
        <v>423</v>
      </c>
      <c r="H13" s="483">
        <v>87</v>
      </c>
      <c r="I13" s="483" t="s">
        <v>330</v>
      </c>
      <c r="J13" s="483" t="s">
        <v>63</v>
      </c>
      <c r="K13" s="483"/>
      <c r="L13" s="481">
        <v>45912</v>
      </c>
      <c r="M13" s="483" t="s">
        <v>57</v>
      </c>
      <c r="N13" s="560">
        <v>60115.95</v>
      </c>
      <c r="O13" s="483" t="s">
        <v>57</v>
      </c>
      <c r="P13" s="843" t="s">
        <v>331</v>
      </c>
      <c r="Q13" s="485">
        <v>45908</v>
      </c>
      <c r="R13" s="485"/>
      <c r="S13" s="485"/>
      <c r="T13" s="485"/>
      <c r="U13" s="501" t="s">
        <v>396</v>
      </c>
      <c r="V13" s="486">
        <v>4774</v>
      </c>
      <c r="W13" s="772">
        <v>4605</v>
      </c>
      <c r="X13" s="107">
        <f t="shared" si="4"/>
        <v>169</v>
      </c>
      <c r="Y13" s="22">
        <f t="shared" si="5"/>
        <v>0.96459991621281949</v>
      </c>
      <c r="Z13" s="704">
        <v>45930</v>
      </c>
      <c r="AA13" s="366">
        <v>1</v>
      </c>
      <c r="AB13" s="366">
        <v>1</v>
      </c>
      <c r="AC13" s="668">
        <v>0</v>
      </c>
      <c r="AD13" s="427" t="s">
        <v>424</v>
      </c>
    </row>
    <row r="14" spans="1:30" ht="39.75" customHeight="1">
      <c r="A14" s="911" t="s">
        <v>425</v>
      </c>
      <c r="B14" s="479" t="s">
        <v>109</v>
      </c>
      <c r="C14" s="490">
        <v>45930</v>
      </c>
      <c r="D14" s="481" t="s">
        <v>132</v>
      </c>
      <c r="E14" s="665">
        <v>45910</v>
      </c>
      <c r="F14" s="479" t="s">
        <v>110</v>
      </c>
      <c r="G14" s="479" t="s">
        <v>426</v>
      </c>
      <c r="H14" s="483">
        <v>80</v>
      </c>
      <c r="I14" s="483" t="s">
        <v>330</v>
      </c>
      <c r="J14" s="483" t="s">
        <v>63</v>
      </c>
      <c r="K14" s="483"/>
      <c r="L14" s="481">
        <v>45903</v>
      </c>
      <c r="M14" s="483" t="s">
        <v>57</v>
      </c>
      <c r="N14" s="560">
        <v>59116.7</v>
      </c>
      <c r="O14" s="483" t="s">
        <v>57</v>
      </c>
      <c r="P14" s="843" t="s">
        <v>331</v>
      </c>
      <c r="Q14" s="485">
        <v>45903</v>
      </c>
      <c r="R14" s="496"/>
      <c r="S14" s="496"/>
      <c r="T14" s="485"/>
      <c r="U14" s="501" t="s">
        <v>396</v>
      </c>
      <c r="V14" s="486">
        <v>4833</v>
      </c>
      <c r="W14" s="772">
        <v>4446</v>
      </c>
      <c r="X14" s="107">
        <f t="shared" si="4"/>
        <v>387</v>
      </c>
      <c r="Y14" s="22">
        <f t="shared" si="5"/>
        <v>0.91992551210428308</v>
      </c>
      <c r="Z14" s="704">
        <v>45923</v>
      </c>
      <c r="AA14" s="366">
        <v>1</v>
      </c>
      <c r="AB14" s="366">
        <v>1</v>
      </c>
      <c r="AC14" s="668">
        <v>0</v>
      </c>
      <c r="AD14" s="427" t="s">
        <v>427</v>
      </c>
    </row>
    <row r="15" spans="1:30" ht="39.75" customHeight="1">
      <c r="A15" s="908" t="s">
        <v>428</v>
      </c>
      <c r="B15" s="479" t="s">
        <v>109</v>
      </c>
      <c r="C15" s="490">
        <v>45930</v>
      </c>
      <c r="D15" s="481" t="s">
        <v>132</v>
      </c>
      <c r="E15" s="665">
        <v>45910</v>
      </c>
      <c r="F15" s="665" t="s">
        <v>125</v>
      </c>
      <c r="G15" s="709" t="s">
        <v>429</v>
      </c>
      <c r="H15" s="483">
        <v>67</v>
      </c>
      <c r="I15" s="687" t="s">
        <v>330</v>
      </c>
      <c r="J15" s="483" t="s">
        <v>63</v>
      </c>
      <c r="K15" s="483"/>
      <c r="L15" s="481">
        <v>45903</v>
      </c>
      <c r="M15" s="483" t="s">
        <v>57</v>
      </c>
      <c r="N15" s="560">
        <v>40406</v>
      </c>
      <c r="O15" s="483" t="s">
        <v>57</v>
      </c>
      <c r="P15" s="843" t="s">
        <v>331</v>
      </c>
      <c r="Q15" s="485">
        <v>45903</v>
      </c>
      <c r="R15" s="571"/>
      <c r="S15" s="571"/>
      <c r="T15" s="571"/>
      <c r="U15" s="501" t="s">
        <v>396</v>
      </c>
      <c r="V15" s="486">
        <v>3895</v>
      </c>
      <c r="W15" s="772">
        <v>3809</v>
      </c>
      <c r="X15" s="107">
        <f t="shared" si="4"/>
        <v>86</v>
      </c>
      <c r="Y15" s="683">
        <f t="shared" si="5"/>
        <v>0.97792041078305525</v>
      </c>
      <c r="Z15" s="704">
        <v>45924</v>
      </c>
      <c r="AA15" s="366">
        <v>1</v>
      </c>
      <c r="AB15" s="366">
        <v>1</v>
      </c>
      <c r="AC15" s="668">
        <v>0</v>
      </c>
      <c r="AD15" s="946" t="s">
        <v>430</v>
      </c>
    </row>
    <row r="16" spans="1:30" ht="39.75" customHeight="1">
      <c r="A16" s="911" t="s">
        <v>431</v>
      </c>
      <c r="B16" s="479" t="s">
        <v>109</v>
      </c>
      <c r="C16" s="490">
        <v>45930</v>
      </c>
      <c r="D16" s="481" t="s">
        <v>132</v>
      </c>
      <c r="E16" s="665">
        <v>45910</v>
      </c>
      <c r="F16" s="479" t="s">
        <v>110</v>
      </c>
      <c r="G16" s="709"/>
      <c r="H16" s="483">
        <v>54</v>
      </c>
      <c r="I16" s="687" t="s">
        <v>330</v>
      </c>
      <c r="J16" s="483" t="s">
        <v>63</v>
      </c>
      <c r="K16" s="483"/>
      <c r="L16" s="481">
        <v>45903</v>
      </c>
      <c r="M16" s="483" t="s">
        <v>57</v>
      </c>
      <c r="N16" s="560">
        <v>27186</v>
      </c>
      <c r="O16" s="483" t="s">
        <v>57</v>
      </c>
      <c r="P16" s="843" t="s">
        <v>331</v>
      </c>
      <c r="Q16" s="485">
        <v>45903</v>
      </c>
      <c r="R16" s="571"/>
      <c r="S16" s="571"/>
      <c r="T16" s="571"/>
      <c r="U16" s="501" t="s">
        <v>396</v>
      </c>
      <c r="V16" s="486">
        <v>2084</v>
      </c>
      <c r="W16" s="772">
        <v>2039</v>
      </c>
      <c r="X16" s="107">
        <f t="shared" si="4"/>
        <v>45</v>
      </c>
      <c r="Y16" s="683">
        <f t="shared" si="5"/>
        <v>0.97840690978886757</v>
      </c>
      <c r="Z16" s="704">
        <v>45918</v>
      </c>
      <c r="AA16" s="366">
        <v>1</v>
      </c>
      <c r="AB16" s="366">
        <v>1</v>
      </c>
      <c r="AC16" s="668">
        <v>0</v>
      </c>
      <c r="AD16" s="947" t="s">
        <v>432</v>
      </c>
    </row>
    <row r="17" spans="1:30" ht="39.75" customHeight="1">
      <c r="A17" s="911" t="s">
        <v>433</v>
      </c>
      <c r="B17" s="479" t="s">
        <v>109</v>
      </c>
      <c r="C17" s="490">
        <v>45930</v>
      </c>
      <c r="D17" s="481" t="s">
        <v>132</v>
      </c>
      <c r="E17" s="481">
        <v>45896</v>
      </c>
      <c r="F17" s="505" t="s">
        <v>125</v>
      </c>
      <c r="G17" s="482"/>
      <c r="H17" s="483">
        <v>87</v>
      </c>
      <c r="I17" s="484" t="s">
        <v>330</v>
      </c>
      <c r="J17" s="483" t="s">
        <v>63</v>
      </c>
      <c r="K17" s="483"/>
      <c r="L17" s="481">
        <v>45897</v>
      </c>
      <c r="M17" s="483" t="s">
        <v>57</v>
      </c>
      <c r="N17" s="560">
        <v>52204</v>
      </c>
      <c r="O17" s="483" t="s">
        <v>57</v>
      </c>
      <c r="P17" s="843" t="s">
        <v>331</v>
      </c>
      <c r="Q17" s="485">
        <v>45896</v>
      </c>
      <c r="R17" s="496"/>
      <c r="S17" s="496"/>
      <c r="T17" s="496"/>
      <c r="U17" s="501" t="s">
        <v>396</v>
      </c>
      <c r="V17" s="486">
        <v>4048</v>
      </c>
      <c r="W17" s="772">
        <v>5120</v>
      </c>
      <c r="X17" s="107">
        <f t="shared" si="4"/>
        <v>-1072</v>
      </c>
      <c r="Y17" s="22">
        <f t="shared" si="5"/>
        <v>1.2648221343873518</v>
      </c>
      <c r="Z17" s="704">
        <v>45910</v>
      </c>
      <c r="AA17" s="366">
        <v>1</v>
      </c>
      <c r="AB17" s="366">
        <v>1</v>
      </c>
      <c r="AC17" s="907">
        <v>0</v>
      </c>
      <c r="AD17" s="946" t="s">
        <v>434</v>
      </c>
    </row>
    <row r="18" spans="1:30" ht="39.75" customHeight="1">
      <c r="A18" s="1014" t="s">
        <v>435</v>
      </c>
      <c r="B18" s="479" t="s">
        <v>109</v>
      </c>
      <c r="C18" s="490">
        <v>45930</v>
      </c>
      <c r="D18" s="481" t="s">
        <v>132</v>
      </c>
      <c r="E18" s="481">
        <v>45915</v>
      </c>
      <c r="F18" s="665" t="s">
        <v>125</v>
      </c>
      <c r="G18" s="709"/>
      <c r="H18" s="483">
        <v>53</v>
      </c>
      <c r="I18" s="687" t="s">
        <v>330</v>
      </c>
      <c r="J18" s="483" t="s">
        <v>63</v>
      </c>
      <c r="K18" s="483"/>
      <c r="L18" s="481">
        <v>45912</v>
      </c>
      <c r="M18" s="483" t="s">
        <v>57</v>
      </c>
      <c r="N18" s="560">
        <v>47676</v>
      </c>
      <c r="O18" s="483" t="s">
        <v>57</v>
      </c>
      <c r="P18" s="843" t="s">
        <v>331</v>
      </c>
      <c r="Q18" s="485">
        <v>45912</v>
      </c>
      <c r="R18" s="571"/>
      <c r="S18" s="571"/>
      <c r="T18" s="571"/>
      <c r="U18" s="501" t="s">
        <v>396</v>
      </c>
      <c r="V18" s="486">
        <v>4022</v>
      </c>
      <c r="W18" s="772">
        <v>3933</v>
      </c>
      <c r="X18" s="107">
        <f t="shared" si="4"/>
        <v>89</v>
      </c>
      <c r="Y18" s="683">
        <f t="shared" si="5"/>
        <v>0.97787170561909498</v>
      </c>
      <c r="Z18" s="704">
        <v>45931</v>
      </c>
      <c r="AA18" s="366">
        <v>1</v>
      </c>
      <c r="AB18" s="366">
        <v>1</v>
      </c>
      <c r="AC18" s="668">
        <v>0</v>
      </c>
      <c r="AD18" s="787" t="s">
        <v>436</v>
      </c>
    </row>
    <row r="19" spans="1:30" ht="39.75" customHeight="1">
      <c r="A19" s="1014" t="s">
        <v>437</v>
      </c>
      <c r="B19" s="479" t="s">
        <v>109</v>
      </c>
      <c r="C19" s="490">
        <v>45945</v>
      </c>
      <c r="D19" s="481" t="s">
        <v>132</v>
      </c>
      <c r="E19" s="481">
        <v>45945</v>
      </c>
      <c r="F19" s="479" t="s">
        <v>133</v>
      </c>
      <c r="G19" s="709"/>
      <c r="H19" s="483">
        <v>59</v>
      </c>
      <c r="I19" s="687" t="s">
        <v>330</v>
      </c>
      <c r="J19" s="483" t="s">
        <v>63</v>
      </c>
      <c r="K19" s="483"/>
      <c r="L19" s="481">
        <v>45933</v>
      </c>
      <c r="M19" s="483" t="s">
        <v>57</v>
      </c>
      <c r="N19" s="560">
        <v>44697.599999999999</v>
      </c>
      <c r="O19" s="483" t="s">
        <v>57</v>
      </c>
      <c r="P19" s="843" t="s">
        <v>331</v>
      </c>
      <c r="Q19" s="485">
        <v>45933</v>
      </c>
      <c r="R19" s="571"/>
      <c r="S19" s="571"/>
      <c r="T19" s="571"/>
      <c r="U19" s="501" t="s">
        <v>396</v>
      </c>
      <c r="V19" s="486">
        <v>3495</v>
      </c>
      <c r="W19" s="772">
        <v>3448</v>
      </c>
      <c r="X19" s="107">
        <f>SUM(V19-W19)</f>
        <v>47</v>
      </c>
      <c r="Y19" s="683">
        <f>IFERROR($W19/$V19, 0)</f>
        <v>0.98655221745350496</v>
      </c>
      <c r="Z19" s="704">
        <v>45945</v>
      </c>
      <c r="AA19" s="366">
        <v>1</v>
      </c>
      <c r="AB19" s="366">
        <v>1</v>
      </c>
      <c r="AC19" s="822">
        <v>0</v>
      </c>
      <c r="AD19" s="787" t="s">
        <v>438</v>
      </c>
    </row>
    <row r="20" spans="1:30" ht="39.75" customHeight="1">
      <c r="A20" s="1014" t="s">
        <v>439</v>
      </c>
      <c r="B20" s="479" t="s">
        <v>109</v>
      </c>
      <c r="C20" s="490">
        <v>45960</v>
      </c>
      <c r="D20" s="481" t="s">
        <v>132</v>
      </c>
      <c r="E20" s="481">
        <v>45936</v>
      </c>
      <c r="F20" s="479" t="s">
        <v>133</v>
      </c>
      <c r="G20" s="709"/>
      <c r="H20" s="483">
        <v>35</v>
      </c>
      <c r="I20" s="687" t="s">
        <v>330</v>
      </c>
      <c r="J20" s="483" t="s">
        <v>63</v>
      </c>
      <c r="K20" s="483"/>
      <c r="L20" s="481">
        <v>45933</v>
      </c>
      <c r="M20" s="483" t="s">
        <v>57</v>
      </c>
      <c r="N20" s="560">
        <v>26026</v>
      </c>
      <c r="O20" s="483" t="s">
        <v>57</v>
      </c>
      <c r="P20" s="843" t="s">
        <v>331</v>
      </c>
      <c r="Q20" s="485">
        <v>45933</v>
      </c>
      <c r="R20" s="571"/>
      <c r="S20" s="571"/>
      <c r="T20" s="571"/>
      <c r="U20" s="501" t="s">
        <v>396</v>
      </c>
      <c r="V20" s="486">
        <v>2071</v>
      </c>
      <c r="W20" s="772">
        <v>2072</v>
      </c>
      <c r="X20" s="486">
        <f>SUM(V20-W20)</f>
        <v>-1</v>
      </c>
      <c r="Y20" s="688">
        <f t="shared" ref="Y20" si="6">IFERROR($W20/$V20, 0)</f>
        <v>1.000482858522453</v>
      </c>
      <c r="Z20" s="493">
        <v>45958</v>
      </c>
      <c r="AA20" s="366">
        <v>1</v>
      </c>
      <c r="AB20" s="366">
        <v>1</v>
      </c>
      <c r="AC20" s="822">
        <v>0</v>
      </c>
      <c r="AD20" s="488" t="s">
        <v>440</v>
      </c>
    </row>
    <row r="21" spans="1:30" ht="39.75" customHeight="1">
      <c r="A21" s="911" t="s">
        <v>441</v>
      </c>
      <c r="B21" s="479" t="s">
        <v>109</v>
      </c>
      <c r="C21" s="490">
        <v>45960</v>
      </c>
      <c r="D21" s="481" t="s">
        <v>132</v>
      </c>
      <c r="E21" s="481">
        <v>45915</v>
      </c>
      <c r="F21" s="665" t="s">
        <v>125</v>
      </c>
      <c r="G21" s="709"/>
      <c r="H21" s="483">
        <v>82</v>
      </c>
      <c r="I21" s="687" t="s">
        <v>330</v>
      </c>
      <c r="J21" s="483" t="s">
        <v>63</v>
      </c>
      <c r="K21" s="483"/>
      <c r="L21" s="481">
        <v>45912</v>
      </c>
      <c r="M21" s="483" t="s">
        <v>57</v>
      </c>
      <c r="N21" s="560">
        <v>82621.149999999994</v>
      </c>
      <c r="O21" s="483" t="s">
        <v>57</v>
      </c>
      <c r="P21" s="843" t="s">
        <v>331</v>
      </c>
      <c r="Q21" s="485">
        <v>45912</v>
      </c>
      <c r="R21" s="485"/>
      <c r="S21" s="485"/>
      <c r="T21" s="485"/>
      <c r="U21" s="501" t="s">
        <v>396</v>
      </c>
      <c r="V21" s="486">
        <v>5653</v>
      </c>
      <c r="W21" s="772">
        <v>5653</v>
      </c>
      <c r="X21" s="107">
        <f t="shared" si="4"/>
        <v>0</v>
      </c>
      <c r="Y21" s="683">
        <f t="shared" si="5"/>
        <v>1</v>
      </c>
      <c r="Z21" s="704">
        <v>45932</v>
      </c>
      <c r="AA21" s="366">
        <v>1</v>
      </c>
      <c r="AB21" s="366">
        <v>1</v>
      </c>
      <c r="AC21" s="822">
        <v>0</v>
      </c>
      <c r="AD21" s="946" t="s">
        <v>442</v>
      </c>
    </row>
    <row r="22" spans="1:30" ht="39.75" customHeight="1">
      <c r="A22" s="1014" t="s">
        <v>443</v>
      </c>
      <c r="B22" s="479" t="s">
        <v>109</v>
      </c>
      <c r="C22" s="490">
        <v>45960</v>
      </c>
      <c r="D22" s="481" t="s">
        <v>146</v>
      </c>
      <c r="E22" s="481">
        <v>45950</v>
      </c>
      <c r="F22" s="479" t="s">
        <v>133</v>
      </c>
      <c r="G22" s="709"/>
      <c r="H22" s="483">
        <v>82</v>
      </c>
      <c r="I22" s="687" t="s">
        <v>330</v>
      </c>
      <c r="J22" s="483" t="s">
        <v>63</v>
      </c>
      <c r="K22" s="483"/>
      <c r="L22" s="481">
        <v>45933</v>
      </c>
      <c r="M22" s="483" t="s">
        <v>57</v>
      </c>
      <c r="N22" s="560">
        <v>58864</v>
      </c>
      <c r="O22" s="483" t="s">
        <v>57</v>
      </c>
      <c r="P22" s="843" t="s">
        <v>331</v>
      </c>
      <c r="Q22" s="485">
        <v>45933</v>
      </c>
      <c r="R22" s="485"/>
      <c r="S22" s="485"/>
      <c r="T22" s="485"/>
      <c r="U22" s="501" t="s">
        <v>396</v>
      </c>
      <c r="V22" s="486">
        <v>4747</v>
      </c>
      <c r="W22" s="772">
        <v>4925</v>
      </c>
      <c r="X22" s="107">
        <f t="shared" si="4"/>
        <v>-178</v>
      </c>
      <c r="Y22" s="683">
        <f t="shared" si="5"/>
        <v>1.0374973667579523</v>
      </c>
      <c r="Z22" s="704">
        <v>45951</v>
      </c>
      <c r="AA22" s="366">
        <v>1</v>
      </c>
      <c r="AB22" s="366">
        <v>1</v>
      </c>
      <c r="AC22" s="822">
        <v>0</v>
      </c>
      <c r="AD22" s="488" t="s">
        <v>444</v>
      </c>
    </row>
    <row r="23" spans="1:30" ht="39.75" customHeight="1">
      <c r="A23" s="908" t="s">
        <v>445</v>
      </c>
      <c r="B23" s="479" t="s">
        <v>109</v>
      </c>
      <c r="C23" s="490">
        <v>45945</v>
      </c>
      <c r="D23" s="481" t="s">
        <v>132</v>
      </c>
      <c r="E23" s="481">
        <v>45932</v>
      </c>
      <c r="F23" s="479" t="s">
        <v>125</v>
      </c>
      <c r="G23" s="709"/>
      <c r="H23" s="483">
        <v>34</v>
      </c>
      <c r="I23" s="687" t="s">
        <v>330</v>
      </c>
      <c r="J23" s="483" t="s">
        <v>63</v>
      </c>
      <c r="K23" s="483"/>
      <c r="L23" s="481">
        <v>45933</v>
      </c>
      <c r="M23" s="483" t="s">
        <v>57</v>
      </c>
      <c r="N23" s="560">
        <v>29646</v>
      </c>
      <c r="O23" s="483" t="s">
        <v>57</v>
      </c>
      <c r="P23" s="843" t="s">
        <v>331</v>
      </c>
      <c r="Q23" s="485">
        <v>45933</v>
      </c>
      <c r="R23" s="571"/>
      <c r="S23" s="571"/>
      <c r="T23" s="571"/>
      <c r="U23" s="501" t="s">
        <v>396</v>
      </c>
      <c r="V23" s="486">
        <v>2188</v>
      </c>
      <c r="W23" s="772">
        <v>2278</v>
      </c>
      <c r="X23" s="107">
        <f>SUM(V23-W23)</f>
        <v>-90</v>
      </c>
      <c r="Y23" s="683">
        <f>IFERROR($W23/$V23, 0)</f>
        <v>1.0411334552102376</v>
      </c>
      <c r="Z23" s="704">
        <v>45931</v>
      </c>
      <c r="AA23" s="366">
        <v>1</v>
      </c>
      <c r="AB23" s="366">
        <v>1</v>
      </c>
      <c r="AC23" s="822">
        <v>0</v>
      </c>
      <c r="AD23" s="946" t="s">
        <v>446</v>
      </c>
    </row>
    <row r="24" spans="1:30" ht="39.75" customHeight="1">
      <c r="A24" s="908" t="s">
        <v>447</v>
      </c>
      <c r="B24" s="708" t="s">
        <v>109</v>
      </c>
      <c r="C24" s="490">
        <v>45930</v>
      </c>
      <c r="D24" s="665" t="s">
        <v>60</v>
      </c>
      <c r="E24" s="481">
        <v>45902</v>
      </c>
      <c r="F24" s="479" t="s">
        <v>110</v>
      </c>
      <c r="G24" s="788"/>
      <c r="H24" s="483">
        <v>0</v>
      </c>
      <c r="I24" s="687" t="s">
        <v>330</v>
      </c>
      <c r="J24" s="483" t="s">
        <v>63</v>
      </c>
      <c r="K24" s="483"/>
      <c r="L24" s="490">
        <v>45902</v>
      </c>
      <c r="M24" s="483" t="s">
        <v>57</v>
      </c>
      <c r="N24" s="560">
        <v>5604.6</v>
      </c>
      <c r="O24" s="483" t="s">
        <v>57</v>
      </c>
      <c r="P24" s="843" t="s">
        <v>331</v>
      </c>
      <c r="Q24" s="493">
        <v>45902</v>
      </c>
      <c r="R24" s="485"/>
      <c r="S24" s="485"/>
      <c r="T24" s="485"/>
      <c r="U24" s="501" t="s">
        <v>396</v>
      </c>
      <c r="V24" s="486">
        <v>328</v>
      </c>
      <c r="W24" s="772">
        <v>335</v>
      </c>
      <c r="X24" s="486">
        <f t="shared" si="4"/>
        <v>-7</v>
      </c>
      <c r="Y24" s="487">
        <f t="shared" si="5"/>
        <v>1.0213414634146341</v>
      </c>
      <c r="Z24" s="493">
        <v>45922</v>
      </c>
      <c r="AA24" s="366">
        <v>1</v>
      </c>
      <c r="AB24" s="366">
        <v>1</v>
      </c>
      <c r="AC24" s="486">
        <v>0</v>
      </c>
      <c r="AD24" s="787" t="s">
        <v>448</v>
      </c>
    </row>
    <row r="25" spans="1:30" ht="39.75" customHeight="1">
      <c r="A25" s="1042" t="s">
        <v>449</v>
      </c>
      <c r="B25" s="1023" t="s">
        <v>109</v>
      </c>
      <c r="C25" s="514">
        <v>45960</v>
      </c>
      <c r="D25" s="481" t="s">
        <v>60</v>
      </c>
      <c r="E25" s="521">
        <v>45945</v>
      </c>
      <c r="F25" s="506" t="s">
        <v>110</v>
      </c>
      <c r="G25" s="1024"/>
      <c r="H25" s="520">
        <v>0</v>
      </c>
      <c r="I25" s="520" t="s">
        <v>330</v>
      </c>
      <c r="J25" s="520" t="s">
        <v>63</v>
      </c>
      <c r="K25" s="520"/>
      <c r="L25" s="521">
        <v>45936</v>
      </c>
      <c r="M25" s="520" t="s">
        <v>57</v>
      </c>
      <c r="N25" s="563">
        <v>4235.8</v>
      </c>
      <c r="O25" s="520" t="s">
        <v>57</v>
      </c>
      <c r="P25" s="1043" t="s">
        <v>331</v>
      </c>
      <c r="Q25" s="485">
        <v>45939</v>
      </c>
      <c r="R25" s="485"/>
      <c r="S25" s="485"/>
      <c r="T25" s="485"/>
      <c r="U25" s="501" t="s">
        <v>396</v>
      </c>
      <c r="V25" s="430">
        <v>228</v>
      </c>
      <c r="W25" s="1044">
        <v>240</v>
      </c>
      <c r="X25" s="107">
        <f t="shared" si="4"/>
        <v>-12</v>
      </c>
      <c r="Y25" s="683">
        <f t="shared" si="5"/>
        <v>1.0526315789473684</v>
      </c>
      <c r="Z25" s="704">
        <v>45945</v>
      </c>
      <c r="AA25" s="366">
        <v>1</v>
      </c>
      <c r="AB25" s="366">
        <v>1</v>
      </c>
      <c r="AC25" s="486">
        <v>0</v>
      </c>
      <c r="AD25" s="533" t="s">
        <v>450</v>
      </c>
    </row>
    <row r="26" spans="1:30" ht="39.75" customHeight="1">
      <c r="A26" s="908" t="s">
        <v>451</v>
      </c>
      <c r="B26" s="919" t="s">
        <v>109</v>
      </c>
      <c r="C26" s="490">
        <v>45930</v>
      </c>
      <c r="D26" s="665" t="s">
        <v>60</v>
      </c>
      <c r="E26" s="481">
        <v>45902</v>
      </c>
      <c r="F26" s="479" t="s">
        <v>110</v>
      </c>
      <c r="G26" s="479"/>
      <c r="H26" s="483">
        <v>0</v>
      </c>
      <c r="I26" s="483" t="s">
        <v>330</v>
      </c>
      <c r="J26" s="483" t="s">
        <v>63</v>
      </c>
      <c r="K26" s="483"/>
      <c r="L26" s="481">
        <v>45902</v>
      </c>
      <c r="M26" s="483" t="s">
        <v>57</v>
      </c>
      <c r="N26" s="560">
        <v>12695</v>
      </c>
      <c r="O26" s="483" t="s">
        <v>57</v>
      </c>
      <c r="P26" s="843" t="s">
        <v>331</v>
      </c>
      <c r="Q26" s="485">
        <v>45902</v>
      </c>
      <c r="R26" s="485"/>
      <c r="S26" s="485"/>
      <c r="T26" s="485"/>
      <c r="U26" s="501" t="s">
        <v>396</v>
      </c>
      <c r="V26" s="822">
        <v>1010</v>
      </c>
      <c r="W26" s="960">
        <v>978</v>
      </c>
      <c r="X26" s="486">
        <f t="shared" si="4"/>
        <v>32</v>
      </c>
      <c r="Y26" s="688">
        <f t="shared" si="5"/>
        <v>0.96831683168316829</v>
      </c>
      <c r="Z26" s="493">
        <v>45911</v>
      </c>
      <c r="AA26" s="366">
        <v>1</v>
      </c>
      <c r="AB26" s="366">
        <v>1</v>
      </c>
      <c r="AC26" s="486">
        <v>0</v>
      </c>
      <c r="AD26" s="787" t="s">
        <v>452</v>
      </c>
    </row>
    <row r="27" spans="1:30" ht="39.75" customHeight="1">
      <c r="A27" s="908" t="s">
        <v>453</v>
      </c>
      <c r="B27" s="479" t="s">
        <v>109</v>
      </c>
      <c r="C27" s="490">
        <v>45960</v>
      </c>
      <c r="D27" s="481" t="s">
        <v>454</v>
      </c>
      <c r="E27" s="481">
        <v>45915</v>
      </c>
      <c r="F27" s="479" t="s">
        <v>455</v>
      </c>
      <c r="G27" s="709"/>
      <c r="H27" s="483">
        <v>384</v>
      </c>
      <c r="I27" s="687" t="s">
        <v>330</v>
      </c>
      <c r="J27" s="483" t="s">
        <v>56</v>
      </c>
      <c r="K27" s="483"/>
      <c r="L27" s="481">
        <v>45905</v>
      </c>
      <c r="M27" s="483" t="s">
        <v>57</v>
      </c>
      <c r="N27" s="560">
        <v>145985.5</v>
      </c>
      <c r="O27" s="483" t="s">
        <v>57</v>
      </c>
      <c r="P27" s="843" t="s">
        <v>331</v>
      </c>
      <c r="Q27" s="485">
        <v>45906</v>
      </c>
      <c r="R27" s="485"/>
      <c r="S27" s="485"/>
      <c r="T27" s="485"/>
      <c r="U27" s="501" t="s">
        <v>396</v>
      </c>
      <c r="V27" s="822">
        <v>14150</v>
      </c>
      <c r="W27" s="960">
        <v>15469</v>
      </c>
      <c r="X27" s="107">
        <f t="shared" si="4"/>
        <v>-1319</v>
      </c>
      <c r="Y27" s="683">
        <f t="shared" si="5"/>
        <v>1.0932155477031802</v>
      </c>
      <c r="Z27" s="704">
        <v>45926</v>
      </c>
      <c r="AA27" s="366">
        <v>1</v>
      </c>
      <c r="AB27" s="366">
        <v>1</v>
      </c>
      <c r="AC27" s="486">
        <v>0</v>
      </c>
      <c r="AD27" s="944" t="s">
        <v>456</v>
      </c>
    </row>
    <row r="28" spans="1:30" ht="39.75" customHeight="1">
      <c r="A28" s="1014" t="s">
        <v>457</v>
      </c>
      <c r="B28" s="479" t="s">
        <v>109</v>
      </c>
      <c r="C28" s="490">
        <v>45930</v>
      </c>
      <c r="D28" s="481" t="s">
        <v>458</v>
      </c>
      <c r="E28" s="481">
        <v>45916</v>
      </c>
      <c r="F28" s="479" t="s">
        <v>110</v>
      </c>
      <c r="G28" s="709"/>
      <c r="H28" s="483">
        <v>84</v>
      </c>
      <c r="I28" s="687" t="s">
        <v>330</v>
      </c>
      <c r="J28" s="483" t="s">
        <v>56</v>
      </c>
      <c r="K28" s="483"/>
      <c r="L28" s="479" t="s">
        <v>331</v>
      </c>
      <c r="M28" s="483" t="s">
        <v>57</v>
      </c>
      <c r="N28" s="560">
        <v>30892</v>
      </c>
      <c r="O28" s="483" t="s">
        <v>57</v>
      </c>
      <c r="P28" s="843" t="s">
        <v>331</v>
      </c>
      <c r="Q28" s="485">
        <v>45911</v>
      </c>
      <c r="R28" s="485"/>
      <c r="S28" s="485"/>
      <c r="T28" s="485"/>
      <c r="U28" s="501" t="s">
        <v>396</v>
      </c>
      <c r="V28" s="822">
        <v>2811</v>
      </c>
      <c r="W28" s="960">
        <v>2732</v>
      </c>
      <c r="X28" s="107">
        <f>SUM(V28-W28)</f>
        <v>79</v>
      </c>
      <c r="Y28" s="22">
        <f>IFERROR($W28/$V28, 0)</f>
        <v>0.97189612237637857</v>
      </c>
      <c r="Z28" s="704">
        <v>45922</v>
      </c>
      <c r="AA28" s="366">
        <v>1</v>
      </c>
      <c r="AB28" s="366">
        <v>1</v>
      </c>
      <c r="AC28" s="486">
        <v>0</v>
      </c>
      <c r="AD28" s="690" t="s">
        <v>459</v>
      </c>
    </row>
    <row r="29" spans="1:30" ht="39.75" customHeight="1">
      <c r="A29" s="908" t="s">
        <v>460</v>
      </c>
      <c r="B29" s="886" t="s">
        <v>50</v>
      </c>
      <c r="C29" s="665">
        <v>45838</v>
      </c>
      <c r="D29" s="489" t="s">
        <v>461</v>
      </c>
      <c r="E29" s="490">
        <v>45727</v>
      </c>
      <c r="F29" s="489" t="s">
        <v>61</v>
      </c>
      <c r="G29" s="912" t="s">
        <v>462</v>
      </c>
      <c r="H29" s="492">
        <v>71</v>
      </c>
      <c r="I29" s="892" t="s">
        <v>330</v>
      </c>
      <c r="J29" s="492" t="s">
        <v>63</v>
      </c>
      <c r="K29" s="504"/>
      <c r="L29" s="490">
        <v>45728</v>
      </c>
      <c r="M29" s="492" t="s">
        <v>57</v>
      </c>
      <c r="N29" s="561">
        <v>60843.5</v>
      </c>
      <c r="O29" s="492" t="s">
        <v>57</v>
      </c>
      <c r="P29" s="843" t="s">
        <v>331</v>
      </c>
      <c r="Q29" s="493">
        <v>45722</v>
      </c>
      <c r="R29" s="493">
        <v>45917</v>
      </c>
      <c r="S29" s="493">
        <v>45939</v>
      </c>
      <c r="T29" s="493"/>
      <c r="U29" s="501" t="s">
        <v>396</v>
      </c>
      <c r="V29" s="913">
        <v>4979</v>
      </c>
      <c r="W29" s="772">
        <v>5020</v>
      </c>
      <c r="X29" s="486">
        <f t="shared" si="4"/>
        <v>-41</v>
      </c>
      <c r="Y29" s="688">
        <f t="shared" si="5"/>
        <v>1.0082345852580838</v>
      </c>
      <c r="Z29" s="493">
        <v>45741</v>
      </c>
      <c r="AA29" s="688">
        <v>1</v>
      </c>
      <c r="AB29" s="688">
        <v>1</v>
      </c>
      <c r="AC29" s="363">
        <v>0</v>
      </c>
      <c r="AD29" s="690" t="s">
        <v>463</v>
      </c>
    </row>
    <row r="30" spans="1:30" ht="39.75" customHeight="1">
      <c r="A30" s="1012" t="s">
        <v>464</v>
      </c>
      <c r="B30" s="528" t="s">
        <v>50</v>
      </c>
      <c r="C30" s="514">
        <v>45772</v>
      </c>
      <c r="D30" s="529" t="s">
        <v>465</v>
      </c>
      <c r="E30" s="529">
        <v>45693</v>
      </c>
      <c r="F30" s="519" t="s">
        <v>61</v>
      </c>
      <c r="G30" s="530" t="s">
        <v>466</v>
      </c>
      <c r="H30" s="522">
        <v>86</v>
      </c>
      <c r="I30" s="524" t="s">
        <v>330</v>
      </c>
      <c r="J30" s="522" t="s">
        <v>63</v>
      </c>
      <c r="K30" s="522"/>
      <c r="L30" s="529">
        <v>45714</v>
      </c>
      <c r="M30" s="522" t="s">
        <v>57</v>
      </c>
      <c r="N30" s="564">
        <v>94170.5</v>
      </c>
      <c r="O30" s="522" t="s">
        <v>57</v>
      </c>
      <c r="P30" s="1013" t="s">
        <v>331</v>
      </c>
      <c r="Q30" s="493">
        <v>45693</v>
      </c>
      <c r="R30" s="493">
        <v>45869</v>
      </c>
      <c r="S30" s="493">
        <v>45903</v>
      </c>
      <c r="T30" s="493"/>
      <c r="U30" s="501" t="s">
        <v>396</v>
      </c>
      <c r="V30" s="510">
        <v>7980</v>
      </c>
      <c r="W30" s="771">
        <v>7901</v>
      </c>
      <c r="X30" s="107">
        <f t="shared" si="4"/>
        <v>79</v>
      </c>
      <c r="Y30" s="22">
        <f t="shared" si="5"/>
        <v>0.99010025062656637</v>
      </c>
      <c r="Z30" s="704">
        <v>45713</v>
      </c>
      <c r="AA30" s="487">
        <v>1</v>
      </c>
      <c r="AB30" s="487">
        <v>1</v>
      </c>
      <c r="AC30" s="855">
        <v>0</v>
      </c>
      <c r="AD30" s="176" t="s">
        <v>467</v>
      </c>
    </row>
    <row r="31" spans="1:30" ht="39.75" customHeight="1">
      <c r="A31" s="1012" t="s">
        <v>468</v>
      </c>
      <c r="B31" s="528" t="s">
        <v>50</v>
      </c>
      <c r="C31" s="514">
        <v>45772</v>
      </c>
      <c r="D31" s="529" t="s">
        <v>465</v>
      </c>
      <c r="E31" s="529">
        <v>45698</v>
      </c>
      <c r="F31" s="514" t="s">
        <v>61</v>
      </c>
      <c r="G31" s="530" t="s">
        <v>469</v>
      </c>
      <c r="H31" s="522">
        <v>89</v>
      </c>
      <c r="I31" s="522" t="s">
        <v>330</v>
      </c>
      <c r="J31" s="522" t="s">
        <v>63</v>
      </c>
      <c r="K31" s="522"/>
      <c r="L31" s="529">
        <v>45695</v>
      </c>
      <c r="M31" s="522" t="s">
        <v>57</v>
      </c>
      <c r="N31" s="565">
        <v>89698.5</v>
      </c>
      <c r="O31" s="522" t="s">
        <v>57</v>
      </c>
      <c r="P31" s="1013" t="s">
        <v>331</v>
      </c>
      <c r="Q31" s="493">
        <v>45694</v>
      </c>
      <c r="R31" s="493">
        <v>45917</v>
      </c>
      <c r="S31" s="493">
        <v>45936</v>
      </c>
      <c r="T31" s="493"/>
      <c r="U31" s="501" t="s">
        <v>396</v>
      </c>
      <c r="V31" s="510">
        <v>7562</v>
      </c>
      <c r="W31" s="771">
        <v>7556</v>
      </c>
      <c r="X31" s="107">
        <f t="shared" si="4"/>
        <v>6</v>
      </c>
      <c r="Y31" s="22">
        <f t="shared" si="5"/>
        <v>0.99920655911134626</v>
      </c>
      <c r="Z31" s="704">
        <v>45709</v>
      </c>
      <c r="AA31" s="487">
        <v>1</v>
      </c>
      <c r="AB31" s="487">
        <v>1</v>
      </c>
      <c r="AC31" s="855">
        <v>0</v>
      </c>
      <c r="AD31" s="204" t="s">
        <v>470</v>
      </c>
    </row>
    <row r="32" spans="1:30" ht="39.75" customHeight="1">
      <c r="A32" s="914" t="s">
        <v>471</v>
      </c>
      <c r="B32" s="886" t="s">
        <v>50</v>
      </c>
      <c r="C32" s="490">
        <v>45772</v>
      </c>
      <c r="D32" s="490" t="s">
        <v>461</v>
      </c>
      <c r="E32" s="889">
        <v>45686</v>
      </c>
      <c r="F32" s="489" t="s">
        <v>61</v>
      </c>
      <c r="G32" s="915" t="s">
        <v>472</v>
      </c>
      <c r="H32" s="892">
        <v>77</v>
      </c>
      <c r="I32" s="687" t="s">
        <v>330</v>
      </c>
      <c r="J32" s="892" t="s">
        <v>63</v>
      </c>
      <c r="K32" s="892"/>
      <c r="L32" s="889">
        <v>45686</v>
      </c>
      <c r="M32" s="892" t="s">
        <v>57</v>
      </c>
      <c r="N32" s="916">
        <v>61924</v>
      </c>
      <c r="O32" s="892" t="s">
        <v>57</v>
      </c>
      <c r="P32" s="843" t="s">
        <v>331</v>
      </c>
      <c r="Q32" s="493">
        <v>45692</v>
      </c>
      <c r="R32" s="493">
        <v>45847</v>
      </c>
      <c r="S32" s="493">
        <v>45852</v>
      </c>
      <c r="T32" s="493"/>
      <c r="U32" s="501" t="s">
        <v>396</v>
      </c>
      <c r="V32" s="917">
        <v>5005</v>
      </c>
      <c r="W32" s="918">
        <v>4996</v>
      </c>
      <c r="X32" s="486">
        <f t="shared" si="4"/>
        <v>9</v>
      </c>
      <c r="Y32" s="688">
        <f t="shared" si="5"/>
        <v>0.99820179820179822</v>
      </c>
      <c r="Z32" s="493">
        <v>45708</v>
      </c>
      <c r="AA32" s="688">
        <v>1</v>
      </c>
      <c r="AB32" s="688">
        <v>1</v>
      </c>
      <c r="AC32" s="855">
        <v>0</v>
      </c>
      <c r="AD32" s="921" t="s">
        <v>473</v>
      </c>
    </row>
    <row r="33" spans="1:30" ht="39.75" customHeight="1">
      <c r="A33" s="914" t="s">
        <v>474</v>
      </c>
      <c r="B33" s="886" t="s">
        <v>50</v>
      </c>
      <c r="C33" s="490">
        <v>45772</v>
      </c>
      <c r="D33" s="889" t="s">
        <v>475</v>
      </c>
      <c r="E33" s="889">
        <v>45694</v>
      </c>
      <c r="F33" s="889" t="s">
        <v>61</v>
      </c>
      <c r="G33" s="915" t="s">
        <v>476</v>
      </c>
      <c r="H33" s="892">
        <v>84</v>
      </c>
      <c r="I33" s="687" t="s">
        <v>330</v>
      </c>
      <c r="J33" s="892" t="s">
        <v>63</v>
      </c>
      <c r="K33" s="892"/>
      <c r="L33" s="889">
        <v>45698</v>
      </c>
      <c r="M33" s="892" t="s">
        <v>57</v>
      </c>
      <c r="N33" s="916">
        <v>63402.5</v>
      </c>
      <c r="O33" s="892" t="s">
        <v>57</v>
      </c>
      <c r="P33" s="843" t="s">
        <v>331</v>
      </c>
      <c r="Q33" s="493">
        <v>45695</v>
      </c>
      <c r="R33" s="493">
        <v>45847</v>
      </c>
      <c r="S33" s="493">
        <v>45852</v>
      </c>
      <c r="T33" s="493"/>
      <c r="U33" s="501" t="s">
        <v>396</v>
      </c>
      <c r="V33" s="913">
        <v>4979</v>
      </c>
      <c r="W33" s="918">
        <v>4984</v>
      </c>
      <c r="X33" s="486">
        <f t="shared" si="4"/>
        <v>-5</v>
      </c>
      <c r="Y33" s="688">
        <f t="shared" si="5"/>
        <v>1.0010042177144005</v>
      </c>
      <c r="Z33" s="493">
        <v>45714</v>
      </c>
      <c r="AA33" s="688">
        <v>1</v>
      </c>
      <c r="AB33" s="688">
        <v>1</v>
      </c>
      <c r="AC33" s="855">
        <v>0</v>
      </c>
      <c r="AD33" s="149" t="s">
        <v>477</v>
      </c>
    </row>
    <row r="34" spans="1:30" ht="39.75" customHeight="1">
      <c r="A34" s="908" t="s">
        <v>478</v>
      </c>
      <c r="B34" s="919" t="s">
        <v>50</v>
      </c>
      <c r="C34" s="665">
        <v>45688</v>
      </c>
      <c r="D34" s="665" t="s">
        <v>465</v>
      </c>
      <c r="E34" s="665">
        <v>45695</v>
      </c>
      <c r="F34" s="481" t="s">
        <v>61</v>
      </c>
      <c r="G34" s="920" t="s">
        <v>479</v>
      </c>
      <c r="H34" s="483">
        <v>88</v>
      </c>
      <c r="I34" s="687" t="s">
        <v>378</v>
      </c>
      <c r="J34" s="483" t="s">
        <v>63</v>
      </c>
      <c r="K34" s="892"/>
      <c r="L34" s="479" t="s">
        <v>331</v>
      </c>
      <c r="M34" s="687" t="s">
        <v>57</v>
      </c>
      <c r="N34" s="560">
        <v>43130</v>
      </c>
      <c r="O34" s="687" t="s">
        <v>57</v>
      </c>
      <c r="P34" s="843" t="s">
        <v>331</v>
      </c>
      <c r="Q34" s="485">
        <v>45691</v>
      </c>
      <c r="R34" s="485">
        <v>45870</v>
      </c>
      <c r="S34" s="485">
        <v>45908</v>
      </c>
      <c r="T34" s="485"/>
      <c r="U34" s="501" t="s">
        <v>396</v>
      </c>
      <c r="V34" s="486">
        <v>2931</v>
      </c>
      <c r="W34" s="772">
        <v>3257</v>
      </c>
      <c r="X34" s="486">
        <f t="shared" si="4"/>
        <v>-326</v>
      </c>
      <c r="Y34" s="688">
        <f t="shared" si="5"/>
        <v>1.11122483793927</v>
      </c>
      <c r="Z34" s="485">
        <v>45750</v>
      </c>
      <c r="AA34" s="516">
        <v>1</v>
      </c>
      <c r="AB34" s="516">
        <v>1</v>
      </c>
      <c r="AC34" s="668">
        <v>0</v>
      </c>
      <c r="AD34" s="964" t="s">
        <v>480</v>
      </c>
    </row>
    <row r="35" spans="1:30" ht="39.75" customHeight="1">
      <c r="A35" s="908" t="s">
        <v>481</v>
      </c>
      <c r="B35" s="886" t="s">
        <v>50</v>
      </c>
      <c r="C35" s="889">
        <v>45688</v>
      </c>
      <c r="D35" s="490" t="s">
        <v>60</v>
      </c>
      <c r="E35" s="889">
        <v>45686</v>
      </c>
      <c r="F35" s="889" t="s">
        <v>61</v>
      </c>
      <c r="G35" s="915" t="s">
        <v>482</v>
      </c>
      <c r="H35" s="492">
        <v>88</v>
      </c>
      <c r="I35" s="892" t="s">
        <v>378</v>
      </c>
      <c r="J35" s="492" t="s">
        <v>63</v>
      </c>
      <c r="K35" s="492"/>
      <c r="L35" s="893">
        <v>45706</v>
      </c>
      <c r="M35" s="892" t="s">
        <v>57</v>
      </c>
      <c r="N35" s="561">
        <v>69212.5</v>
      </c>
      <c r="O35" s="892" t="s">
        <v>57</v>
      </c>
      <c r="P35" s="843" t="s">
        <v>331</v>
      </c>
      <c r="Q35" s="493">
        <v>45679</v>
      </c>
      <c r="R35" s="493">
        <v>45917</v>
      </c>
      <c r="S35" s="493">
        <v>45918</v>
      </c>
      <c r="T35" s="493"/>
      <c r="U35" s="501" t="s">
        <v>396</v>
      </c>
      <c r="V35" s="41">
        <v>5661</v>
      </c>
      <c r="W35" s="772">
        <v>5752</v>
      </c>
      <c r="X35" s="486">
        <f t="shared" si="4"/>
        <v>-91</v>
      </c>
      <c r="Y35" s="688">
        <f t="shared" si="5"/>
        <v>1.0160748984278396</v>
      </c>
      <c r="Z35" s="493">
        <v>45681</v>
      </c>
      <c r="AA35" s="688">
        <v>1</v>
      </c>
      <c r="AB35" s="688">
        <v>1</v>
      </c>
      <c r="AC35" s="855">
        <v>0</v>
      </c>
      <c r="AD35" s="149" t="s">
        <v>483</v>
      </c>
    </row>
    <row r="36" spans="1:30" ht="39.75" customHeight="1">
      <c r="A36" s="908" t="s">
        <v>484</v>
      </c>
      <c r="B36" s="886" t="s">
        <v>50</v>
      </c>
      <c r="C36" s="490">
        <v>45772</v>
      </c>
      <c r="D36" s="489" t="s">
        <v>475</v>
      </c>
      <c r="E36" s="490">
        <v>45743</v>
      </c>
      <c r="F36" s="489" t="s">
        <v>61</v>
      </c>
      <c r="G36" s="887" t="s">
        <v>485</v>
      </c>
      <c r="H36" s="492">
        <v>57</v>
      </c>
      <c r="I36" s="892" t="s">
        <v>330</v>
      </c>
      <c r="J36" s="483" t="s">
        <v>63</v>
      </c>
      <c r="K36" s="888"/>
      <c r="L36" s="490">
        <v>45741</v>
      </c>
      <c r="M36" s="483" t="s">
        <v>57</v>
      </c>
      <c r="N36" s="561">
        <v>49071</v>
      </c>
      <c r="O36" s="483" t="s">
        <v>57</v>
      </c>
      <c r="P36" s="843" t="s">
        <v>331</v>
      </c>
      <c r="Q36" s="493">
        <v>45745</v>
      </c>
      <c r="R36" s="493">
        <v>45832</v>
      </c>
      <c r="S36" s="493">
        <v>45839</v>
      </c>
      <c r="T36" s="493"/>
      <c r="U36" s="501" t="s">
        <v>396</v>
      </c>
      <c r="V36" s="41">
        <v>3967</v>
      </c>
      <c r="W36" s="772">
        <v>3936</v>
      </c>
      <c r="X36" s="486">
        <f t="shared" si="4"/>
        <v>31</v>
      </c>
      <c r="Y36" s="688">
        <f t="shared" si="5"/>
        <v>0.99218553062767834</v>
      </c>
      <c r="Z36" s="493">
        <v>45756</v>
      </c>
      <c r="AA36" s="688">
        <v>1</v>
      </c>
      <c r="AB36" s="688">
        <v>1</v>
      </c>
      <c r="AC36" s="668">
        <v>0</v>
      </c>
      <c r="AD36" s="963" t="s">
        <v>486</v>
      </c>
    </row>
    <row r="37" spans="1:30" ht="39.75" customHeight="1">
      <c r="A37" s="908" t="s">
        <v>487</v>
      </c>
      <c r="B37" s="886" t="s">
        <v>50</v>
      </c>
      <c r="C37" s="481">
        <v>45960</v>
      </c>
      <c r="D37" s="479" t="s">
        <v>239</v>
      </c>
      <c r="E37" s="481">
        <v>45927</v>
      </c>
      <c r="F37" s="479" t="s">
        <v>97</v>
      </c>
      <c r="G37" s="709" t="s">
        <v>488</v>
      </c>
      <c r="H37" s="483">
        <v>86</v>
      </c>
      <c r="I37" s="687" t="s">
        <v>330</v>
      </c>
      <c r="J37" s="483" t="s">
        <v>63</v>
      </c>
      <c r="K37" s="492"/>
      <c r="L37" s="481">
        <v>45917</v>
      </c>
      <c r="M37" s="483" t="s">
        <v>57</v>
      </c>
      <c r="N37" s="560">
        <v>45500</v>
      </c>
      <c r="O37" s="483" t="s">
        <v>57</v>
      </c>
      <c r="P37" s="843" t="s">
        <v>331</v>
      </c>
      <c r="Q37" s="485">
        <v>45917</v>
      </c>
      <c r="R37" s="485">
        <v>45944</v>
      </c>
      <c r="S37" s="485">
        <v>45951</v>
      </c>
      <c r="T37" s="485"/>
      <c r="U37" s="501" t="s">
        <v>396</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489</v>
      </c>
      <c r="B38" s="886" t="s">
        <v>50</v>
      </c>
      <c r="C38" s="481">
        <v>45991</v>
      </c>
      <c r="D38" s="481" t="s">
        <v>490</v>
      </c>
      <c r="E38" s="490">
        <v>45743</v>
      </c>
      <c r="F38" s="489" t="s">
        <v>61</v>
      </c>
      <c r="G38" s="887" t="s">
        <v>491</v>
      </c>
      <c r="H38" s="492">
        <v>60</v>
      </c>
      <c r="I38" s="687" t="s">
        <v>330</v>
      </c>
      <c r="J38" s="483" t="s">
        <v>63</v>
      </c>
      <c r="K38" s="888"/>
      <c r="L38" s="490">
        <v>45741</v>
      </c>
      <c r="M38" s="483" t="s">
        <v>57</v>
      </c>
      <c r="N38" s="561">
        <v>47849</v>
      </c>
      <c r="O38" s="483" t="s">
        <v>57</v>
      </c>
      <c r="P38" s="843" t="s">
        <v>331</v>
      </c>
      <c r="Q38" s="493">
        <v>45744</v>
      </c>
      <c r="R38" s="493">
        <v>45915</v>
      </c>
      <c r="S38" s="493">
        <v>45922</v>
      </c>
      <c r="T38" s="493">
        <v>45925</v>
      </c>
      <c r="U38" s="501" t="s">
        <v>396</v>
      </c>
      <c r="V38" s="41">
        <v>4194</v>
      </c>
      <c r="W38" s="772">
        <v>4448</v>
      </c>
      <c r="X38" s="486">
        <f t="shared" si="4"/>
        <v>-254</v>
      </c>
      <c r="Y38" s="688">
        <f t="shared" si="5"/>
        <v>1.0605627086313782</v>
      </c>
      <c r="Z38" s="493">
        <v>45784</v>
      </c>
      <c r="AA38" s="366">
        <v>0</v>
      </c>
      <c r="AB38" s="366">
        <v>0</v>
      </c>
      <c r="AC38" s="668">
        <v>0</v>
      </c>
      <c r="AD38" s="965" t="s">
        <v>492</v>
      </c>
    </row>
    <row r="39" spans="1:30" ht="39.75" customHeight="1">
      <c r="A39" s="1014" t="s">
        <v>493</v>
      </c>
      <c r="B39" s="886" t="s">
        <v>50</v>
      </c>
      <c r="C39" s="481">
        <v>45991</v>
      </c>
      <c r="D39" s="481" t="s">
        <v>60</v>
      </c>
      <c r="E39" s="490">
        <v>45743</v>
      </c>
      <c r="F39" s="489" t="s">
        <v>61</v>
      </c>
      <c r="G39" s="887" t="s">
        <v>494</v>
      </c>
      <c r="H39" s="492">
        <v>70</v>
      </c>
      <c r="I39" s="687" t="s">
        <v>330</v>
      </c>
      <c r="J39" s="483" t="s">
        <v>63</v>
      </c>
      <c r="K39" s="888"/>
      <c r="L39" s="490">
        <v>45741</v>
      </c>
      <c r="M39" s="483" t="s">
        <v>57</v>
      </c>
      <c r="N39" s="561">
        <v>67735.5</v>
      </c>
      <c r="O39" s="483" t="s">
        <v>57</v>
      </c>
      <c r="P39" s="843" t="s">
        <v>331</v>
      </c>
      <c r="Q39" s="493">
        <v>45779</v>
      </c>
      <c r="R39" s="493"/>
      <c r="S39" s="493"/>
      <c r="T39" s="493"/>
      <c r="U39" s="501" t="s">
        <v>396</v>
      </c>
      <c r="V39" s="41">
        <v>6152</v>
      </c>
      <c r="W39" s="772">
        <v>5723</v>
      </c>
      <c r="X39" s="107">
        <f>SUM(V39-W39)</f>
        <v>429</v>
      </c>
      <c r="Y39" s="683">
        <f>IFERROR($W39/$V39, 0)</f>
        <v>0.9302665799739922</v>
      </c>
      <c r="Z39" s="704">
        <v>45792</v>
      </c>
      <c r="AA39" s="366">
        <v>0</v>
      </c>
      <c r="AB39" s="366">
        <v>0</v>
      </c>
      <c r="AC39" s="668">
        <v>0</v>
      </c>
      <c r="AD39" s="364" t="s">
        <v>495</v>
      </c>
    </row>
    <row r="40" spans="1:30" ht="39.75" customHeight="1">
      <c r="A40" s="957" t="s">
        <v>496</v>
      </c>
      <c r="B40" s="886" t="s">
        <v>50</v>
      </c>
      <c r="C40" s="889">
        <v>45716</v>
      </c>
      <c r="D40" s="889" t="s">
        <v>60</v>
      </c>
      <c r="E40" s="889">
        <v>45701</v>
      </c>
      <c r="F40" s="489" t="s">
        <v>61</v>
      </c>
      <c r="G40" s="915" t="s">
        <v>398</v>
      </c>
      <c r="H40" s="892">
        <v>0</v>
      </c>
      <c r="I40" s="892" t="s">
        <v>331</v>
      </c>
      <c r="J40" s="892" t="s">
        <v>63</v>
      </c>
      <c r="K40" s="892"/>
      <c r="L40" s="889">
        <v>45705</v>
      </c>
      <c r="M40" s="892" t="s">
        <v>57</v>
      </c>
      <c r="N40" s="916">
        <v>1295</v>
      </c>
      <c r="O40" s="892" t="s">
        <v>57</v>
      </c>
      <c r="P40" s="843" t="s">
        <v>331</v>
      </c>
      <c r="Q40" s="531">
        <v>45706</v>
      </c>
      <c r="R40" s="531">
        <v>45826</v>
      </c>
      <c r="S40" s="531"/>
      <c r="T40" s="531"/>
      <c r="U40" s="501" t="s">
        <v>396</v>
      </c>
      <c r="V40" s="917">
        <v>153</v>
      </c>
      <c r="W40" s="771">
        <v>153</v>
      </c>
      <c r="X40" s="107">
        <f t="shared" si="4"/>
        <v>0</v>
      </c>
      <c r="Y40" s="683">
        <f t="shared" si="5"/>
        <v>1</v>
      </c>
      <c r="Z40" s="704">
        <v>45754</v>
      </c>
      <c r="AA40" s="487">
        <v>1</v>
      </c>
      <c r="AB40" s="487">
        <v>1</v>
      </c>
      <c r="AC40" s="855">
        <v>0</v>
      </c>
      <c r="AD40" s="176" t="s">
        <v>497</v>
      </c>
    </row>
    <row r="41" spans="1:30" ht="39.75" customHeight="1">
      <c r="A41" s="922" t="s">
        <v>498</v>
      </c>
      <c r="B41" s="958" t="s">
        <v>50</v>
      </c>
      <c r="C41" s="924">
        <v>45924</v>
      </c>
      <c r="D41" s="923" t="s">
        <v>132</v>
      </c>
      <c r="E41" s="924">
        <v>45772</v>
      </c>
      <c r="F41" s="925" t="s">
        <v>61</v>
      </c>
      <c r="G41" s="925" t="s">
        <v>499</v>
      </c>
      <c r="H41" s="926">
        <v>0</v>
      </c>
      <c r="I41" s="926" t="s">
        <v>330</v>
      </c>
      <c r="J41" s="926" t="s">
        <v>63</v>
      </c>
      <c r="K41" s="925"/>
      <c r="L41" s="933" t="s">
        <v>52</v>
      </c>
      <c r="M41" s="926" t="s">
        <v>57</v>
      </c>
      <c r="N41" s="927">
        <v>4397.6499999999996</v>
      </c>
      <c r="O41" s="926" t="s">
        <v>57</v>
      </c>
      <c r="P41" s="928" t="s">
        <v>331</v>
      </c>
      <c r="Q41" s="511">
        <v>45852</v>
      </c>
      <c r="R41" s="959"/>
      <c r="S41" s="959"/>
      <c r="T41" s="959"/>
      <c r="U41" s="332" t="s">
        <v>396</v>
      </c>
      <c r="V41" s="512">
        <v>129</v>
      </c>
      <c r="W41" s="961">
        <v>129</v>
      </c>
      <c r="X41" s="512">
        <f t="shared" si="4"/>
        <v>0</v>
      </c>
      <c r="Y41" s="929">
        <f t="shared" si="5"/>
        <v>1</v>
      </c>
      <c r="Z41" s="367">
        <v>45856</v>
      </c>
      <c r="AA41" s="61">
        <v>0</v>
      </c>
      <c r="AB41" s="61">
        <v>0</v>
      </c>
      <c r="AC41" s="962">
        <v>0</v>
      </c>
      <c r="AD41" s="150" t="s">
        <v>500</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327</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330</v>
      </c>
      <c r="J2" s="52" t="s">
        <v>63</v>
      </c>
      <c r="K2" s="51">
        <v>45701</v>
      </c>
      <c r="L2" s="391" t="s">
        <v>57</v>
      </c>
      <c r="M2" s="440">
        <v>55089</v>
      </c>
      <c r="N2" s="573">
        <v>57509</v>
      </c>
      <c r="O2" s="800" t="s">
        <v>57</v>
      </c>
      <c r="P2" s="387" t="s">
        <v>331</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330</v>
      </c>
      <c r="J3" s="52" t="s">
        <v>63</v>
      </c>
      <c r="K3" s="51">
        <v>45708</v>
      </c>
      <c r="L3" s="52" t="s">
        <v>57</v>
      </c>
      <c r="M3" s="440">
        <v>62460.45</v>
      </c>
      <c r="N3" s="573">
        <v>61491.05</v>
      </c>
      <c r="O3" s="52" t="s">
        <v>57</v>
      </c>
      <c r="P3" s="52" t="s">
        <v>331</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330</v>
      </c>
      <c r="J4" s="387" t="s">
        <v>63</v>
      </c>
      <c r="K4" s="386">
        <v>45735</v>
      </c>
      <c r="L4" s="387" t="s">
        <v>57</v>
      </c>
      <c r="M4" s="443">
        <v>15690.1</v>
      </c>
      <c r="N4" s="573">
        <v>16153.75</v>
      </c>
      <c r="O4" s="387" t="s">
        <v>57</v>
      </c>
      <c r="P4" s="387" t="s">
        <v>331</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330</v>
      </c>
      <c r="J5" s="387" t="s">
        <v>63</v>
      </c>
      <c r="K5" s="386">
        <v>45782</v>
      </c>
      <c r="L5" s="387" t="s">
        <v>57</v>
      </c>
      <c r="M5" s="443">
        <v>119135.3</v>
      </c>
      <c r="N5" s="440">
        <v>121256.65</v>
      </c>
      <c r="O5" s="387" t="s">
        <v>57</v>
      </c>
      <c r="P5" s="387" t="s">
        <v>331</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330</v>
      </c>
      <c r="J6" s="52" t="s">
        <v>63</v>
      </c>
      <c r="K6" s="50" t="s">
        <v>331</v>
      </c>
      <c r="L6" s="52" t="s">
        <v>57</v>
      </c>
      <c r="M6" s="440">
        <v>12601.45</v>
      </c>
      <c r="N6" s="573">
        <v>13008.1</v>
      </c>
      <c r="O6" s="52" t="s">
        <v>57</v>
      </c>
      <c r="P6" s="52" t="s">
        <v>331</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378</v>
      </c>
      <c r="J7" s="387" t="s">
        <v>63</v>
      </c>
      <c r="K7" s="385" t="s">
        <v>331</v>
      </c>
      <c r="L7" s="693" t="s">
        <v>57</v>
      </c>
      <c r="M7" s="443">
        <v>47461.5</v>
      </c>
      <c r="N7" s="588">
        <v>45340</v>
      </c>
      <c r="O7" s="693" t="s">
        <v>57</v>
      </c>
      <c r="P7" s="387" t="s">
        <v>331</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378</v>
      </c>
      <c r="J8" s="52" t="s">
        <v>63</v>
      </c>
      <c r="K8" s="51">
        <v>45713</v>
      </c>
      <c r="L8" s="686" t="s">
        <v>57</v>
      </c>
      <c r="M8" s="440">
        <v>43064</v>
      </c>
      <c r="N8" s="589">
        <v>44346</v>
      </c>
      <c r="O8" s="686" t="s">
        <v>57</v>
      </c>
      <c r="P8" s="387" t="s">
        <v>331</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378</v>
      </c>
      <c r="J9" s="52" t="s">
        <v>63</v>
      </c>
      <c r="K9" s="691">
        <v>45707</v>
      </c>
      <c r="L9" s="52" t="s">
        <v>57</v>
      </c>
      <c r="M9" s="440">
        <v>62522.54</v>
      </c>
      <c r="N9" s="573">
        <v>56001</v>
      </c>
      <c r="O9" s="52" t="s">
        <v>57</v>
      </c>
      <c r="P9" s="52" t="s">
        <v>331</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330</v>
      </c>
      <c r="J10" s="52" t="s">
        <v>63</v>
      </c>
      <c r="K10" s="691">
        <v>45756</v>
      </c>
      <c r="L10" s="52" t="s">
        <v>57</v>
      </c>
      <c r="M10" s="440">
        <v>67171.5</v>
      </c>
      <c r="N10" s="573">
        <v>64739</v>
      </c>
      <c r="O10" s="52" t="s">
        <v>57</v>
      </c>
      <c r="P10" s="52" t="s">
        <v>331</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330</v>
      </c>
      <c r="J11" s="52" t="s">
        <v>63</v>
      </c>
      <c r="K11" s="51">
        <v>45749</v>
      </c>
      <c r="L11" s="52" t="s">
        <v>57</v>
      </c>
      <c r="M11" s="440">
        <v>72492</v>
      </c>
      <c r="N11" s="573">
        <v>73087.5</v>
      </c>
      <c r="O11" s="52" t="s">
        <v>57</v>
      </c>
      <c r="P11" s="52" t="s">
        <v>331</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330</v>
      </c>
      <c r="J12" s="52" t="s">
        <v>63</v>
      </c>
      <c r="K12" s="51">
        <v>45750</v>
      </c>
      <c r="L12" s="52" t="s">
        <v>57</v>
      </c>
      <c r="M12" s="440">
        <v>51295</v>
      </c>
      <c r="N12" s="573">
        <v>51485.5</v>
      </c>
      <c r="O12" s="52" t="s">
        <v>57</v>
      </c>
      <c r="P12" s="52" t="s">
        <v>331</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330</v>
      </c>
      <c r="J13" s="52" t="s">
        <v>63</v>
      </c>
      <c r="K13" s="50" t="s">
        <v>331</v>
      </c>
      <c r="L13" s="686" t="s">
        <v>57</v>
      </c>
      <c r="M13" s="440">
        <v>26617</v>
      </c>
      <c r="N13" s="589">
        <v>25405</v>
      </c>
      <c r="O13" s="686" t="s">
        <v>57</v>
      </c>
      <c r="P13" s="52" t="s">
        <v>331</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378</v>
      </c>
      <c r="J14" s="52" t="s">
        <v>63</v>
      </c>
      <c r="K14" s="50" t="s">
        <v>331</v>
      </c>
      <c r="L14" s="686" t="s">
        <v>57</v>
      </c>
      <c r="M14" s="440">
        <v>72118</v>
      </c>
      <c r="N14" s="699">
        <v>70778</v>
      </c>
      <c r="O14" s="686" t="s">
        <v>57</v>
      </c>
      <c r="P14" s="52" t="s">
        <v>331</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378</v>
      </c>
      <c r="J15" s="52" t="s">
        <v>63</v>
      </c>
      <c r="K15" s="50" t="s">
        <v>331</v>
      </c>
      <c r="L15" s="686" t="s">
        <v>57</v>
      </c>
      <c r="M15" s="440">
        <v>69288</v>
      </c>
      <c r="N15" s="589">
        <v>70664</v>
      </c>
      <c r="O15" s="686" t="s">
        <v>57</v>
      </c>
      <c r="P15" s="52" t="s">
        <v>331</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378</v>
      </c>
      <c r="J16" s="52" t="s">
        <v>63</v>
      </c>
      <c r="K16" s="51">
        <v>45673</v>
      </c>
      <c r="L16" s="686" t="s">
        <v>57</v>
      </c>
      <c r="M16" s="440">
        <v>69555</v>
      </c>
      <c r="N16" s="699">
        <v>70432</v>
      </c>
      <c r="O16" s="686" t="s">
        <v>57</v>
      </c>
      <c r="P16" s="52" t="s">
        <v>331</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378</v>
      </c>
      <c r="J17" s="52" t="s">
        <v>63</v>
      </c>
      <c r="K17" s="50" t="s">
        <v>331</v>
      </c>
      <c r="L17" s="686" t="s">
        <v>57</v>
      </c>
      <c r="M17" s="440">
        <v>83754</v>
      </c>
      <c r="N17" s="589">
        <v>80572.5</v>
      </c>
      <c r="O17" s="686" t="s">
        <v>57</v>
      </c>
      <c r="P17" s="52" t="s">
        <v>331</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378</v>
      </c>
      <c r="J18" s="52" t="s">
        <v>63</v>
      </c>
      <c r="K18" s="51">
        <v>45705</v>
      </c>
      <c r="L18" s="52" t="s">
        <v>57</v>
      </c>
      <c r="M18" s="440">
        <v>43895.5</v>
      </c>
      <c r="N18" s="589">
        <v>44479.5</v>
      </c>
      <c r="O18" s="52" t="s">
        <v>57</v>
      </c>
      <c r="P18" s="52" t="s">
        <v>331</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330</v>
      </c>
      <c r="J19" s="52" t="s">
        <v>63</v>
      </c>
      <c r="K19" s="51">
        <v>45733</v>
      </c>
      <c r="L19" s="52" t="s">
        <v>57</v>
      </c>
      <c r="M19" s="440">
        <v>50824.5</v>
      </c>
      <c r="N19" s="589">
        <v>50928.5</v>
      </c>
      <c r="O19" s="52" t="s">
        <v>57</v>
      </c>
      <c r="P19" s="52" t="s">
        <v>331</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330</v>
      </c>
      <c r="J20" s="52" t="s">
        <v>63</v>
      </c>
      <c r="K20" s="51">
        <v>45737</v>
      </c>
      <c r="L20" s="52" t="s">
        <v>57</v>
      </c>
      <c r="M20" s="440">
        <v>83462</v>
      </c>
      <c r="N20" s="589">
        <v>83033</v>
      </c>
      <c r="O20" s="52" t="s">
        <v>57</v>
      </c>
      <c r="P20" s="52" t="s">
        <v>331</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378</v>
      </c>
      <c r="J21" s="52" t="s">
        <v>63</v>
      </c>
      <c r="K21" s="50" t="s">
        <v>331</v>
      </c>
      <c r="L21" s="52" t="s">
        <v>57</v>
      </c>
      <c r="M21" s="440">
        <v>47414</v>
      </c>
      <c r="N21" s="589">
        <v>45744</v>
      </c>
      <c r="O21" s="52" t="s">
        <v>57</v>
      </c>
      <c r="P21" s="52" t="s">
        <v>331</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330</v>
      </c>
      <c r="J22" s="52" t="s">
        <v>63</v>
      </c>
      <c r="K22" s="51">
        <v>45736</v>
      </c>
      <c r="L22" s="52" t="s">
        <v>57</v>
      </c>
      <c r="M22" s="440">
        <v>59562.5</v>
      </c>
      <c r="N22" s="589">
        <v>52525.5</v>
      </c>
      <c r="O22" s="52" t="s">
        <v>57</v>
      </c>
      <c r="P22" s="52" t="s">
        <v>331</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330</v>
      </c>
      <c r="J23" s="52" t="s">
        <v>63</v>
      </c>
      <c r="K23" s="51">
        <v>45735</v>
      </c>
      <c r="L23" s="52" t="s">
        <v>57</v>
      </c>
      <c r="M23" s="440">
        <v>41187</v>
      </c>
      <c r="N23" s="589">
        <v>39597.5</v>
      </c>
      <c r="O23" s="52" t="s">
        <v>57</v>
      </c>
      <c r="P23" s="52" t="s">
        <v>331</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330</v>
      </c>
      <c r="J24" s="52" t="s">
        <v>63</v>
      </c>
      <c r="K24" s="50" t="s">
        <v>331</v>
      </c>
      <c r="L24" s="52" t="s">
        <v>57</v>
      </c>
      <c r="M24" s="440">
        <v>14497.5</v>
      </c>
      <c r="N24" s="589">
        <v>14042</v>
      </c>
      <c r="O24" s="52" t="s">
        <v>57</v>
      </c>
      <c r="P24" s="52" t="s">
        <v>331</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330</v>
      </c>
      <c r="J25" s="52" t="s">
        <v>63</v>
      </c>
      <c r="K25" s="51">
        <v>45762</v>
      </c>
      <c r="L25" s="52" t="s">
        <v>57</v>
      </c>
      <c r="M25" s="440">
        <v>62502</v>
      </c>
      <c r="N25" s="573">
        <v>59129.5</v>
      </c>
      <c r="O25" s="52" t="s">
        <v>57</v>
      </c>
      <c r="P25" s="52" t="s">
        <v>331</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330</v>
      </c>
      <c r="J26" s="52" t="s">
        <v>63</v>
      </c>
      <c r="K26" s="51">
        <v>45762</v>
      </c>
      <c r="L26" s="52" t="s">
        <v>57</v>
      </c>
      <c r="M26" s="440">
        <v>70705.5</v>
      </c>
      <c r="N26" s="573">
        <v>67666</v>
      </c>
      <c r="O26" s="52" t="s">
        <v>57</v>
      </c>
      <c r="P26" s="52" t="s">
        <v>331</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330</v>
      </c>
      <c r="J27" s="52" t="s">
        <v>63</v>
      </c>
      <c r="K27" s="51">
        <v>45762</v>
      </c>
      <c r="L27" s="52" t="s">
        <v>57</v>
      </c>
      <c r="M27" s="440">
        <v>66004.5</v>
      </c>
      <c r="N27" s="573">
        <v>64943.5</v>
      </c>
      <c r="O27" s="52" t="s">
        <v>57</v>
      </c>
      <c r="P27" s="52" t="s">
        <v>331</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330</v>
      </c>
      <c r="J28" s="387" t="s">
        <v>63</v>
      </c>
      <c r="K28" s="386">
        <v>45790</v>
      </c>
      <c r="L28" s="387" t="s">
        <v>57</v>
      </c>
      <c r="M28" s="443">
        <v>57237</v>
      </c>
      <c r="N28" s="587">
        <v>55777</v>
      </c>
      <c r="O28" s="52" t="s">
        <v>57</v>
      </c>
      <c r="P28" s="387" t="s">
        <v>331</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331</v>
      </c>
      <c r="J29" s="117" t="s">
        <v>63</v>
      </c>
      <c r="K29" s="527">
        <v>45673</v>
      </c>
      <c r="L29" s="522" t="s">
        <v>57</v>
      </c>
      <c r="M29" s="809">
        <v>24886.5</v>
      </c>
      <c r="N29" s="844">
        <v>7262</v>
      </c>
      <c r="O29" s="522" t="s">
        <v>57</v>
      </c>
      <c r="P29" s="851" t="s">
        <v>331</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330</v>
      </c>
      <c r="J30" s="387" t="s">
        <v>63</v>
      </c>
      <c r="K30" s="386">
        <v>45705</v>
      </c>
      <c r="L30" s="387" t="s">
        <v>57</v>
      </c>
      <c r="M30" s="443">
        <v>88491.8</v>
      </c>
      <c r="N30" s="440">
        <v>85791.25</v>
      </c>
      <c r="O30" s="387" t="s">
        <v>57</v>
      </c>
      <c r="P30" s="387" t="s">
        <v>331</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331</v>
      </c>
      <c r="J31" s="52" t="s">
        <v>63</v>
      </c>
      <c r="K31" s="50" t="s">
        <v>331</v>
      </c>
      <c r="L31" s="52" t="s">
        <v>57</v>
      </c>
      <c r="M31" s="440">
        <v>3425.55</v>
      </c>
      <c r="N31" s="573">
        <v>7741.4</v>
      </c>
      <c r="O31" s="52" t="s">
        <v>57</v>
      </c>
      <c r="P31" s="52" t="s">
        <v>331</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330</v>
      </c>
      <c r="J32" s="387" t="s">
        <v>63</v>
      </c>
      <c r="K32" s="385" t="s">
        <v>331</v>
      </c>
      <c r="L32" s="387" t="s">
        <v>57</v>
      </c>
      <c r="M32" s="443">
        <v>3707.3</v>
      </c>
      <c r="N32" s="440">
        <v>8209.69</v>
      </c>
      <c r="O32" s="387" t="s">
        <v>57</v>
      </c>
      <c r="P32" s="387" t="s">
        <v>331</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378</v>
      </c>
      <c r="J33" s="52" t="s">
        <v>56</v>
      </c>
      <c r="K33" s="50" t="s">
        <v>331</v>
      </c>
      <c r="L33" s="52" t="s">
        <v>57</v>
      </c>
      <c r="M33" s="440">
        <v>21648.75</v>
      </c>
      <c r="N33" s="573">
        <v>35235</v>
      </c>
      <c r="O33" s="52" t="s">
        <v>57</v>
      </c>
      <c r="P33" s="52" t="s">
        <v>331</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394</v>
      </c>
      <c r="E34" s="51">
        <v>45727</v>
      </c>
      <c r="F34" s="50" t="s">
        <v>579</v>
      </c>
      <c r="G34" s="607" t="s">
        <v>580</v>
      </c>
      <c r="H34" s="52">
        <v>80</v>
      </c>
      <c r="I34" s="52" t="s">
        <v>331</v>
      </c>
      <c r="J34" s="52" t="s">
        <v>63</v>
      </c>
      <c r="K34" s="51">
        <v>45728</v>
      </c>
      <c r="L34" s="52" t="s">
        <v>57</v>
      </c>
      <c r="M34" s="440">
        <v>88033.5</v>
      </c>
      <c r="N34" s="573">
        <v>88045.5</v>
      </c>
      <c r="O34" s="52" t="s">
        <v>57</v>
      </c>
      <c r="P34" s="52" t="s">
        <v>331</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331</v>
      </c>
      <c r="J35" s="52" t="s">
        <v>63</v>
      </c>
      <c r="K35" s="51">
        <v>45728</v>
      </c>
      <c r="L35" s="52" t="s">
        <v>57</v>
      </c>
      <c r="M35" s="440">
        <v>82979.5</v>
      </c>
      <c r="N35" s="573">
        <v>78032</v>
      </c>
      <c r="O35" s="52" t="s">
        <v>57</v>
      </c>
      <c r="P35" s="387" t="s">
        <v>331</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331</v>
      </c>
      <c r="J36" s="52" t="s">
        <v>63</v>
      </c>
      <c r="K36" s="51">
        <v>45716</v>
      </c>
      <c r="L36" s="52" t="s">
        <v>57</v>
      </c>
      <c r="M36" s="440">
        <v>74446</v>
      </c>
      <c r="N36" s="587">
        <v>73894</v>
      </c>
      <c r="O36" s="52" t="s">
        <v>57</v>
      </c>
      <c r="P36" s="387" t="s">
        <v>331</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331</v>
      </c>
      <c r="J37" s="52" t="s">
        <v>63</v>
      </c>
      <c r="K37" s="633">
        <v>45716</v>
      </c>
      <c r="L37" s="52" t="s">
        <v>57</v>
      </c>
      <c r="M37" s="700">
        <v>84935.5</v>
      </c>
      <c r="N37" s="588">
        <v>81445</v>
      </c>
      <c r="O37" s="52" t="s">
        <v>57</v>
      </c>
      <c r="P37" s="387" t="s">
        <v>331</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330</v>
      </c>
      <c r="J38" s="686" t="s">
        <v>63</v>
      </c>
      <c r="K38" s="684">
        <v>45692</v>
      </c>
      <c r="L38" s="686" t="s">
        <v>57</v>
      </c>
      <c r="M38" s="689">
        <v>90302</v>
      </c>
      <c r="N38" s="440">
        <v>98764.5</v>
      </c>
      <c r="O38" s="686" t="s">
        <v>57</v>
      </c>
      <c r="P38" s="387" t="s">
        <v>331</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330</v>
      </c>
      <c r="J39" s="391" t="s">
        <v>63</v>
      </c>
      <c r="K39" s="392">
        <v>45698</v>
      </c>
      <c r="L39" s="391" t="s">
        <v>57</v>
      </c>
      <c r="M39" s="663">
        <v>71361</v>
      </c>
      <c r="N39" s="573">
        <v>72125</v>
      </c>
      <c r="O39" s="391" t="s">
        <v>57</v>
      </c>
      <c r="P39" s="52" t="s">
        <v>331</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414</v>
      </c>
      <c r="E40" s="392">
        <v>45686</v>
      </c>
      <c r="F40" s="392" t="s">
        <v>594</v>
      </c>
      <c r="G40" s="591" t="s">
        <v>595</v>
      </c>
      <c r="H40" s="391">
        <v>81</v>
      </c>
      <c r="I40" s="388" t="s">
        <v>330</v>
      </c>
      <c r="J40" s="391" t="s">
        <v>63</v>
      </c>
      <c r="K40" s="392">
        <v>45700</v>
      </c>
      <c r="L40" s="391" t="s">
        <v>57</v>
      </c>
      <c r="M40" s="663">
        <v>76139.5</v>
      </c>
      <c r="N40" s="587">
        <v>79581.5</v>
      </c>
      <c r="O40" s="391" t="s">
        <v>57</v>
      </c>
      <c r="P40" s="387" t="s">
        <v>331</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378</v>
      </c>
      <c r="J41" s="391" t="s">
        <v>63</v>
      </c>
      <c r="K41" s="50" t="s">
        <v>331</v>
      </c>
      <c r="L41" s="391" t="s">
        <v>57</v>
      </c>
      <c r="M41" s="663">
        <v>51958</v>
      </c>
      <c r="N41" s="573">
        <v>20330.259999999998</v>
      </c>
      <c r="O41" s="391" t="s">
        <v>57</v>
      </c>
      <c r="P41" s="52" t="s">
        <v>331</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376</v>
      </c>
      <c r="E42" s="684">
        <v>45692</v>
      </c>
      <c r="F42" s="684" t="s">
        <v>235</v>
      </c>
      <c r="G42" s="685" t="s">
        <v>601</v>
      </c>
      <c r="H42" s="52">
        <v>86</v>
      </c>
      <c r="I42" s="686" t="s">
        <v>378</v>
      </c>
      <c r="J42" s="52" t="s">
        <v>63</v>
      </c>
      <c r="K42" s="385" t="s">
        <v>331</v>
      </c>
      <c r="L42" s="686" t="s">
        <v>57</v>
      </c>
      <c r="M42" s="440">
        <v>82480.5</v>
      </c>
      <c r="N42" s="440">
        <v>77870.5</v>
      </c>
      <c r="O42" s="686" t="s">
        <v>57</v>
      </c>
      <c r="P42" s="387" t="s">
        <v>331</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330</v>
      </c>
      <c r="J43" s="387" t="s">
        <v>63</v>
      </c>
      <c r="K43" s="51">
        <v>45741</v>
      </c>
      <c r="L43" s="387" t="s">
        <v>57</v>
      </c>
      <c r="M43" s="440">
        <v>74508.5</v>
      </c>
      <c r="N43" s="573">
        <v>75008.5</v>
      </c>
      <c r="O43" s="387" t="s">
        <v>57</v>
      </c>
      <c r="P43" s="387" t="s">
        <v>331</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330</v>
      </c>
      <c r="J44" s="52" t="s">
        <v>63</v>
      </c>
      <c r="K44" s="51">
        <v>45741</v>
      </c>
      <c r="L44" s="52" t="s">
        <v>57</v>
      </c>
      <c r="M44" s="440">
        <v>73070.5</v>
      </c>
      <c r="N44" s="573">
        <v>72678</v>
      </c>
      <c r="O44" s="52" t="s">
        <v>57</v>
      </c>
      <c r="P44" s="52" t="s">
        <v>331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376</v>
      </c>
      <c r="E45" s="684">
        <v>45691</v>
      </c>
      <c r="F45" s="684" t="s">
        <v>235</v>
      </c>
      <c r="G45" s="685" t="s">
        <v>611</v>
      </c>
      <c r="H45" s="52">
        <v>73</v>
      </c>
      <c r="I45" s="693" t="s">
        <v>378</v>
      </c>
      <c r="J45" s="52" t="s">
        <v>63</v>
      </c>
      <c r="K45" s="51">
        <v>45698</v>
      </c>
      <c r="L45" s="686" t="s">
        <v>57</v>
      </c>
      <c r="M45" s="440">
        <v>60575.5</v>
      </c>
      <c r="N45" s="573">
        <v>59352</v>
      </c>
      <c r="O45" s="686" t="s">
        <v>57</v>
      </c>
      <c r="P45" s="387" t="s">
        <v>331</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378</v>
      </c>
      <c r="J46" s="52" t="s">
        <v>63</v>
      </c>
      <c r="K46" s="51">
        <v>45698</v>
      </c>
      <c r="L46" s="391" t="s">
        <v>57</v>
      </c>
      <c r="M46" s="440">
        <v>65001</v>
      </c>
      <c r="N46" s="588">
        <v>68269</v>
      </c>
      <c r="O46" s="391" t="s">
        <v>57</v>
      </c>
      <c r="P46" s="387" t="s">
        <v>331</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330</v>
      </c>
      <c r="J47" s="387" t="s">
        <v>63</v>
      </c>
      <c r="K47" s="51">
        <v>45741</v>
      </c>
      <c r="L47" s="387" t="s">
        <v>57</v>
      </c>
      <c r="M47" s="440">
        <v>62104</v>
      </c>
      <c r="N47" s="588">
        <v>64186</v>
      </c>
      <c r="O47" s="387" t="s">
        <v>57</v>
      </c>
      <c r="P47" s="387" t="s">
        <v>331</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330</v>
      </c>
      <c r="J48" s="387" t="s">
        <v>63</v>
      </c>
      <c r="K48" s="51">
        <v>45741</v>
      </c>
      <c r="L48" s="387" t="s">
        <v>57</v>
      </c>
      <c r="M48" s="440">
        <v>63756.5</v>
      </c>
      <c r="N48" s="588">
        <v>64902.5</v>
      </c>
      <c r="O48" s="387" t="s">
        <v>57</v>
      </c>
      <c r="P48" s="387" t="s">
        <v>331</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330</v>
      </c>
      <c r="J49" s="52" t="s">
        <v>63</v>
      </c>
      <c r="K49" s="51">
        <v>45741</v>
      </c>
      <c r="L49" s="52" t="s">
        <v>57</v>
      </c>
      <c r="M49" s="440">
        <v>67840.5</v>
      </c>
      <c r="N49" s="573">
        <v>66607.5</v>
      </c>
      <c r="O49" s="52" t="s">
        <v>57</v>
      </c>
      <c r="P49" s="52" t="s">
        <v>331</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330</v>
      </c>
      <c r="J50" s="52" t="s">
        <v>63</v>
      </c>
      <c r="K50" s="51">
        <v>45757</v>
      </c>
      <c r="L50" s="52" t="s">
        <v>57</v>
      </c>
      <c r="M50" s="440">
        <v>53906.75</v>
      </c>
      <c r="N50" s="573">
        <v>54578.5</v>
      </c>
      <c r="O50" s="52" t="s">
        <v>57</v>
      </c>
      <c r="P50" s="52" t="s">
        <v>331</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330</v>
      </c>
      <c r="J51" s="387" t="s">
        <v>63</v>
      </c>
      <c r="K51" s="386">
        <v>45757</v>
      </c>
      <c r="L51" s="387" t="s">
        <v>57</v>
      </c>
      <c r="M51" s="443">
        <v>47432.5</v>
      </c>
      <c r="N51" s="573">
        <v>54385.09</v>
      </c>
      <c r="O51" s="387" t="s">
        <v>57</v>
      </c>
      <c r="P51" s="387" t="s">
        <v>331</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414</v>
      </c>
      <c r="E52" s="51">
        <v>45761</v>
      </c>
      <c r="F52" s="50" t="s">
        <v>594</v>
      </c>
      <c r="G52" s="50" t="s">
        <v>628</v>
      </c>
      <c r="H52" s="52">
        <v>76</v>
      </c>
      <c r="I52" s="52" t="s">
        <v>331</v>
      </c>
      <c r="J52" s="52" t="s">
        <v>63</v>
      </c>
      <c r="K52" s="51">
        <v>45757</v>
      </c>
      <c r="L52" s="52" t="s">
        <v>57</v>
      </c>
      <c r="M52" s="440">
        <v>62383</v>
      </c>
      <c r="N52" s="573">
        <v>61939</v>
      </c>
      <c r="O52" s="52" t="s">
        <v>57</v>
      </c>
      <c r="P52" s="52" t="s">
        <v>331</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331</v>
      </c>
      <c r="J53" s="387" t="s">
        <v>63</v>
      </c>
      <c r="K53" s="386">
        <v>45757</v>
      </c>
      <c r="L53" s="387" t="s">
        <v>57</v>
      </c>
      <c r="M53" s="443">
        <v>80443.5</v>
      </c>
      <c r="N53" s="573">
        <v>81941</v>
      </c>
      <c r="O53" s="387" t="s">
        <v>57</v>
      </c>
      <c r="P53" s="387" t="s">
        <v>331</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330</v>
      </c>
      <c r="J54" s="387" t="s">
        <v>63</v>
      </c>
      <c r="K54" s="386">
        <v>45757</v>
      </c>
      <c r="L54" s="387" t="s">
        <v>57</v>
      </c>
      <c r="M54" s="443">
        <v>68736.5</v>
      </c>
      <c r="N54" s="573">
        <v>68249</v>
      </c>
      <c r="O54" s="387" t="s">
        <v>57</v>
      </c>
      <c r="P54" s="387" t="s">
        <v>331</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414</v>
      </c>
      <c r="E55" s="51">
        <v>45743</v>
      </c>
      <c r="F55" s="50" t="s">
        <v>594</v>
      </c>
      <c r="G55" s="390" t="s">
        <v>636</v>
      </c>
      <c r="H55" s="52">
        <v>84</v>
      </c>
      <c r="I55" s="686" t="s">
        <v>330</v>
      </c>
      <c r="J55" s="387" t="s">
        <v>63</v>
      </c>
      <c r="K55" s="51">
        <v>45741</v>
      </c>
      <c r="L55" s="387" t="s">
        <v>57</v>
      </c>
      <c r="M55" s="440">
        <v>73491.5</v>
      </c>
      <c r="N55" s="587">
        <v>202651</v>
      </c>
      <c r="O55" s="387" t="s">
        <v>57</v>
      </c>
      <c r="P55" s="387" t="s">
        <v>331</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330</v>
      </c>
      <c r="J56" s="387" t="s">
        <v>63</v>
      </c>
      <c r="K56" s="51">
        <v>45741</v>
      </c>
      <c r="L56" s="387" t="s">
        <v>57</v>
      </c>
      <c r="M56" s="440">
        <v>74961</v>
      </c>
      <c r="N56" s="440">
        <v>77123</v>
      </c>
      <c r="O56" s="387" t="s">
        <v>57</v>
      </c>
      <c r="P56" s="387" t="s">
        <v>331</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414</v>
      </c>
      <c r="E57" s="51">
        <v>45743</v>
      </c>
      <c r="F57" s="50" t="s">
        <v>594</v>
      </c>
      <c r="G57" s="390" t="s">
        <v>640</v>
      </c>
      <c r="H57" s="52">
        <v>80</v>
      </c>
      <c r="I57" s="391" t="s">
        <v>330</v>
      </c>
      <c r="J57" s="387" t="s">
        <v>63</v>
      </c>
      <c r="K57" s="51">
        <v>45741</v>
      </c>
      <c r="L57" s="387" t="s">
        <v>57</v>
      </c>
      <c r="M57" s="440">
        <v>70235</v>
      </c>
      <c r="N57" s="587">
        <v>134171.5</v>
      </c>
      <c r="O57" s="387" t="s">
        <v>57</v>
      </c>
      <c r="P57" s="387" t="s">
        <v>331</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378</v>
      </c>
      <c r="J58" s="52" t="s">
        <v>63</v>
      </c>
      <c r="K58" s="50" t="s">
        <v>331</v>
      </c>
      <c r="L58" s="686" t="s">
        <v>57</v>
      </c>
      <c r="M58" s="440">
        <v>60625.5</v>
      </c>
      <c r="N58" s="573">
        <v>59084</v>
      </c>
      <c r="O58" s="686" t="s">
        <v>57</v>
      </c>
      <c r="P58" s="52" t="s">
        <v>331</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330</v>
      </c>
      <c r="J59" s="52" t="s">
        <v>63</v>
      </c>
      <c r="K59" s="51">
        <v>45721</v>
      </c>
      <c r="L59" s="52" t="s">
        <v>57</v>
      </c>
      <c r="M59" s="610">
        <v>79507</v>
      </c>
      <c r="N59" s="573">
        <v>86709.5</v>
      </c>
      <c r="O59" s="52" t="s">
        <v>57</v>
      </c>
      <c r="P59" s="52" t="s">
        <v>331</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414</v>
      </c>
      <c r="E60" s="684">
        <v>45686</v>
      </c>
      <c r="F60" s="684" t="s">
        <v>594</v>
      </c>
      <c r="G60" s="685" t="s">
        <v>646</v>
      </c>
      <c r="H60" s="52">
        <v>90</v>
      </c>
      <c r="I60" s="693" t="s">
        <v>378</v>
      </c>
      <c r="J60" s="52" t="s">
        <v>63</v>
      </c>
      <c r="K60" s="51">
        <v>45700</v>
      </c>
      <c r="L60" s="686" t="s">
        <v>57</v>
      </c>
      <c r="M60" s="440">
        <v>77320</v>
      </c>
      <c r="N60" s="440">
        <v>75804</v>
      </c>
      <c r="O60" s="686" t="s">
        <v>57</v>
      </c>
      <c r="P60" s="387" t="s">
        <v>331</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414</v>
      </c>
      <c r="E61" s="51">
        <v>45716</v>
      </c>
      <c r="F61" s="50" t="s">
        <v>594</v>
      </c>
      <c r="G61" s="390" t="s">
        <v>649</v>
      </c>
      <c r="H61" s="52">
        <v>82</v>
      </c>
      <c r="I61" s="391" t="s">
        <v>330</v>
      </c>
      <c r="J61" s="52" t="s">
        <v>63</v>
      </c>
      <c r="K61" s="51">
        <v>45716</v>
      </c>
      <c r="L61" s="52" t="s">
        <v>57</v>
      </c>
      <c r="M61" s="440">
        <v>64609</v>
      </c>
      <c r="N61" s="587">
        <v>76965</v>
      </c>
      <c r="O61" s="52" t="s">
        <v>57</v>
      </c>
      <c r="P61" s="387" t="s">
        <v>331</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330</v>
      </c>
      <c r="J62" s="52" t="s">
        <v>63</v>
      </c>
      <c r="K62" s="51">
        <v>45698</v>
      </c>
      <c r="L62" s="686" t="s">
        <v>57</v>
      </c>
      <c r="M62" s="440">
        <v>52222</v>
      </c>
      <c r="N62" s="573">
        <v>51838</v>
      </c>
      <c r="O62" s="686" t="s">
        <v>57</v>
      </c>
      <c r="P62" s="52" t="s">
        <v>331</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414</v>
      </c>
      <c r="E63" s="51">
        <v>45716</v>
      </c>
      <c r="F63" s="50" t="s">
        <v>594</v>
      </c>
      <c r="G63" s="696" t="s">
        <v>653</v>
      </c>
      <c r="H63" s="52">
        <v>88</v>
      </c>
      <c r="I63" s="686" t="s">
        <v>331</v>
      </c>
      <c r="J63" s="52" t="s">
        <v>63</v>
      </c>
      <c r="K63" s="51">
        <v>45716</v>
      </c>
      <c r="L63" s="52" t="s">
        <v>57</v>
      </c>
      <c r="M63" s="610">
        <v>67463</v>
      </c>
      <c r="N63" s="573">
        <v>69992</v>
      </c>
      <c r="O63" s="52" t="s">
        <v>57</v>
      </c>
      <c r="P63" s="52" t="s">
        <v>331</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378</v>
      </c>
      <c r="J64" s="52" t="s">
        <v>63</v>
      </c>
      <c r="K64" s="51">
        <v>45698</v>
      </c>
      <c r="L64" s="686" t="s">
        <v>57</v>
      </c>
      <c r="M64" s="440">
        <v>66638</v>
      </c>
      <c r="N64" s="588">
        <v>65072</v>
      </c>
      <c r="O64" s="686" t="s">
        <v>57</v>
      </c>
      <c r="P64" s="387" t="s">
        <v>331</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330</v>
      </c>
      <c r="J65" s="52" t="s">
        <v>63</v>
      </c>
      <c r="K65" s="51">
        <v>45707</v>
      </c>
      <c r="L65" s="52" t="s">
        <v>57</v>
      </c>
      <c r="M65" s="440" t="s">
        <v>660</v>
      </c>
      <c r="N65" s="588">
        <v>67080</v>
      </c>
      <c r="O65" s="52" t="s">
        <v>57</v>
      </c>
      <c r="P65" s="387" t="s">
        <v>331</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330</v>
      </c>
      <c r="J66" s="387" t="s">
        <v>63</v>
      </c>
      <c r="K66" s="51">
        <v>45741</v>
      </c>
      <c r="L66" s="387" t="s">
        <v>57</v>
      </c>
      <c r="M66" s="440">
        <v>79069.5</v>
      </c>
      <c r="N66" s="587">
        <v>73300</v>
      </c>
      <c r="O66" s="387" t="s">
        <v>57</v>
      </c>
      <c r="P66" s="387" t="s">
        <v>331</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330</v>
      </c>
      <c r="J67" s="387" t="s">
        <v>63</v>
      </c>
      <c r="K67" s="51">
        <v>45741</v>
      </c>
      <c r="L67" s="387" t="s">
        <v>57</v>
      </c>
      <c r="M67" s="440">
        <v>16398</v>
      </c>
      <c r="N67" s="573">
        <v>15664</v>
      </c>
      <c r="O67" s="387" t="s">
        <v>57</v>
      </c>
      <c r="P67" s="387" t="s">
        <v>331</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331</v>
      </c>
      <c r="J68" s="808" t="s">
        <v>63</v>
      </c>
      <c r="K68" s="57">
        <v>45708</v>
      </c>
      <c r="L68" s="808" t="s">
        <v>57</v>
      </c>
      <c r="M68" s="440">
        <v>56854</v>
      </c>
      <c r="N68" s="573">
        <v>62254</v>
      </c>
      <c r="O68" s="52" t="s">
        <v>57</v>
      </c>
      <c r="P68" s="867" t="s">
        <v>331</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331</v>
      </c>
      <c r="J69" s="808" t="s">
        <v>63</v>
      </c>
      <c r="K69" s="57">
        <v>45708</v>
      </c>
      <c r="L69" s="814" t="s">
        <v>57</v>
      </c>
      <c r="M69" s="440">
        <v>73639</v>
      </c>
      <c r="N69" s="588">
        <v>73025</v>
      </c>
      <c r="O69" s="391" t="s">
        <v>57</v>
      </c>
      <c r="P69" s="451" t="s">
        <v>331</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331</v>
      </c>
      <c r="J70" s="808" t="s">
        <v>63</v>
      </c>
      <c r="K70" s="57">
        <v>45698</v>
      </c>
      <c r="L70" s="814" t="s">
        <v>57</v>
      </c>
      <c r="M70" s="440">
        <v>54861</v>
      </c>
      <c r="N70" s="573">
        <v>55197</v>
      </c>
      <c r="O70" s="391" t="s">
        <v>57</v>
      </c>
      <c r="P70" s="801" t="s">
        <v>331</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414</v>
      </c>
      <c r="E71" s="57">
        <v>45736</v>
      </c>
      <c r="F71" s="804" t="s">
        <v>594</v>
      </c>
      <c r="G71" s="824" t="s">
        <v>673</v>
      </c>
      <c r="H71" s="808">
        <v>50</v>
      </c>
      <c r="I71" s="828" t="s">
        <v>330</v>
      </c>
      <c r="J71" s="808" t="s">
        <v>63</v>
      </c>
      <c r="K71" s="57">
        <v>45735</v>
      </c>
      <c r="L71" s="808" t="s">
        <v>57</v>
      </c>
      <c r="M71" s="662">
        <v>41285</v>
      </c>
      <c r="N71" s="844">
        <v>40484</v>
      </c>
      <c r="O71" s="808" t="s">
        <v>57</v>
      </c>
      <c r="P71" s="826" t="s">
        <v>331</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378</v>
      </c>
      <c r="J72" s="76" t="s">
        <v>63</v>
      </c>
      <c r="K72" s="866">
        <v>45716</v>
      </c>
      <c r="L72" s="76" t="s">
        <v>57</v>
      </c>
      <c r="M72" s="849">
        <v>21944.6</v>
      </c>
      <c r="N72" s="850">
        <v>26564</v>
      </c>
      <c r="O72" s="76" t="s">
        <v>57</v>
      </c>
      <c r="P72" s="106" t="s">
        <v>331</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378</v>
      </c>
      <c r="J73" s="76" t="s">
        <v>63</v>
      </c>
      <c r="K73" s="77">
        <v>45695</v>
      </c>
      <c r="L73" s="858" t="s">
        <v>57</v>
      </c>
      <c r="M73" s="849">
        <v>20939.75</v>
      </c>
      <c r="N73" s="850">
        <v>13575.75</v>
      </c>
      <c r="O73" s="858" t="s">
        <v>57</v>
      </c>
      <c r="P73" s="106" t="s">
        <v>331</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330</v>
      </c>
      <c r="J74" s="808" t="s">
        <v>63</v>
      </c>
      <c r="K74" s="57">
        <v>45716</v>
      </c>
      <c r="L74" s="808" t="s">
        <v>57</v>
      </c>
      <c r="M74" s="662">
        <v>64727</v>
      </c>
      <c r="N74" s="844">
        <v>68203</v>
      </c>
      <c r="O74" s="808" t="s">
        <v>57</v>
      </c>
      <c r="P74" s="826" t="s">
        <v>331</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330</v>
      </c>
      <c r="J75" s="814" t="s">
        <v>63</v>
      </c>
      <c r="K75" s="805">
        <v>45699</v>
      </c>
      <c r="L75" s="814" t="s">
        <v>57</v>
      </c>
      <c r="M75" s="976">
        <v>73583.5</v>
      </c>
      <c r="N75" s="844">
        <v>84066</v>
      </c>
      <c r="O75" s="977" t="s">
        <v>57</v>
      </c>
      <c r="P75" s="826" t="s">
        <v>331</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330</v>
      </c>
      <c r="J76" s="808" t="s">
        <v>63</v>
      </c>
      <c r="K76" s="57">
        <v>45701</v>
      </c>
      <c r="L76" s="814" t="s">
        <v>57</v>
      </c>
      <c r="M76" s="662">
        <v>48609</v>
      </c>
      <c r="N76" s="844">
        <v>48682.5</v>
      </c>
      <c r="O76" s="977" t="s">
        <v>57</v>
      </c>
      <c r="P76" s="826" t="s">
        <v>331</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330</v>
      </c>
      <c r="J77" s="814" t="s">
        <v>63</v>
      </c>
      <c r="K77" s="978" t="s">
        <v>331</v>
      </c>
      <c r="L77" s="814" t="s">
        <v>57</v>
      </c>
      <c r="M77" s="976">
        <v>289634.75</v>
      </c>
      <c r="N77" s="844">
        <v>296306.83</v>
      </c>
      <c r="O77" s="977" t="s">
        <v>57</v>
      </c>
      <c r="P77" s="826" t="s">
        <v>331</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327</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330</v>
      </c>
      <c r="J84" s="52" t="s">
        <v>63</v>
      </c>
      <c r="K84" s="51">
        <v>45701</v>
      </c>
      <c r="L84" s="52" t="s">
        <v>57</v>
      </c>
      <c r="M84" s="440">
        <v>111163</v>
      </c>
      <c r="N84" s="764"/>
      <c r="O84" s="52" t="s">
        <v>57</v>
      </c>
      <c r="P84" s="605" t="s">
        <v>331</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330</v>
      </c>
      <c r="J85" s="52" t="s">
        <v>63</v>
      </c>
      <c r="K85" s="633">
        <v>45718</v>
      </c>
      <c r="L85" s="52" t="s">
        <v>57</v>
      </c>
      <c r="M85" s="440">
        <v>200394.1</v>
      </c>
      <c r="N85" s="97"/>
      <c r="O85" s="52" t="s">
        <v>57</v>
      </c>
      <c r="P85" s="606" t="s">
        <v>331</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330</v>
      </c>
      <c r="J86" s="387" t="s">
        <v>56</v>
      </c>
      <c r="K86" s="386">
        <v>45874</v>
      </c>
      <c r="L86" s="387" t="s">
        <v>57</v>
      </c>
      <c r="M86" s="443">
        <v>11894.25</v>
      </c>
      <c r="N86" s="97"/>
      <c r="O86" s="387" t="s">
        <v>57</v>
      </c>
      <c r="P86" s="606" t="s">
        <v>331</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330</v>
      </c>
      <c r="J87" s="387" t="s">
        <v>63</v>
      </c>
      <c r="K87" s="386">
        <v>45793</v>
      </c>
      <c r="L87" s="387" t="s">
        <v>57</v>
      </c>
      <c r="M87" s="443">
        <v>104070.8</v>
      </c>
      <c r="N87" s="764"/>
      <c r="O87" s="387" t="s">
        <v>57</v>
      </c>
      <c r="P87" s="606" t="s">
        <v>331</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330</v>
      </c>
      <c r="J88" s="483" t="s">
        <v>63</v>
      </c>
      <c r="K88" s="481">
        <v>45786</v>
      </c>
      <c r="L88" s="483" t="s">
        <v>57</v>
      </c>
      <c r="M88" s="1130">
        <v>133172.15</v>
      </c>
      <c r="N88" s="764"/>
      <c r="O88" s="483" t="s">
        <v>57</v>
      </c>
      <c r="P88" s="779" t="s">
        <v>331</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330</v>
      </c>
      <c r="J89" s="52" t="s">
        <v>63</v>
      </c>
      <c r="K89" s="386">
        <v>45826</v>
      </c>
      <c r="L89" s="387" t="s">
        <v>57</v>
      </c>
      <c r="M89" s="443">
        <v>144886</v>
      </c>
      <c r="N89" s="97"/>
      <c r="O89" s="387" t="s">
        <v>57</v>
      </c>
      <c r="P89" s="606" t="s">
        <v>331</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330</v>
      </c>
      <c r="J90" s="52" t="s">
        <v>63</v>
      </c>
      <c r="K90" s="386">
        <v>45853</v>
      </c>
      <c r="L90" s="391" t="s">
        <v>57</v>
      </c>
      <c r="M90" s="443">
        <v>60849.9</v>
      </c>
      <c r="N90" s="97"/>
      <c r="O90" s="391" t="s">
        <v>57</v>
      </c>
      <c r="P90" s="769" t="s">
        <v>331</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330</v>
      </c>
      <c r="J91" s="52" t="s">
        <v>63</v>
      </c>
      <c r="K91" s="386">
        <v>45884</v>
      </c>
      <c r="L91" s="387" t="s">
        <v>57</v>
      </c>
      <c r="M91" s="443">
        <v>67441</v>
      </c>
      <c r="N91" s="97"/>
      <c r="O91" s="387" t="s">
        <v>57</v>
      </c>
      <c r="P91" s="769" t="s">
        <v>331</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330</v>
      </c>
      <c r="J92" s="387" t="s">
        <v>63</v>
      </c>
      <c r="K92" s="386">
        <v>45797</v>
      </c>
      <c r="L92" s="387" t="s">
        <v>57</v>
      </c>
      <c r="M92" s="443">
        <v>43097.65</v>
      </c>
      <c r="N92" s="764"/>
      <c r="O92" s="387" t="s">
        <v>57</v>
      </c>
      <c r="P92" s="769" t="s">
        <v>331</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330</v>
      </c>
      <c r="J93" s="52" t="s">
        <v>63</v>
      </c>
      <c r="K93" s="386">
        <v>45880</v>
      </c>
      <c r="L93" s="387" t="s">
        <v>57</v>
      </c>
      <c r="M93" s="443">
        <v>56807.95</v>
      </c>
      <c r="N93" s="764"/>
      <c r="O93" s="387" t="s">
        <v>57</v>
      </c>
      <c r="P93" s="769" t="s">
        <v>331</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330</v>
      </c>
      <c r="J94" s="483" t="s">
        <v>63</v>
      </c>
      <c r="K94" s="481">
        <v>45882</v>
      </c>
      <c r="L94" s="483" t="s">
        <v>57</v>
      </c>
      <c r="M94" s="1130">
        <v>59869.5</v>
      </c>
      <c r="N94" s="764"/>
      <c r="O94" s="483" t="s">
        <v>57</v>
      </c>
      <c r="P94" s="779" t="s">
        <v>331</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330</v>
      </c>
      <c r="J95" s="387" t="s">
        <v>63</v>
      </c>
      <c r="K95" s="386">
        <v>45840</v>
      </c>
      <c r="L95" s="387" t="s">
        <v>57</v>
      </c>
      <c r="M95" s="443">
        <v>10430.549999999999</v>
      </c>
      <c r="N95" s="764"/>
      <c r="O95" s="387" t="s">
        <v>57</v>
      </c>
      <c r="P95" s="606" t="s">
        <v>331</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417</v>
      </c>
      <c r="H96" s="387">
        <v>81</v>
      </c>
      <c r="I96" s="387" t="s">
        <v>330</v>
      </c>
      <c r="J96" s="387" t="s">
        <v>63</v>
      </c>
      <c r="K96" s="386">
        <v>45847</v>
      </c>
      <c r="L96" s="387" t="s">
        <v>57</v>
      </c>
      <c r="M96" s="443">
        <v>71310.899999999994</v>
      </c>
      <c r="N96" s="764"/>
      <c r="O96" s="387" t="s">
        <v>57</v>
      </c>
      <c r="P96" s="615" t="s">
        <v>331</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330</v>
      </c>
      <c r="J97" s="387" t="s">
        <v>63</v>
      </c>
      <c r="K97" s="386">
        <v>45840</v>
      </c>
      <c r="L97" s="387" t="s">
        <v>57</v>
      </c>
      <c r="M97" s="443">
        <v>53605.2</v>
      </c>
      <c r="N97" s="764"/>
      <c r="O97" s="387" t="s">
        <v>57</v>
      </c>
      <c r="P97" s="770" t="s">
        <v>331</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330</v>
      </c>
      <c r="J98" s="387" t="s">
        <v>63</v>
      </c>
      <c r="K98" s="386">
        <v>45833</v>
      </c>
      <c r="L98" s="387" t="s">
        <v>57</v>
      </c>
      <c r="M98" s="443">
        <v>32940.449999999997</v>
      </c>
      <c r="N98" s="764"/>
      <c r="O98" s="387" t="s">
        <v>57</v>
      </c>
      <c r="P98" s="769" t="s">
        <v>331</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330</v>
      </c>
      <c r="J99" s="387" t="s">
        <v>63</v>
      </c>
      <c r="K99" s="386">
        <v>45840</v>
      </c>
      <c r="L99" s="387" t="s">
        <v>57</v>
      </c>
      <c r="M99" s="443">
        <v>23404.75</v>
      </c>
      <c r="N99" s="764"/>
      <c r="O99" s="387" t="s">
        <v>57</v>
      </c>
      <c r="P99" s="606" t="s">
        <v>331</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330</v>
      </c>
      <c r="J100" s="387" t="s">
        <v>63</v>
      </c>
      <c r="K100" s="386">
        <v>45887</v>
      </c>
      <c r="L100" s="387" t="s">
        <v>57</v>
      </c>
      <c r="M100" s="443">
        <v>37930</v>
      </c>
      <c r="N100" s="97"/>
      <c r="O100" s="387" t="s">
        <v>57</v>
      </c>
      <c r="P100" s="606" t="s">
        <v>331</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414</v>
      </c>
      <c r="E101" s="51">
        <v>45887</v>
      </c>
      <c r="F101" s="392" t="s">
        <v>125</v>
      </c>
      <c r="G101" s="390" t="s">
        <v>743</v>
      </c>
      <c r="H101" s="52">
        <v>70</v>
      </c>
      <c r="I101" s="391" t="s">
        <v>330</v>
      </c>
      <c r="J101" s="52" t="s">
        <v>63</v>
      </c>
      <c r="K101" s="386">
        <v>45887</v>
      </c>
      <c r="L101" s="387" t="s">
        <v>57</v>
      </c>
      <c r="M101" s="443">
        <v>69889</v>
      </c>
      <c r="N101" s="97"/>
      <c r="O101" s="387" t="s">
        <v>57</v>
      </c>
      <c r="P101" s="605" t="s">
        <v>331</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330</v>
      </c>
      <c r="J102" s="52" t="s">
        <v>63</v>
      </c>
      <c r="K102" s="386">
        <v>45887</v>
      </c>
      <c r="L102" s="387" t="s">
        <v>57</v>
      </c>
      <c r="M102" s="443">
        <v>52110</v>
      </c>
      <c r="N102" s="764"/>
      <c r="O102" s="387" t="s">
        <v>57</v>
      </c>
      <c r="P102" s="769" t="s">
        <v>331</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330</v>
      </c>
      <c r="J103" s="387" t="s">
        <v>63</v>
      </c>
      <c r="K103" s="386">
        <v>45848</v>
      </c>
      <c r="L103" s="387" t="s">
        <v>57</v>
      </c>
      <c r="M103" s="443">
        <v>1206</v>
      </c>
      <c r="N103" s="764"/>
      <c r="O103" s="387" t="s">
        <v>57</v>
      </c>
      <c r="P103" s="769" t="s">
        <v>331</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330</v>
      </c>
      <c r="J104" s="387" t="s">
        <v>63</v>
      </c>
      <c r="K104" s="394">
        <v>45821</v>
      </c>
      <c r="L104" s="388" t="s">
        <v>57</v>
      </c>
      <c r="M104" s="443">
        <v>23436.55</v>
      </c>
      <c r="N104" s="764"/>
      <c r="O104" s="388" t="s">
        <v>57</v>
      </c>
      <c r="P104" s="605" t="s">
        <v>331</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330</v>
      </c>
      <c r="J105" s="387" t="s">
        <v>63</v>
      </c>
      <c r="K105" s="386" t="s">
        <v>52</v>
      </c>
      <c r="L105" s="387" t="s">
        <v>57</v>
      </c>
      <c r="M105" s="443">
        <v>18903.7</v>
      </c>
      <c r="N105" s="97"/>
      <c r="O105" s="387" t="s">
        <v>57</v>
      </c>
      <c r="P105" s="606" t="s">
        <v>331</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330</v>
      </c>
      <c r="J106" s="387" t="s">
        <v>63</v>
      </c>
      <c r="K106" s="386" t="s">
        <v>758</v>
      </c>
      <c r="L106" s="387" t="s">
        <v>57</v>
      </c>
      <c r="M106" s="443">
        <v>21888.65</v>
      </c>
      <c r="N106" s="97"/>
      <c r="O106" s="387" t="s">
        <v>57</v>
      </c>
      <c r="P106" s="606" t="s">
        <v>331</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330</v>
      </c>
      <c r="J107" s="387" t="s">
        <v>63</v>
      </c>
      <c r="K107" s="386">
        <v>45876</v>
      </c>
      <c r="L107" s="387" t="s">
        <v>57</v>
      </c>
      <c r="M107" s="443">
        <v>1462.85</v>
      </c>
      <c r="N107" s="97"/>
      <c r="O107" s="387" t="s">
        <v>57</v>
      </c>
      <c r="P107" s="769" t="s">
        <v>331</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330</v>
      </c>
      <c r="J109" s="387" t="s">
        <v>63</v>
      </c>
      <c r="K109" s="386">
        <v>45870</v>
      </c>
      <c r="L109" s="387" t="s">
        <v>57</v>
      </c>
      <c r="M109" s="443">
        <v>49307.5</v>
      </c>
      <c r="N109" s="97"/>
      <c r="O109" s="387" t="s">
        <v>57</v>
      </c>
      <c r="P109" s="769" t="s">
        <v>331</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330</v>
      </c>
      <c r="J110" s="387" t="s">
        <v>63</v>
      </c>
      <c r="K110" s="386">
        <v>45870</v>
      </c>
      <c r="L110" s="387" t="s">
        <v>57</v>
      </c>
      <c r="M110" s="443">
        <v>12886.4</v>
      </c>
      <c r="N110" s="97"/>
      <c r="O110" s="387" t="s">
        <v>57</v>
      </c>
      <c r="P110" s="769" t="s">
        <v>331</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330</v>
      </c>
      <c r="J111" s="387" t="s">
        <v>63</v>
      </c>
      <c r="K111" s="386">
        <v>45882</v>
      </c>
      <c r="L111" s="387" t="s">
        <v>57</v>
      </c>
      <c r="M111" s="443">
        <v>13056.5</v>
      </c>
      <c r="N111" s="97"/>
      <c r="O111" s="387" t="s">
        <v>57</v>
      </c>
      <c r="P111" s="769" t="s">
        <v>331</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330</v>
      </c>
      <c r="J112" s="483" t="s">
        <v>63</v>
      </c>
      <c r="K112" s="386">
        <v>45868</v>
      </c>
      <c r="L112" s="387" t="s">
        <v>57</v>
      </c>
      <c r="M112" s="443">
        <v>14179.65</v>
      </c>
      <c r="N112" s="97"/>
      <c r="O112" s="387" t="s">
        <v>57</v>
      </c>
      <c r="P112" s="606" t="s">
        <v>331</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330</v>
      </c>
      <c r="J113" s="520" t="s">
        <v>63</v>
      </c>
      <c r="K113" s="521">
        <v>45853</v>
      </c>
      <c r="L113" s="520" t="s">
        <v>57</v>
      </c>
      <c r="M113" s="980">
        <v>68216.5</v>
      </c>
      <c r="N113" s="764"/>
      <c r="O113" s="520" t="s">
        <v>57</v>
      </c>
      <c r="P113" s="796" t="s">
        <v>331</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330</v>
      </c>
      <c r="J114" s="492" t="s">
        <v>63</v>
      </c>
      <c r="K114" s="1081">
        <v>45838</v>
      </c>
      <c r="L114" s="492" t="s">
        <v>57</v>
      </c>
      <c r="M114" s="810">
        <v>72566</v>
      </c>
      <c r="N114" s="764"/>
      <c r="O114" s="492" t="s">
        <v>57</v>
      </c>
      <c r="P114" s="779" t="s">
        <v>331</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330</v>
      </c>
      <c r="J115" s="117" t="s">
        <v>63</v>
      </c>
      <c r="K115" s="521">
        <v>45902</v>
      </c>
      <c r="L115" s="520" t="s">
        <v>57</v>
      </c>
      <c r="M115" s="980">
        <v>3067.9</v>
      </c>
      <c r="N115" s="97"/>
      <c r="O115" s="520" t="s">
        <v>57</v>
      </c>
      <c r="P115" s="796" t="s">
        <v>331</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330</v>
      </c>
      <c r="J116" s="1075" t="s">
        <v>56</v>
      </c>
      <c r="K116" s="1031">
        <v>45876</v>
      </c>
      <c r="L116" s="1055" t="s">
        <v>57</v>
      </c>
      <c r="M116" s="1057">
        <v>124980</v>
      </c>
      <c r="N116" s="97"/>
      <c r="O116" s="1055" t="s">
        <v>57</v>
      </c>
      <c r="P116" s="797" t="s">
        <v>331</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414</v>
      </c>
      <c r="E117" s="972">
        <v>45818</v>
      </c>
      <c r="F117" s="978" t="s">
        <v>594</v>
      </c>
      <c r="G117" s="978" t="s">
        <v>787</v>
      </c>
      <c r="H117" s="826">
        <v>56</v>
      </c>
      <c r="I117" s="826" t="s">
        <v>330</v>
      </c>
      <c r="J117" s="826" t="s">
        <v>63</v>
      </c>
      <c r="K117" s="386">
        <v>45817</v>
      </c>
      <c r="L117" s="387" t="s">
        <v>57</v>
      </c>
      <c r="M117" s="443">
        <v>75953</v>
      </c>
      <c r="N117" s="1071"/>
      <c r="O117" s="387" t="s">
        <v>57</v>
      </c>
      <c r="P117" s="769" t="s">
        <v>331</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330</v>
      </c>
      <c r="J118" s="117" t="s">
        <v>63</v>
      </c>
      <c r="K118" s="521">
        <v>45716</v>
      </c>
      <c r="L118" s="117" t="s">
        <v>57</v>
      </c>
      <c r="M118" s="809">
        <v>45321.5</v>
      </c>
      <c r="N118" s="97"/>
      <c r="O118" s="117" t="s">
        <v>57</v>
      </c>
      <c r="P118" s="818" t="s">
        <v>331</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378</v>
      </c>
      <c r="J119" s="117" t="s">
        <v>63</v>
      </c>
      <c r="K119" s="514">
        <v>45677</v>
      </c>
      <c r="L119" s="1056" t="s">
        <v>57</v>
      </c>
      <c r="M119" s="809">
        <v>78075.5</v>
      </c>
      <c r="N119" s="819"/>
      <c r="O119" s="1056" t="s">
        <v>57</v>
      </c>
      <c r="P119" s="796" t="s">
        <v>331</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330</v>
      </c>
      <c r="J120" s="826" t="s">
        <v>63</v>
      </c>
      <c r="K120" s="386">
        <v>45757</v>
      </c>
      <c r="L120" s="387" t="s">
        <v>57</v>
      </c>
      <c r="M120" s="443">
        <v>78331</v>
      </c>
      <c r="N120" s="819"/>
      <c r="O120" s="387" t="s">
        <v>57</v>
      </c>
      <c r="P120" s="606" t="s">
        <v>331</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330</v>
      </c>
      <c r="J121" s="826" t="s">
        <v>63</v>
      </c>
      <c r="K121" s="514">
        <v>45741</v>
      </c>
      <c r="L121" s="520" t="s">
        <v>57</v>
      </c>
      <c r="M121" s="809">
        <v>41813</v>
      </c>
      <c r="N121" s="819"/>
      <c r="O121" s="520" t="s">
        <v>57</v>
      </c>
      <c r="P121" s="818" t="s">
        <v>331</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414</v>
      </c>
      <c r="E122" s="57">
        <v>45708</v>
      </c>
      <c r="F122" s="805" t="s">
        <v>594</v>
      </c>
      <c r="G122" s="812" t="s">
        <v>799</v>
      </c>
      <c r="H122" s="808">
        <v>82</v>
      </c>
      <c r="I122" s="814" t="s">
        <v>330</v>
      </c>
      <c r="J122" s="808" t="s">
        <v>63</v>
      </c>
      <c r="K122" s="490">
        <v>45698</v>
      </c>
      <c r="L122" s="498" t="s">
        <v>57</v>
      </c>
      <c r="M122" s="810">
        <v>71979</v>
      </c>
      <c r="N122" s="811"/>
      <c r="O122" s="498" t="s">
        <v>57</v>
      </c>
      <c r="P122" s="779" t="s">
        <v>331</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330</v>
      </c>
      <c r="J123" s="492" t="s">
        <v>63</v>
      </c>
      <c r="K123" s="514">
        <v>45698</v>
      </c>
      <c r="L123" s="1070" t="s">
        <v>57</v>
      </c>
      <c r="M123" s="810">
        <v>67892.5</v>
      </c>
      <c r="N123" s="97"/>
      <c r="O123" s="498" t="s">
        <v>57</v>
      </c>
      <c r="P123" s="779" t="s">
        <v>331</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414</v>
      </c>
      <c r="E124" s="51">
        <v>45743</v>
      </c>
      <c r="F124" s="50" t="s">
        <v>594</v>
      </c>
      <c r="G124" s="390" t="s">
        <v>804</v>
      </c>
      <c r="H124" s="52">
        <v>88</v>
      </c>
      <c r="I124" s="388" t="s">
        <v>330</v>
      </c>
      <c r="J124" s="387" t="s">
        <v>63</v>
      </c>
      <c r="K124" s="51">
        <v>45741</v>
      </c>
      <c r="L124" s="387" t="s">
        <v>57</v>
      </c>
      <c r="M124" s="440">
        <v>75396.5</v>
      </c>
      <c r="N124" s="764"/>
      <c r="O124" s="387" t="s">
        <v>57</v>
      </c>
      <c r="P124" s="606" t="s">
        <v>331</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330</v>
      </c>
      <c r="J125" s="808" t="s">
        <v>63</v>
      </c>
      <c r="K125" s="490">
        <v>45698</v>
      </c>
      <c r="L125" s="498" t="s">
        <v>57</v>
      </c>
      <c r="M125" s="810">
        <v>68216.5</v>
      </c>
      <c r="N125" s="819"/>
      <c r="O125" s="498" t="s">
        <v>57</v>
      </c>
      <c r="P125" s="779" t="s">
        <v>331</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331</v>
      </c>
      <c r="J126" s="808" t="s">
        <v>63</v>
      </c>
      <c r="K126" s="490">
        <v>45699</v>
      </c>
      <c r="L126" s="498" t="s">
        <v>57</v>
      </c>
      <c r="M126" s="810">
        <v>72566</v>
      </c>
      <c r="N126" s="819"/>
      <c r="O126" s="498" t="s">
        <v>57</v>
      </c>
      <c r="P126" s="779" t="s">
        <v>331</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414</v>
      </c>
      <c r="E127" s="57">
        <v>45708</v>
      </c>
      <c r="F127" s="805" t="s">
        <v>594</v>
      </c>
      <c r="G127" s="807" t="s">
        <v>812</v>
      </c>
      <c r="H127" s="808">
        <v>0</v>
      </c>
      <c r="I127" s="826" t="s">
        <v>331</v>
      </c>
      <c r="J127" s="808" t="s">
        <v>63</v>
      </c>
      <c r="K127" s="514">
        <v>45712</v>
      </c>
      <c r="L127" s="117" t="s">
        <v>57</v>
      </c>
      <c r="M127" s="809">
        <v>14262</v>
      </c>
      <c r="N127" s="811"/>
      <c r="O127" s="117" t="s">
        <v>57</v>
      </c>
      <c r="P127" s="818" t="s">
        <v>331</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394</v>
      </c>
      <c r="E128" s="57">
        <v>45694</v>
      </c>
      <c r="F128" s="57" t="s">
        <v>579</v>
      </c>
      <c r="G128" s="829" t="s">
        <v>814</v>
      </c>
      <c r="H128" s="808">
        <v>0</v>
      </c>
      <c r="I128" s="825" t="s">
        <v>378</v>
      </c>
      <c r="J128" s="808" t="s">
        <v>63</v>
      </c>
      <c r="K128" s="514">
        <v>45686</v>
      </c>
      <c r="L128" s="1056" t="s">
        <v>57</v>
      </c>
      <c r="M128" s="809">
        <v>22755.7</v>
      </c>
      <c r="N128" s="819"/>
      <c r="O128" s="1056" t="s">
        <v>57</v>
      </c>
      <c r="P128" s="796" t="s">
        <v>331</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330</v>
      </c>
      <c r="J129" s="808" t="s">
        <v>63</v>
      </c>
      <c r="K129" s="514" t="s">
        <v>52</v>
      </c>
      <c r="L129" s="522" t="s">
        <v>57</v>
      </c>
      <c r="M129" s="809">
        <v>1594</v>
      </c>
      <c r="N129" s="811"/>
      <c r="O129" s="522" t="s">
        <v>57</v>
      </c>
      <c r="P129" s="796" t="s">
        <v>331</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330</v>
      </c>
      <c r="J130" s="808" t="s">
        <v>63</v>
      </c>
      <c r="K130" s="490">
        <v>45714</v>
      </c>
      <c r="L130" s="492" t="s">
        <v>57</v>
      </c>
      <c r="M130" s="810">
        <v>93462.85</v>
      </c>
      <c r="N130" s="811"/>
      <c r="O130" s="492" t="s">
        <v>57</v>
      </c>
      <c r="P130" s="779" t="s">
        <v>331</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327</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343</v>
      </c>
      <c r="H135" s="483">
        <v>60</v>
      </c>
      <c r="I135" s="892" t="s">
        <v>330</v>
      </c>
      <c r="J135" s="492" t="s">
        <v>56</v>
      </c>
      <c r="K135" s="909"/>
      <c r="L135" s="481">
        <v>45716</v>
      </c>
      <c r="M135" s="492" t="s">
        <v>57</v>
      </c>
      <c r="N135" s="560">
        <v>2075.6999999999998</v>
      </c>
      <c r="O135" s="492" t="s">
        <v>57</v>
      </c>
      <c r="P135" s="1004" t="s">
        <v>331</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330</v>
      </c>
      <c r="J136" s="492" t="s">
        <v>56</v>
      </c>
      <c r="K136" s="504"/>
      <c r="L136" s="481">
        <v>45716</v>
      </c>
      <c r="M136" s="492" t="s">
        <v>57</v>
      </c>
      <c r="N136" s="561">
        <v>2947.5</v>
      </c>
      <c r="O136" s="492" t="s">
        <v>57</v>
      </c>
      <c r="P136" s="1005" t="s">
        <v>331</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330</v>
      </c>
      <c r="J137" s="492" t="s">
        <v>56</v>
      </c>
      <c r="K137" s="504"/>
      <c r="L137" s="481">
        <v>45716</v>
      </c>
      <c r="M137" s="492" t="s">
        <v>57</v>
      </c>
      <c r="N137" s="561">
        <v>2908.95</v>
      </c>
      <c r="O137" s="492" t="s">
        <v>57</v>
      </c>
      <c r="P137" s="1005" t="s">
        <v>331</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331</v>
      </c>
      <c r="J138" s="492" t="s">
        <v>56</v>
      </c>
      <c r="K138" s="492"/>
      <c r="L138" s="893">
        <v>45716</v>
      </c>
      <c r="M138" s="492" t="s">
        <v>57</v>
      </c>
      <c r="N138" s="561">
        <v>1134</v>
      </c>
      <c r="O138" s="492" t="s">
        <v>57</v>
      </c>
      <c r="P138" s="1006" t="s">
        <v>331</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331</v>
      </c>
      <c r="J139" s="492" t="s">
        <v>56</v>
      </c>
      <c r="K139" s="504"/>
      <c r="L139" s="481">
        <v>45716</v>
      </c>
      <c r="M139" s="492" t="s">
        <v>57</v>
      </c>
      <c r="N139" s="561">
        <v>870</v>
      </c>
      <c r="O139" s="492" t="s">
        <v>57</v>
      </c>
      <c r="P139" s="1006" t="s">
        <v>331</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330</v>
      </c>
      <c r="J140" s="492" t="s">
        <v>63</v>
      </c>
      <c r="K140" s="492"/>
      <c r="L140" s="893">
        <v>45716</v>
      </c>
      <c r="M140" s="892" t="s">
        <v>57</v>
      </c>
      <c r="N140" s="561">
        <v>2025.6</v>
      </c>
      <c r="O140" s="892" t="s">
        <v>57</v>
      </c>
      <c r="P140" s="1006" t="s">
        <v>331</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331</v>
      </c>
      <c r="J141" s="492" t="s">
        <v>56</v>
      </c>
      <c r="K141" s="492"/>
      <c r="L141" s="490">
        <v>45715</v>
      </c>
      <c r="M141" s="492" t="s">
        <v>57</v>
      </c>
      <c r="N141" s="561">
        <v>3801.75</v>
      </c>
      <c r="O141" s="492" t="s">
        <v>57</v>
      </c>
      <c r="P141" s="1006" t="s">
        <v>331</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331</v>
      </c>
      <c r="J144" s="994" t="s">
        <v>56</v>
      </c>
      <c r="K144" s="991"/>
      <c r="L144" s="996" t="s">
        <v>56</v>
      </c>
      <c r="M144" s="994" t="s">
        <v>94</v>
      </c>
      <c r="N144" s="997">
        <v>0</v>
      </c>
      <c r="O144" s="994" t="s">
        <v>94</v>
      </c>
      <c r="P144" s="998" t="s">
        <v>331</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331</v>
      </c>
      <c r="J145" s="926" t="s">
        <v>56</v>
      </c>
      <c r="K145" s="931"/>
      <c r="L145" s="933" t="s">
        <v>56</v>
      </c>
      <c r="M145" s="926" t="s">
        <v>94</v>
      </c>
      <c r="N145" s="927">
        <v>0</v>
      </c>
      <c r="O145" s="926" t="s">
        <v>94</v>
      </c>
      <c r="P145" s="928" t="s">
        <v>331</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414</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414</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394</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375</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375</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375</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375</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375</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344</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344</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397</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393</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341</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393</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341</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382</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382</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386</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370</v>
      </c>
      <c r="B470" s="1156">
        <v>644</v>
      </c>
      <c r="C470" s="1156">
        <v>1430</v>
      </c>
      <c r="D470" s="1156">
        <v>970</v>
      </c>
      <c r="E470" s="1156"/>
      <c r="F470" s="1156"/>
      <c r="G470" s="1156">
        <v>3044</v>
      </c>
    </row>
    <row r="471" spans="1:7">
      <c r="A471" t="s">
        <v>400</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370</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382</v>
      </c>
      <c r="B501" s="1156"/>
      <c r="C501" s="1156"/>
      <c r="D501" s="1156"/>
      <c r="E501" s="1156">
        <v>341</v>
      </c>
      <c r="F501" s="1156"/>
      <c r="G501" s="1156">
        <v>341</v>
      </c>
    </row>
    <row r="502" spans="1:7">
      <c r="A502" t="s">
        <v>878</v>
      </c>
      <c r="B502" s="1156"/>
      <c r="C502" s="1156"/>
      <c r="D502" s="1156"/>
      <c r="E502" s="1156"/>
      <c r="F502" s="1156"/>
      <c r="G502" s="1156"/>
    </row>
    <row r="503" spans="1:7">
      <c r="A503" t="s">
        <v>370</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393</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370</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393</v>
      </c>
      <c r="B549" s="1156"/>
      <c r="C549" s="1156"/>
      <c r="D549" s="1156"/>
      <c r="E549" s="1156">
        <v>676</v>
      </c>
      <c r="F549" s="1156">
        <v>430</v>
      </c>
      <c r="G549" s="1156">
        <v>1106</v>
      </c>
    </row>
    <row r="550" spans="1:7">
      <c r="A550" t="s">
        <v>382</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393</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370</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397</v>
      </c>
      <c r="B578" s="1156"/>
      <c r="C578" s="1156"/>
      <c r="D578" s="1156"/>
      <c r="E578" s="1156"/>
      <c r="F578" s="1156">
        <v>198</v>
      </c>
      <c r="G578" s="1156">
        <v>198</v>
      </c>
    </row>
    <row r="579" spans="1:7">
      <c r="A579" t="s">
        <v>393</v>
      </c>
      <c r="B579" s="1156"/>
      <c r="C579" s="1156"/>
      <c r="D579" s="1156"/>
      <c r="E579" s="1156"/>
      <c r="F579" s="1156"/>
      <c r="G579" s="1156"/>
    </row>
    <row r="580" spans="1:7">
      <c r="A580" t="s">
        <v>341</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344</v>
      </c>
      <c r="B590" s="1156"/>
      <c r="C590" s="1156">
        <v>403</v>
      </c>
      <c r="D590" s="1156">
        <v>39</v>
      </c>
      <c r="E590" s="1156"/>
      <c r="F590" s="1156"/>
      <c r="G590" s="1156">
        <v>442</v>
      </c>
    </row>
    <row r="591" spans="1:7">
      <c r="A591" t="s">
        <v>397</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344</v>
      </c>
      <c r="B604" s="1156"/>
      <c r="C604" s="1156">
        <v>318</v>
      </c>
      <c r="D604" s="1156"/>
      <c r="E604" s="1156"/>
      <c r="F604" s="1156"/>
      <c r="G604" s="1156">
        <v>318</v>
      </c>
    </row>
    <row r="605" spans="1:7">
      <c r="A605" t="s">
        <v>397</v>
      </c>
      <c r="B605" s="1156"/>
      <c r="C605" s="1156"/>
      <c r="D605" s="1156">
        <v>461</v>
      </c>
      <c r="E605" s="1156">
        <v>880</v>
      </c>
      <c r="F605" s="1156">
        <v>585</v>
      </c>
      <c r="G605" s="1156">
        <v>1926</v>
      </c>
    </row>
    <row r="606" spans="1:7">
      <c r="A606" t="s">
        <v>341</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397</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336</v>
      </c>
      <c r="B632" s="1156"/>
      <c r="C632" s="1156"/>
      <c r="D632" s="1156">
        <v>314</v>
      </c>
      <c r="E632" s="1156"/>
      <c r="F632" s="1156"/>
      <c r="G632" s="1156">
        <v>314</v>
      </c>
    </row>
    <row r="633" spans="1:7">
      <c r="A633" t="s">
        <v>402</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336</v>
      </c>
      <c r="B641" s="1156"/>
      <c r="C641" s="1156"/>
      <c r="D641" s="1156"/>
      <c r="E641" s="1156"/>
      <c r="F641" s="1156"/>
      <c r="G641" s="1156"/>
    </row>
    <row r="642" spans="1:7">
      <c r="A642" t="s">
        <v>402</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344</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402</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269</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341</v>
      </c>
      <c r="B665" s="1156"/>
      <c r="C665" s="1156"/>
      <c r="D665" s="1156">
        <v>499</v>
      </c>
      <c r="E665" s="1156">
        <v>231</v>
      </c>
      <c r="F665" s="1156">
        <v>316</v>
      </c>
      <c r="G665" s="1156">
        <v>1046</v>
      </c>
    </row>
    <row r="666" spans="1:7">
      <c r="A666" t="s">
        <v>382</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336</v>
      </c>
      <c r="B669" s="1156"/>
      <c r="C669" s="1156">
        <v>430</v>
      </c>
      <c r="D669" s="1156"/>
      <c r="E669" s="1156"/>
      <c r="F669" s="1156"/>
      <c r="G669" s="1156">
        <v>430</v>
      </c>
    </row>
    <row r="670" spans="1:7">
      <c r="A670" t="s">
        <v>402</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269</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344</v>
      </c>
      <c r="B684" s="1156"/>
      <c r="C684" s="1156"/>
      <c r="D684" s="1156">
        <v>358</v>
      </c>
      <c r="E684" s="1156"/>
      <c r="F684" s="1156"/>
      <c r="G684" s="1156">
        <v>358</v>
      </c>
    </row>
    <row r="685" spans="1:7">
      <c r="A685" t="s">
        <v>397</v>
      </c>
      <c r="B685" s="1156"/>
      <c r="C685" s="1156"/>
      <c r="D685" s="1156">
        <v>1241</v>
      </c>
      <c r="E685" s="1156"/>
      <c r="F685" s="1156"/>
      <c r="G685" s="1156">
        <v>1241</v>
      </c>
    </row>
    <row r="686" spans="1:7">
      <c r="A686" t="s">
        <v>341</v>
      </c>
      <c r="B686" s="1156">
        <v>503</v>
      </c>
      <c r="C686" s="1156">
        <v>295</v>
      </c>
      <c r="D686" s="1156"/>
      <c r="E686" s="1156"/>
      <c r="F686" s="1156">
        <v>6</v>
      </c>
      <c r="G686" s="1156">
        <v>804</v>
      </c>
    </row>
    <row r="687" spans="1:7">
      <c r="A687" t="s">
        <v>382</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402</v>
      </c>
      <c r="B689" s="1156">
        <v>639</v>
      </c>
      <c r="C689" s="1156"/>
      <c r="D689" s="1156"/>
      <c r="E689" s="1156"/>
      <c r="F689" s="1156"/>
      <c r="G689" s="1156">
        <v>639</v>
      </c>
    </row>
    <row r="690" spans="1:7">
      <c r="A690" t="s">
        <v>269</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344</v>
      </c>
      <c r="B706" s="1156"/>
      <c r="C706" s="1156"/>
      <c r="D706" s="1156"/>
      <c r="E706" s="1156">
        <v>99</v>
      </c>
      <c r="F706" s="1156"/>
      <c r="G706" s="1156">
        <v>99</v>
      </c>
    </row>
    <row r="707" spans="1:7">
      <c r="A707" t="s">
        <v>397</v>
      </c>
      <c r="B707" s="1156"/>
      <c r="C707" s="1156"/>
      <c r="D707" s="1156"/>
      <c r="E707" s="1156"/>
      <c r="F707" s="1156"/>
      <c r="G707" s="1156"/>
    </row>
    <row r="708" spans="1:7">
      <c r="A708" t="s">
        <v>664</v>
      </c>
      <c r="B708" s="1156"/>
      <c r="C708" s="1156"/>
      <c r="D708" s="1156"/>
      <c r="E708" s="1156"/>
      <c r="F708" s="1156"/>
      <c r="G708" s="1156"/>
    </row>
    <row r="709" spans="1:7">
      <c r="A709" t="s">
        <v>341</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413</v>
      </c>
      <c r="B719" s="1156"/>
      <c r="C719" s="1156"/>
      <c r="D719" s="1156"/>
      <c r="E719" s="1156">
        <v>903</v>
      </c>
      <c r="F719" s="1156"/>
      <c r="G719" s="1156">
        <v>903</v>
      </c>
    </row>
    <row r="720" spans="1:7">
      <c r="A720" t="s">
        <v>404</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382</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413</v>
      </c>
      <c r="B731" s="1156">
        <v>254</v>
      </c>
      <c r="C731" s="1156">
        <v>1686</v>
      </c>
      <c r="D731" s="1156">
        <v>611</v>
      </c>
      <c r="E731" s="1156"/>
      <c r="F731" s="1156"/>
      <c r="G731" s="1156">
        <v>2551</v>
      </c>
    </row>
    <row r="732" spans="1:7">
      <c r="A732" t="s">
        <v>404</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433</v>
      </c>
      <c r="B734" s="1156"/>
      <c r="C734" s="1156"/>
      <c r="D734" s="1156">
        <v>740</v>
      </c>
      <c r="E734" s="1156"/>
      <c r="F734" s="1156"/>
      <c r="G734" s="1156">
        <v>740</v>
      </c>
    </row>
    <row r="735" spans="1:7">
      <c r="A735" t="s">
        <v>451</v>
      </c>
      <c r="B735" s="1156"/>
      <c r="C735" s="1156"/>
      <c r="D735" s="1156"/>
      <c r="E735" s="1156">
        <v>267</v>
      </c>
      <c r="F735" s="1156"/>
      <c r="G735" s="1156">
        <v>267</v>
      </c>
    </row>
    <row r="736" spans="1:7">
      <c r="A736" t="s">
        <v>333</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344</v>
      </c>
      <c r="B742" s="1156"/>
      <c r="C742" s="1156"/>
      <c r="D742" s="1156"/>
      <c r="E742" s="1156"/>
      <c r="F742" s="1156"/>
      <c r="G742" s="1156"/>
    </row>
    <row r="743" spans="1:7">
      <c r="A743" t="s">
        <v>397</v>
      </c>
      <c r="B743" s="1156"/>
      <c r="C743" s="1156"/>
      <c r="D743" s="1156">
        <v>139</v>
      </c>
      <c r="E743" s="1156"/>
      <c r="F743" s="1156"/>
      <c r="G743" s="1156">
        <v>139</v>
      </c>
    </row>
    <row r="744" spans="1:7">
      <c r="A744" t="s">
        <v>341</v>
      </c>
      <c r="B744" s="1156"/>
      <c r="C744" s="1156"/>
      <c r="D744" s="1156"/>
      <c r="E744" s="1156"/>
      <c r="F744" s="1156"/>
      <c r="G744" s="1156"/>
    </row>
    <row r="745" spans="1:7">
      <c r="A745" t="s">
        <v>386</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413</v>
      </c>
      <c r="B748" s="1156"/>
      <c r="C748" s="1156"/>
      <c r="D748" s="1156">
        <v>250</v>
      </c>
      <c r="E748" s="1156"/>
      <c r="F748" s="1156"/>
      <c r="G748" s="1156">
        <v>250</v>
      </c>
    </row>
    <row r="749" spans="1:7">
      <c r="A749" t="s">
        <v>433</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416</v>
      </c>
      <c r="B752" s="1156"/>
      <c r="C752" s="1156">
        <v>1808</v>
      </c>
      <c r="D752" s="1156"/>
      <c r="E752" s="1156">
        <v>1204</v>
      </c>
      <c r="F752" s="1156"/>
      <c r="G752" s="1156">
        <v>3012</v>
      </c>
    </row>
    <row r="753" spans="1:7">
      <c r="A753" t="s">
        <v>347</v>
      </c>
      <c r="B753" s="1156"/>
      <c r="C753" s="1156">
        <v>251</v>
      </c>
      <c r="D753" s="1156">
        <v>253</v>
      </c>
      <c r="E753" s="1156">
        <v>1076</v>
      </c>
      <c r="F753" s="1156"/>
      <c r="G753" s="1156">
        <v>1580</v>
      </c>
    </row>
    <row r="754" spans="1:7">
      <c r="A754" t="s">
        <v>333</v>
      </c>
      <c r="B754" s="1156">
        <v>829</v>
      </c>
      <c r="C754" s="1156"/>
      <c r="D754" s="1156">
        <v>863</v>
      </c>
      <c r="E754" s="1156">
        <v>499</v>
      </c>
      <c r="F754" s="1156">
        <v>475</v>
      </c>
      <c r="G754" s="1156">
        <v>2666</v>
      </c>
    </row>
    <row r="755" spans="1:7">
      <c r="A755" t="s">
        <v>431</v>
      </c>
      <c r="B755" s="1156"/>
      <c r="C755" s="1156"/>
      <c r="D755" s="1156"/>
      <c r="E755" s="1156">
        <v>754</v>
      </c>
      <c r="F755" s="1156"/>
      <c r="G755" s="1156">
        <v>754</v>
      </c>
    </row>
    <row r="756" spans="1:7">
      <c r="A756" t="s">
        <v>419</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344</v>
      </c>
      <c r="B762" s="1156"/>
      <c r="C762" s="1156"/>
      <c r="D762" s="1156"/>
      <c r="E762" s="1156"/>
      <c r="F762" s="1156"/>
      <c r="G762" s="1156"/>
    </row>
    <row r="763" spans="1:7">
      <c r="A763" t="s">
        <v>397</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336</v>
      </c>
      <c r="B766" s="1156"/>
      <c r="C766" s="1156"/>
      <c r="D766" s="1156">
        <v>406</v>
      </c>
      <c r="E766" s="1156"/>
      <c r="F766" s="1156"/>
      <c r="G766" s="1156">
        <v>406</v>
      </c>
    </row>
    <row r="767" spans="1:7">
      <c r="A767" t="s">
        <v>269</v>
      </c>
      <c r="B767" s="1156"/>
      <c r="C767" s="1156"/>
      <c r="D767" s="1156">
        <v>362</v>
      </c>
      <c r="E767" s="1156">
        <v>399</v>
      </c>
      <c r="F767" s="1156"/>
      <c r="G767" s="1156">
        <v>761</v>
      </c>
    </row>
    <row r="768" spans="1:7">
      <c r="A768" t="s">
        <v>433</v>
      </c>
      <c r="B768" s="1156"/>
      <c r="C768" s="1156"/>
      <c r="D768" s="1156"/>
      <c r="E768" s="1156"/>
      <c r="F768" s="1156"/>
      <c r="G768" s="1156"/>
    </row>
    <row r="769" spans="1:7">
      <c r="A769" t="s">
        <v>416</v>
      </c>
      <c r="B769" s="1156"/>
      <c r="C769" s="1156"/>
      <c r="D769" s="1156"/>
      <c r="E769" s="1156"/>
      <c r="F769" s="1156"/>
      <c r="G769" s="1156"/>
    </row>
    <row r="770" spans="1:7">
      <c r="A770" t="s">
        <v>347</v>
      </c>
      <c r="B770" s="1156"/>
      <c r="C770" s="1156">
        <v>120</v>
      </c>
      <c r="D770" s="1156">
        <v>190</v>
      </c>
      <c r="E770" s="1156"/>
      <c r="F770" s="1156"/>
      <c r="G770" s="1156">
        <v>310</v>
      </c>
    </row>
    <row r="771" spans="1:7">
      <c r="A771" t="s">
        <v>333</v>
      </c>
      <c r="B771" s="1156">
        <v>839</v>
      </c>
      <c r="C771" s="1156"/>
      <c r="D771" s="1156">
        <v>616</v>
      </c>
      <c r="E771" s="1156">
        <v>969</v>
      </c>
      <c r="F771" s="1156">
        <v>552</v>
      </c>
      <c r="G771" s="1156">
        <v>2976</v>
      </c>
    </row>
    <row r="772" spans="1:7">
      <c r="A772" t="s">
        <v>431</v>
      </c>
      <c r="B772" s="1156">
        <v>1285</v>
      </c>
      <c r="C772" s="1156"/>
      <c r="D772" s="1156"/>
      <c r="E772" s="1156"/>
      <c r="F772" s="1156"/>
      <c r="G772" s="1156">
        <v>1285</v>
      </c>
    </row>
    <row r="773" spans="1:7">
      <c r="A773" t="s">
        <v>419</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425</v>
      </c>
      <c r="B778" s="1156"/>
      <c r="C778" s="1156">
        <v>1231</v>
      </c>
      <c r="D778" s="1156">
        <v>1538</v>
      </c>
      <c r="E778" s="1156">
        <v>1377</v>
      </c>
      <c r="F778" s="1156"/>
      <c r="G778" s="1156">
        <v>4146</v>
      </c>
    </row>
    <row r="779" spans="1:7">
      <c r="A779" t="s">
        <v>428</v>
      </c>
      <c r="B779" s="1156"/>
      <c r="C779" s="1156"/>
      <c r="D779" s="1156">
        <v>1205</v>
      </c>
      <c r="E779" s="1156">
        <v>1000</v>
      </c>
      <c r="F779" s="1156"/>
      <c r="G779" s="1156">
        <v>2205</v>
      </c>
    </row>
    <row r="780" spans="1:7">
      <c r="A780" t="s">
        <v>408</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350</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344</v>
      </c>
      <c r="B789" s="1156"/>
      <c r="C789" s="1156"/>
      <c r="D789" s="1156"/>
      <c r="E789" s="1156"/>
      <c r="F789" s="1156"/>
      <c r="G789" s="1156"/>
    </row>
    <row r="790" spans="1:7">
      <c r="A790" t="s">
        <v>83</v>
      </c>
      <c r="B790" s="1156">
        <v>229</v>
      </c>
      <c r="C790" s="1156"/>
      <c r="D790" s="1156"/>
      <c r="E790" s="1156"/>
      <c r="F790" s="1156"/>
      <c r="G790" s="1156">
        <v>229</v>
      </c>
    </row>
    <row r="791" spans="1:7">
      <c r="A791" t="s">
        <v>386</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336</v>
      </c>
      <c r="B793" s="1156"/>
      <c r="C793" s="1156">
        <v>665</v>
      </c>
      <c r="D793" s="1156">
        <v>753</v>
      </c>
      <c r="E793" s="1156">
        <v>305</v>
      </c>
      <c r="F793" s="1156"/>
      <c r="G793" s="1156">
        <v>1723</v>
      </c>
    </row>
    <row r="794" spans="1:7">
      <c r="A794" t="s">
        <v>347</v>
      </c>
      <c r="B794" s="1156">
        <v>479</v>
      </c>
      <c r="C794" s="1156"/>
      <c r="D794" s="1156"/>
      <c r="E794" s="1156">
        <v>170</v>
      </c>
      <c r="F794" s="1156"/>
      <c r="G794" s="1156">
        <v>649</v>
      </c>
    </row>
    <row r="795" spans="1:7">
      <c r="A795" t="s">
        <v>333</v>
      </c>
      <c r="B795" s="1156">
        <v>1375</v>
      </c>
      <c r="C795" s="1156">
        <v>1016</v>
      </c>
      <c r="D795" s="1156">
        <v>312</v>
      </c>
      <c r="E795" s="1156">
        <v>1304</v>
      </c>
      <c r="F795" s="1156">
        <v>617</v>
      </c>
      <c r="G795" s="1156">
        <v>4624</v>
      </c>
    </row>
    <row r="796" spans="1:7">
      <c r="A796" t="s">
        <v>431</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425</v>
      </c>
      <c r="B798" s="1156">
        <v>600</v>
      </c>
      <c r="C798" s="1156"/>
      <c r="D798" s="1156"/>
      <c r="E798" s="1156"/>
      <c r="F798" s="1156"/>
      <c r="G798" s="1156">
        <v>600</v>
      </c>
    </row>
    <row r="799" spans="1:7">
      <c r="A799" t="s">
        <v>428</v>
      </c>
      <c r="B799" s="1156">
        <v>1002</v>
      </c>
      <c r="C799" s="1156">
        <v>268</v>
      </c>
      <c r="D799" s="1156"/>
      <c r="E799" s="1156"/>
      <c r="F799" s="1156"/>
      <c r="G799" s="1156">
        <v>1270</v>
      </c>
    </row>
    <row r="800" spans="1:7">
      <c r="A800" t="s">
        <v>408</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350</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422</v>
      </c>
      <c r="B804" s="1156"/>
      <c r="C804" s="1156">
        <v>1850</v>
      </c>
      <c r="D804" s="1156">
        <v>1276</v>
      </c>
      <c r="E804" s="1156">
        <v>1479</v>
      </c>
      <c r="F804" s="1156"/>
      <c r="G804" s="1156">
        <v>4605</v>
      </c>
    </row>
    <row r="805" spans="1:7">
      <c r="A805" t="s">
        <v>441</v>
      </c>
      <c r="B805" s="1156"/>
      <c r="C805" s="1156"/>
      <c r="D805" s="1156">
        <v>1118</v>
      </c>
      <c r="E805" s="1156">
        <v>1472</v>
      </c>
      <c r="F805" s="1156"/>
      <c r="G805" s="1156">
        <v>2590</v>
      </c>
    </row>
    <row r="806" spans="1:7">
      <c r="A806" t="s">
        <v>435</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386</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336</v>
      </c>
      <c r="B817" s="1156"/>
      <c r="C817" s="1156"/>
      <c r="D817" s="1156"/>
      <c r="E817" s="1156"/>
      <c r="F817" s="1156"/>
      <c r="G817" s="1156"/>
    </row>
    <row r="818" spans="1:7">
      <c r="A818" t="s">
        <v>347</v>
      </c>
      <c r="B818" s="1156"/>
      <c r="C818" s="1156"/>
      <c r="D818" s="1156"/>
      <c r="E818" s="1156">
        <v>725</v>
      </c>
      <c r="F818" s="1156"/>
      <c r="G818" s="1156">
        <v>725</v>
      </c>
    </row>
    <row r="819" spans="1:7">
      <c r="A819" t="s">
        <v>333</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428</v>
      </c>
      <c r="B821" s="1156"/>
      <c r="C821" s="1156"/>
      <c r="D821" s="1156">
        <v>334</v>
      </c>
      <c r="E821" s="1156"/>
      <c r="F821" s="1156"/>
      <c r="G821" s="1156">
        <v>334</v>
      </c>
    </row>
    <row r="822" spans="1:7">
      <c r="A822" t="s">
        <v>903</v>
      </c>
      <c r="B822" s="1156"/>
      <c r="C822" s="1156">
        <v>216</v>
      </c>
      <c r="D822" s="1156"/>
      <c r="E822" s="1156"/>
      <c r="F822" s="1156"/>
      <c r="G822" s="1156">
        <v>216</v>
      </c>
    </row>
    <row r="823" spans="1:7">
      <c r="A823" t="s">
        <v>350</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441</v>
      </c>
      <c r="B825" s="1156">
        <v>1174</v>
      </c>
      <c r="C825" s="1156">
        <v>1597</v>
      </c>
      <c r="D825" s="1156">
        <v>308</v>
      </c>
      <c r="E825" s="1156"/>
      <c r="F825" s="1156"/>
      <c r="G825" s="1156">
        <v>3079</v>
      </c>
    </row>
    <row r="826" spans="1:7">
      <c r="A826" t="s">
        <v>435</v>
      </c>
      <c r="B826" s="1156">
        <v>1545</v>
      </c>
      <c r="C826" s="1156">
        <v>995</v>
      </c>
      <c r="D826" s="1156"/>
      <c r="E826" s="1156"/>
      <c r="F826" s="1156"/>
      <c r="G826" s="1156">
        <v>2540</v>
      </c>
    </row>
    <row r="827" spans="1:7">
      <c r="A827" t="s">
        <v>410</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328</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269</v>
      </c>
      <c r="B838" s="1156"/>
      <c r="C838" s="1156"/>
      <c r="D838" s="1156"/>
      <c r="E838" s="1156">
        <v>170</v>
      </c>
      <c r="F838" s="1156"/>
      <c r="G838" s="1156">
        <v>170</v>
      </c>
    </row>
    <row r="839" spans="1:7">
      <c r="A839" t="s">
        <v>333</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441</v>
      </c>
      <c r="B841" s="1156"/>
      <c r="C841" s="1156"/>
      <c r="D841" s="1156"/>
      <c r="E841" s="1156"/>
      <c r="F841" s="1156"/>
      <c r="G841" s="1156"/>
    </row>
    <row r="842" spans="1:7">
      <c r="A842" t="s">
        <v>435</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445</v>
      </c>
      <c r="B845" s="1156">
        <v>1768</v>
      </c>
      <c r="C845" s="1156">
        <v>510</v>
      </c>
      <c r="D845" s="1156"/>
      <c r="E845" s="1156"/>
      <c r="F845" s="1156"/>
      <c r="G845" s="1156">
        <v>2278</v>
      </c>
    </row>
    <row r="846" spans="1:7">
      <c r="A846" t="s">
        <v>391</v>
      </c>
      <c r="B846" s="1156">
        <v>220</v>
      </c>
      <c r="C846" s="1156">
        <v>435</v>
      </c>
      <c r="D846" s="1156">
        <v>227</v>
      </c>
      <c r="E846" s="1156">
        <v>487</v>
      </c>
      <c r="F846" s="1156">
        <v>123</v>
      </c>
      <c r="G846" s="1156">
        <v>1492</v>
      </c>
    </row>
    <row r="847" spans="1:7">
      <c r="A847" t="s">
        <v>338</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352</v>
      </c>
      <c r="B850" s="1156"/>
      <c r="C850" s="1156">
        <v>927</v>
      </c>
      <c r="D850" s="1156">
        <v>1221</v>
      </c>
      <c r="E850" s="1156">
        <v>1023</v>
      </c>
      <c r="F850" s="1156"/>
      <c r="G850" s="1156">
        <v>3171</v>
      </c>
    </row>
    <row r="851" spans="1:7">
      <c r="A851" t="s">
        <v>366</v>
      </c>
      <c r="B851" s="1156"/>
      <c r="C851" s="1156">
        <v>974</v>
      </c>
      <c r="D851" s="1156">
        <v>1312</v>
      </c>
      <c r="E851" s="1156">
        <v>359</v>
      </c>
      <c r="F851" s="1156"/>
      <c r="G851" s="1156">
        <v>2645</v>
      </c>
    </row>
    <row r="852" spans="1:7">
      <c r="A852" t="s">
        <v>437</v>
      </c>
      <c r="B852" s="1156"/>
      <c r="C852" s="1156"/>
      <c r="D852" s="1156">
        <v>1239</v>
      </c>
      <c r="E852" s="1156">
        <v>1220</v>
      </c>
      <c r="F852" s="1156"/>
      <c r="G852" s="1156">
        <v>2459</v>
      </c>
    </row>
    <row r="853" spans="1:7">
      <c r="A853" t="s">
        <v>355</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386</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336</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410</v>
      </c>
      <c r="B864" s="1156"/>
      <c r="C864" s="1156"/>
      <c r="D864" s="1156"/>
      <c r="E864" s="1156"/>
      <c r="F864" s="1156"/>
      <c r="G864" s="1156"/>
    </row>
    <row r="865" spans="1:7">
      <c r="A865" t="s">
        <v>391</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352</v>
      </c>
      <c r="B867" s="1156">
        <v>1100</v>
      </c>
      <c r="C867" s="1156">
        <v>527</v>
      </c>
      <c r="D867" s="1156">
        <v>553</v>
      </c>
      <c r="E867" s="1156"/>
      <c r="F867" s="1156"/>
      <c r="G867" s="1156">
        <v>2180</v>
      </c>
    </row>
    <row r="868" spans="1:7">
      <c r="A868" t="s">
        <v>366</v>
      </c>
      <c r="B868" s="1156"/>
      <c r="C868" s="1156">
        <v>230</v>
      </c>
      <c r="D868" s="1156"/>
      <c r="E868" s="1156"/>
      <c r="F868" s="1156"/>
      <c r="G868" s="1156">
        <v>230</v>
      </c>
    </row>
    <row r="869" spans="1:7">
      <c r="A869" t="s">
        <v>437</v>
      </c>
      <c r="B869" s="1156">
        <v>853</v>
      </c>
      <c r="C869" s="1156"/>
      <c r="D869" s="1156"/>
      <c r="E869" s="1156"/>
      <c r="F869" s="1156"/>
      <c r="G869" s="1156">
        <v>853</v>
      </c>
    </row>
    <row r="870" spans="1:7">
      <c r="A870" t="s">
        <v>355</v>
      </c>
      <c r="B870" s="1156">
        <v>1186</v>
      </c>
      <c r="C870" s="1156">
        <v>1564</v>
      </c>
      <c r="D870" s="1156">
        <v>1012</v>
      </c>
      <c r="E870" s="1156">
        <v>588</v>
      </c>
      <c r="F870" s="1156"/>
      <c r="G870" s="1156">
        <v>4350</v>
      </c>
    </row>
    <row r="871" spans="1:7">
      <c r="A871" t="s">
        <v>443</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353</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336</v>
      </c>
      <c r="B882" s="1156"/>
      <c r="C882" s="1156"/>
      <c r="D882" s="1156"/>
      <c r="E882" s="1156"/>
      <c r="F882" s="1156"/>
      <c r="G882" s="1156"/>
    </row>
    <row r="883" spans="1:7">
      <c r="A883" t="s">
        <v>402</v>
      </c>
      <c r="B883" s="1156"/>
      <c r="C883" s="1156"/>
      <c r="D883" s="1156"/>
      <c r="E883" s="1156"/>
      <c r="F883" s="1156">
        <v>60</v>
      </c>
      <c r="G883" s="1156">
        <v>60</v>
      </c>
    </row>
    <row r="884" spans="1:7">
      <c r="A884" t="s">
        <v>269</v>
      </c>
      <c r="B884" s="1156"/>
      <c r="C884" s="1156"/>
      <c r="D884" s="1156"/>
      <c r="E884" s="1156"/>
      <c r="F884" s="1156"/>
      <c r="G884" s="1156"/>
    </row>
    <row r="885" spans="1:7">
      <c r="A885" t="s">
        <v>333</v>
      </c>
      <c r="B885" s="1156"/>
      <c r="C885" s="1156"/>
      <c r="D885" s="1156"/>
      <c r="E885" s="1156"/>
      <c r="F885" s="1156"/>
      <c r="G885" s="1156"/>
    </row>
    <row r="886" spans="1:7">
      <c r="A886" t="s">
        <v>80</v>
      </c>
      <c r="B886" s="1156">
        <v>188</v>
      </c>
      <c r="C886" s="1156">
        <v>140</v>
      </c>
      <c r="D886" s="1156"/>
      <c r="E886" s="1156"/>
      <c r="F886" s="1156"/>
      <c r="G886" s="1156">
        <v>328</v>
      </c>
    </row>
    <row r="887" spans="1:7">
      <c r="A887" t="s">
        <v>410</v>
      </c>
      <c r="B887" s="1156">
        <v>270</v>
      </c>
      <c r="C887" s="1156">
        <v>60</v>
      </c>
      <c r="D887" s="1156"/>
      <c r="E887" s="1156"/>
      <c r="F887" s="1156"/>
      <c r="G887" s="1156">
        <v>330</v>
      </c>
    </row>
    <row r="888" spans="1:7">
      <c r="A888" t="s">
        <v>445</v>
      </c>
      <c r="B888" s="1156"/>
      <c r="C888" s="1156"/>
      <c r="D888" s="1156"/>
      <c r="E888" s="1156"/>
      <c r="F888" s="1156"/>
      <c r="G888" s="1156"/>
    </row>
    <row r="889" spans="1:7">
      <c r="A889" t="s">
        <v>391</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352</v>
      </c>
      <c r="B891" s="1156"/>
      <c r="C891" s="1156">
        <v>1647</v>
      </c>
      <c r="D891" s="1156">
        <v>343</v>
      </c>
      <c r="E891" s="1156"/>
      <c r="F891" s="1156"/>
      <c r="G891" s="1156">
        <v>1990</v>
      </c>
    </row>
    <row r="892" spans="1:7">
      <c r="A892" t="s">
        <v>443</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353</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439</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404</v>
      </c>
      <c r="B909" s="1156"/>
      <c r="C909" s="1156"/>
      <c r="D909" s="1156"/>
      <c r="E909" s="1156"/>
      <c r="F909" s="1156"/>
      <c r="G909" s="1156"/>
    </row>
    <row r="910" spans="1:7">
      <c r="A910" t="s">
        <v>333</v>
      </c>
      <c r="B910" s="1156"/>
      <c r="C910" s="1156"/>
      <c r="D910" s="1156"/>
      <c r="E910" s="1156"/>
      <c r="F910" s="1156"/>
      <c r="G910" s="1156"/>
    </row>
    <row r="911" spans="1:7">
      <c r="A911" t="s">
        <v>350</v>
      </c>
      <c r="B911" s="1156"/>
      <c r="C911" s="1156"/>
      <c r="D911" s="1156"/>
      <c r="E911" s="1156"/>
      <c r="F911" s="1156">
        <v>569</v>
      </c>
      <c r="G911" s="1156">
        <v>569</v>
      </c>
    </row>
    <row r="912" spans="1:7">
      <c r="A912" t="s">
        <v>391</v>
      </c>
      <c r="B912" s="1156"/>
      <c r="C912" s="1156"/>
      <c r="D912" s="1156"/>
      <c r="E912" s="1156"/>
      <c r="F912" s="1156"/>
      <c r="G912" s="1156"/>
    </row>
    <row r="913" spans="1:7">
      <c r="A913" t="s">
        <v>338</v>
      </c>
      <c r="B913" s="1156"/>
      <c r="C913" s="1156"/>
      <c r="D913" s="1156">
        <v>150</v>
      </c>
      <c r="E913" s="1156"/>
      <c r="F913" s="1156"/>
      <c r="G913" s="1156">
        <v>150</v>
      </c>
    </row>
    <row r="914" spans="1:7">
      <c r="A914" t="s">
        <v>355</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353</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368</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c r="G925" s="1156">
        <v>4449</v>
      </c>
    </row>
    <row r="926" spans="1:7">
      <c r="A926" t="s">
        <v>201</v>
      </c>
      <c r="B926" s="1156"/>
      <c r="C926" s="1156"/>
      <c r="D926" s="1156">
        <v>1031</v>
      </c>
      <c r="E926" s="1156"/>
      <c r="F926" s="1156"/>
      <c r="G926" s="1156">
        <v>1031</v>
      </c>
    </row>
    <row r="927" spans="1:7">
      <c r="A927" t="s">
        <v>261</v>
      </c>
      <c r="B927" s="1156"/>
      <c r="C927" s="1156"/>
      <c r="D927" s="1156"/>
      <c r="E927" s="1156">
        <v>1063</v>
      </c>
      <c r="F927" s="1156">
        <v>350</v>
      </c>
      <c r="G927" s="1156">
        <v>1413</v>
      </c>
    </row>
    <row r="928" spans="1:7">
      <c r="A928" t="s">
        <v>910</v>
      </c>
      <c r="B928" s="1156"/>
      <c r="C928" s="1156"/>
      <c r="D928" s="1156"/>
      <c r="E928" s="1156"/>
      <c r="F928" s="1156"/>
      <c r="G928" s="1156"/>
    </row>
    <row r="929" spans="1:7">
      <c r="A929" t="s">
        <v>845</v>
      </c>
      <c r="B929" s="1156">
        <v>4876</v>
      </c>
      <c r="C929" s="1156">
        <v>6972</v>
      </c>
      <c r="D929" s="1156">
        <v>9289</v>
      </c>
      <c r="E929" s="1156">
        <v>3439</v>
      </c>
      <c r="F929" s="1156">
        <v>919</v>
      </c>
      <c r="G929" s="1156">
        <v>25495</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71" activePane="bottomLeft" state="frozen"/>
      <selection pane="bottomLeft" activeCell="D1987" sqref="D198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376</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414</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376</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376</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376</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414</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376</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375</v>
      </c>
      <c r="B45" s="247" t="s">
        <v>376</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414</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376</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375</v>
      </c>
      <c r="B62" s="248" t="s">
        <v>376</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414</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376</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376</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375</v>
      </c>
      <c r="B87" s="248" t="s">
        <v>376</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414</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376</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376</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375</v>
      </c>
      <c r="B118" s="248" t="s">
        <v>376</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414</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376</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376</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375</v>
      </c>
      <c r="B149" s="248" t="s">
        <v>376</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414</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376</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376</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375</v>
      </c>
      <c r="B180" s="248" t="s">
        <v>376</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414</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376</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414</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376</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375</v>
      </c>
      <c r="B229" s="248" t="s">
        <v>376</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414</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376</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376</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375</v>
      </c>
      <c r="B266" s="248" t="s">
        <v>376</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414</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376</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376</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375</v>
      </c>
      <c r="B306" s="248" t="s">
        <v>376</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414</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376</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376</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375</v>
      </c>
      <c r="B347" s="248" t="s">
        <v>376</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414</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376</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376</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375</v>
      </c>
      <c r="B388" s="248" t="s">
        <v>376</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414</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376</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376</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375</v>
      </c>
      <c r="B434" s="248" t="s">
        <v>376</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414</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376</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414</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376</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375</v>
      </c>
      <c r="B484" s="248" t="s">
        <v>376</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414</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376</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414</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376</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375</v>
      </c>
      <c r="B535" s="248" t="s">
        <v>376</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414</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376</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414</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375</v>
      </c>
      <c r="B584" s="248" t="s">
        <v>376</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376</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414</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376</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414</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414</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414</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414</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414</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414</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414</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414</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344</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414</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344</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344</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344</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397</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344</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393</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344</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393</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414</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341</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393</v>
      </c>
      <c r="B821" s="142" t="s">
        <v>855</v>
      </c>
      <c r="C821" s="56">
        <v>45750</v>
      </c>
      <c r="E821" s="43"/>
      <c r="F821" s="142" t="s">
        <v>1090</v>
      </c>
      <c r="G821" t="str">
        <f t="shared" si="12"/>
        <v>April</v>
      </c>
    </row>
    <row r="822" spans="1:7">
      <c r="A822" s="142" t="s">
        <v>464</v>
      </c>
      <c r="B822" s="247" t="s">
        <v>414</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341</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393</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382</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382</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341</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393</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341</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393</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414</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414</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394</v>
      </c>
      <c r="C882" s="56">
        <v>45758</v>
      </c>
      <c r="E882" s="43"/>
      <c r="F882" s="142" t="s">
        <v>1111</v>
      </c>
      <c r="G882" t="str">
        <f t="shared" si="13"/>
        <v>April</v>
      </c>
    </row>
    <row r="883" spans="1:7">
      <c r="A883" s="142" t="s">
        <v>670</v>
      </c>
      <c r="B883" s="142" t="s">
        <v>394</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414</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394</v>
      </c>
      <c r="C894" s="56">
        <v>45761</v>
      </c>
      <c r="E894" s="43"/>
      <c r="G894" t="str">
        <f t="shared" si="13"/>
        <v>April</v>
      </c>
    </row>
    <row r="895" spans="1:7">
      <c r="A895" s="142" t="s">
        <v>670</v>
      </c>
      <c r="B895" s="142" t="s">
        <v>394</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414</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394</v>
      </c>
      <c r="C905" s="56">
        <v>45762</v>
      </c>
      <c r="E905" s="43"/>
      <c r="F905" s="142" t="s">
        <v>1123</v>
      </c>
      <c r="G905" t="str">
        <f t="shared" si="14"/>
        <v>April</v>
      </c>
    </row>
    <row r="906" spans="1:7">
      <c r="A906" s="142" t="s">
        <v>670</v>
      </c>
      <c r="B906" s="142" t="s">
        <v>394</v>
      </c>
      <c r="C906" s="56">
        <v>45762</v>
      </c>
      <c r="E906" s="43"/>
      <c r="F906" s="142" t="s">
        <v>1123</v>
      </c>
      <c r="G906" t="str">
        <f t="shared" si="14"/>
        <v>April</v>
      </c>
    </row>
    <row r="907" spans="1:7">
      <c r="A907" s="142" t="s">
        <v>650</v>
      </c>
      <c r="B907" s="142" t="s">
        <v>394</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414</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414</v>
      </c>
      <c r="C919" s="56">
        <v>45763</v>
      </c>
      <c r="D919" s="43">
        <v>173</v>
      </c>
      <c r="E919" s="43"/>
      <c r="G919" t="str">
        <f t="shared" si="14"/>
        <v>April</v>
      </c>
    </row>
    <row r="920" spans="1:7">
      <c r="A920" s="142" t="s">
        <v>643</v>
      </c>
      <c r="B920" s="142" t="s">
        <v>394</v>
      </c>
      <c r="C920" s="56">
        <v>45763</v>
      </c>
      <c r="E920" s="43"/>
      <c r="F920" s="142" t="s">
        <v>985</v>
      </c>
      <c r="G920" t="str">
        <f t="shared" si="14"/>
        <v>April</v>
      </c>
    </row>
    <row r="921" spans="1:7">
      <c r="A921" s="142" t="s">
        <v>650</v>
      </c>
      <c r="B921" s="142" t="s">
        <v>394</v>
      </c>
      <c r="C921" s="56">
        <v>45763</v>
      </c>
      <c r="E921" s="43"/>
      <c r="F921" s="142" t="s">
        <v>985</v>
      </c>
      <c r="G921" t="str">
        <f t="shared" si="14"/>
        <v>April</v>
      </c>
    </row>
    <row r="922" spans="1:7">
      <c r="A922" s="142" t="s">
        <v>648</v>
      </c>
      <c r="B922" s="247" t="s">
        <v>414</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414</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414</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394</v>
      </c>
      <c r="C946" s="56">
        <v>45765</v>
      </c>
      <c r="E946" s="43"/>
      <c r="F946" s="310" t="s">
        <v>1145</v>
      </c>
      <c r="G946" t="str">
        <f t="shared" si="14"/>
        <v>April</v>
      </c>
    </row>
    <row r="947" spans="1:7">
      <c r="A947" s="315" t="s">
        <v>650</v>
      </c>
      <c r="B947" s="315" t="s">
        <v>394</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414</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414</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394</v>
      </c>
      <c r="C959" s="56">
        <v>45768</v>
      </c>
      <c r="E959" s="43"/>
      <c r="F959" s="315" t="s">
        <v>1145</v>
      </c>
      <c r="G959" t="str">
        <f t="shared" si="15"/>
        <v>April</v>
      </c>
    </row>
    <row r="960" spans="1:7">
      <c r="A960" s="319" t="s">
        <v>670</v>
      </c>
      <c r="B960" s="142" t="s">
        <v>394</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414</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414</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414</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414</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414</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414</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414</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414</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414</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414</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414</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382</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382</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414</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386</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414</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414</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414</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414</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370</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414</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370</v>
      </c>
      <c r="B1158" s="308" t="s">
        <v>132</v>
      </c>
      <c r="C1158" s="56">
        <v>45797</v>
      </c>
      <c r="D1158" s="156">
        <v>1430</v>
      </c>
      <c r="F1158" s="43" t="s">
        <v>1002</v>
      </c>
      <c r="G1158" t="str">
        <f t="shared" si="21"/>
        <v>May</v>
      </c>
    </row>
    <row r="1159" spans="1:7">
      <c r="A1159" s="135" t="s">
        <v>679</v>
      </c>
      <c r="B1159" s="142" t="s">
        <v>414</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370</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400</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414</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400</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370</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370</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414</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370</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414</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414</v>
      </c>
      <c r="C1216" s="56">
        <v>45812</v>
      </c>
      <c r="D1216" s="43">
        <v>83</v>
      </c>
      <c r="G1216" t="s">
        <v>1289</v>
      </c>
    </row>
    <row r="1217" spans="1:7">
      <c r="A1217" s="308" t="s">
        <v>382</v>
      </c>
      <c r="B1217" s="308" t="s">
        <v>414</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370</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382</v>
      </c>
      <c r="B1223" s="142" t="s">
        <v>414</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414</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414</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414</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393</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370</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414</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382</v>
      </c>
      <c r="B1284" s="311" t="s">
        <v>414</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414</v>
      </c>
      <c r="C1289" s="56">
        <v>45834</v>
      </c>
      <c r="F1289" s="320" t="s">
        <v>1315</v>
      </c>
      <c r="G1289" t="s">
        <v>1289</v>
      </c>
    </row>
    <row r="1290" spans="1:7">
      <c r="A1290" s="360" t="s">
        <v>679</v>
      </c>
      <c r="B1290" s="311" t="s">
        <v>414</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393</v>
      </c>
      <c r="B1296" s="142" t="s">
        <v>465</v>
      </c>
      <c r="C1296" s="56">
        <v>45834</v>
      </c>
      <c r="D1296" s="43">
        <v>676</v>
      </c>
      <c r="F1296" s="43" t="s">
        <v>1282</v>
      </c>
      <c r="G1296" t="s">
        <v>1289</v>
      </c>
    </row>
    <row r="1297" spans="1:7">
      <c r="A1297" s="142" t="s">
        <v>699</v>
      </c>
      <c r="B1297" s="142" t="s">
        <v>345</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414</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393</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393</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370</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393</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393</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393</v>
      </c>
      <c r="B1316" s="321" t="s">
        <v>465</v>
      </c>
      <c r="C1316" s="56">
        <v>45841</v>
      </c>
      <c r="D1316" s="43">
        <v>372</v>
      </c>
      <c r="F1316" s="116" t="s">
        <v>968</v>
      </c>
      <c r="G1316" t="s">
        <v>1322</v>
      </c>
    </row>
    <row r="1317" spans="1:7" ht="15.75">
      <c r="A1317" s="142" t="s">
        <v>393</v>
      </c>
      <c r="B1317" s="321" t="s">
        <v>345</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393</v>
      </c>
      <c r="B1322" s="158" t="s">
        <v>345</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341</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397</v>
      </c>
      <c r="B1331" s="158" t="s">
        <v>345</v>
      </c>
      <c r="C1331" s="56">
        <v>45849</v>
      </c>
      <c r="D1331" s="43">
        <v>198</v>
      </c>
      <c r="G1331" t="s">
        <v>1322</v>
      </c>
    </row>
    <row r="1332" spans="1:7">
      <c r="A1332" s="251" t="s">
        <v>779</v>
      </c>
      <c r="B1332" s="412" t="s">
        <v>854</v>
      </c>
      <c r="C1332" s="56">
        <v>45852</v>
      </c>
      <c r="F1332" s="43" t="s">
        <v>985</v>
      </c>
      <c r="G1332" t="s">
        <v>1322</v>
      </c>
    </row>
    <row r="1333" spans="1:7">
      <c r="A1333" s="638" t="s">
        <v>397</v>
      </c>
      <c r="B1333" s="158" t="s">
        <v>345</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344</v>
      </c>
      <c r="B1337" s="158" t="s">
        <v>345</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344</v>
      </c>
      <c r="B1343" s="322" t="s">
        <v>345</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414</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344</v>
      </c>
      <c r="B1354" s="158" t="s">
        <v>345</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414</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344</v>
      </c>
      <c r="B1361" s="158" t="s">
        <v>345</v>
      </c>
      <c r="C1361" s="56">
        <v>45860</v>
      </c>
      <c r="D1361" s="43">
        <v>318</v>
      </c>
      <c r="G1361" t="s">
        <v>1322</v>
      </c>
    </row>
    <row r="1362" spans="1:7">
      <c r="A1362" s="251" t="s">
        <v>893</v>
      </c>
      <c r="B1362" s="158" t="s">
        <v>345</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414</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397</v>
      </c>
      <c r="B1370" s="158" t="s">
        <v>345</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414</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397</v>
      </c>
      <c r="B1378" s="322" t="s">
        <v>345</v>
      </c>
      <c r="C1378" s="56">
        <v>45862</v>
      </c>
      <c r="D1378" s="43">
        <v>880</v>
      </c>
      <c r="G1378" t="s">
        <v>1322</v>
      </c>
    </row>
    <row r="1379" spans="1:7">
      <c r="A1379" s="328" t="s">
        <v>341</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397</v>
      </c>
      <c r="B1386" s="158" t="s">
        <v>345</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414</v>
      </c>
      <c r="C1391" s="56">
        <v>45866</v>
      </c>
      <c r="D1391" s="156">
        <v>1181</v>
      </c>
      <c r="G1391" t="s">
        <v>1322</v>
      </c>
    </row>
    <row r="1392" spans="1:7">
      <c r="A1392" s="124" t="s">
        <v>397</v>
      </c>
      <c r="B1392" s="158" t="s">
        <v>345</v>
      </c>
      <c r="C1392" s="56">
        <v>45866</v>
      </c>
      <c r="D1392" s="43">
        <v>345</v>
      </c>
      <c r="G1392" t="s">
        <v>1322</v>
      </c>
    </row>
    <row r="1393" spans="1:7">
      <c r="A1393" s="639" t="s">
        <v>709</v>
      </c>
      <c r="B1393" s="69" t="s">
        <v>414</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414</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336</v>
      </c>
      <c r="B1402" s="322" t="s">
        <v>345</v>
      </c>
      <c r="C1402" s="56">
        <v>45868</v>
      </c>
      <c r="D1402" s="43">
        <v>314</v>
      </c>
      <c r="G1402" t="s">
        <v>1322</v>
      </c>
    </row>
    <row r="1403" spans="1:7">
      <c r="A1403" s="322" t="s">
        <v>593</v>
      </c>
      <c r="B1403" s="315" t="s">
        <v>854</v>
      </c>
      <c r="C1403" s="56">
        <v>45869</v>
      </c>
      <c r="F1403" s="324" t="s">
        <v>1062</v>
      </c>
      <c r="G1403" t="s">
        <v>1322</v>
      </c>
    </row>
    <row r="1404" spans="1:7">
      <c r="A1404" s="142" t="s">
        <v>709</v>
      </c>
      <c r="B1404" s="142" t="s">
        <v>414</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402</v>
      </c>
      <c r="B1407" s="158" t="s">
        <v>345</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402</v>
      </c>
      <c r="B1411" s="158" t="s">
        <v>345</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402</v>
      </c>
      <c r="B1415" s="315" t="s">
        <v>345</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402</v>
      </c>
      <c r="B1418" s="315" t="s">
        <v>345</v>
      </c>
      <c r="C1418" s="56">
        <v>45875</v>
      </c>
      <c r="D1418" s="43">
        <v>840</v>
      </c>
      <c r="G1418" t="s">
        <v>1361</v>
      </c>
    </row>
    <row r="1419" spans="1:7">
      <c r="A1419" s="142" t="s">
        <v>336</v>
      </c>
      <c r="B1419" s="569" t="s">
        <v>345</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402</v>
      </c>
      <c r="B1423" s="543" t="s">
        <v>345</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402</v>
      </c>
      <c r="B1426" s="315" t="s">
        <v>345</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402</v>
      </c>
      <c r="B1430" s="315" t="s">
        <v>345</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344</v>
      </c>
      <c r="B1435" s="315" t="s">
        <v>345</v>
      </c>
      <c r="C1435" s="56">
        <v>45881</v>
      </c>
      <c r="D1435" s="43">
        <v>319</v>
      </c>
      <c r="G1435" t="s">
        <v>1361</v>
      </c>
    </row>
    <row r="1436" spans="1:7">
      <c r="A1436" s="570" t="s">
        <v>402</v>
      </c>
      <c r="B1436" s="315" t="s">
        <v>345</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402</v>
      </c>
      <c r="B1443" s="315" t="s">
        <v>345</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402</v>
      </c>
      <c r="B1447" s="315" t="s">
        <v>345</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402</v>
      </c>
      <c r="B1453" s="315" t="s">
        <v>345</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402</v>
      </c>
      <c r="B1460" s="315" t="s">
        <v>345</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402</v>
      </c>
      <c r="B1466" s="315" t="s">
        <v>345</v>
      </c>
      <c r="C1466" s="56">
        <v>45888</v>
      </c>
      <c r="D1466" s="43">
        <v>408</v>
      </c>
      <c r="F1466" s="116"/>
      <c r="G1466" t="s">
        <v>1361</v>
      </c>
    </row>
    <row r="1467" spans="1:7">
      <c r="A1467" s="602" t="s">
        <v>341</v>
      </c>
      <c r="B1467" s="322" t="s">
        <v>854</v>
      </c>
      <c r="C1467" s="56">
        <v>45888</v>
      </c>
      <c r="F1467" s="142" t="s">
        <v>1376</v>
      </c>
      <c r="G1467" t="s">
        <v>1361</v>
      </c>
    </row>
    <row r="1468" spans="1:7">
      <c r="A1468" s="251" t="s">
        <v>336</v>
      </c>
      <c r="B1468" s="315" t="s">
        <v>345</v>
      </c>
      <c r="C1468" s="56">
        <v>45888</v>
      </c>
      <c r="D1468" s="43">
        <v>430</v>
      </c>
      <c r="F1468" s="171"/>
      <c r="G1468" t="s">
        <v>1361</v>
      </c>
    </row>
    <row r="1469" spans="1:7">
      <c r="A1469" s="88" t="s">
        <v>872</v>
      </c>
      <c r="B1469" s="412" t="s">
        <v>854</v>
      </c>
      <c r="C1469" s="56">
        <v>45889</v>
      </c>
      <c r="D1469" s="43">
        <v>181</v>
      </c>
      <c r="G1469" t="s">
        <v>1361</v>
      </c>
    </row>
    <row r="1470" spans="1:7">
      <c r="A1470" s="88" t="s">
        <v>382</v>
      </c>
      <c r="B1470" s="412" t="s">
        <v>414</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402</v>
      </c>
      <c r="B1474" s="315" t="s">
        <v>345</v>
      </c>
      <c r="C1474" s="56">
        <v>45889</v>
      </c>
      <c r="D1474" s="43">
        <v>607</v>
      </c>
      <c r="F1474" s="43" t="s">
        <v>1377</v>
      </c>
      <c r="G1474" t="s">
        <v>1361</v>
      </c>
    </row>
    <row r="1475" spans="1:7">
      <c r="A1475" s="602" t="s">
        <v>341</v>
      </c>
      <c r="B1475" s="322" t="s">
        <v>854</v>
      </c>
      <c r="C1475" s="56">
        <v>45889</v>
      </c>
      <c r="D1475" s="43">
        <v>499</v>
      </c>
      <c r="G1475" t="s">
        <v>1361</v>
      </c>
    </row>
    <row r="1476" spans="1:7">
      <c r="A1476" s="88" t="s">
        <v>872</v>
      </c>
      <c r="B1476" s="412" t="s">
        <v>854</v>
      </c>
      <c r="C1476" s="56">
        <v>45890</v>
      </c>
      <c r="D1476" s="43">
        <v>82</v>
      </c>
      <c r="G1476" t="s">
        <v>1361</v>
      </c>
    </row>
    <row r="1477" spans="1:7">
      <c r="A1477" s="88" t="s">
        <v>382</v>
      </c>
      <c r="B1477" s="412" t="s">
        <v>414</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402</v>
      </c>
      <c r="B1482" s="315" t="s">
        <v>345</v>
      </c>
      <c r="C1482" s="56">
        <v>45890</v>
      </c>
      <c r="D1482" s="156">
        <v>1022</v>
      </c>
      <c r="G1482" t="s">
        <v>1361</v>
      </c>
    </row>
    <row r="1483" spans="1:7">
      <c r="A1483" s="602" t="s">
        <v>341</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414</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402</v>
      </c>
      <c r="B1488" s="315" t="s">
        <v>345</v>
      </c>
      <c r="C1488" s="56">
        <v>45891</v>
      </c>
      <c r="E1488" s="325">
        <v>6090</v>
      </c>
      <c r="F1488" s="43" t="s">
        <v>1381</v>
      </c>
      <c r="G1488" t="s">
        <v>1361</v>
      </c>
    </row>
    <row r="1489" spans="1:7">
      <c r="A1489" s="602" t="s">
        <v>341</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414</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402</v>
      </c>
      <c r="B1495" s="315" t="s">
        <v>345</v>
      </c>
      <c r="C1495" s="56">
        <v>45894</v>
      </c>
      <c r="D1495" s="43">
        <v>639</v>
      </c>
      <c r="G1495" t="s">
        <v>1361</v>
      </c>
    </row>
    <row r="1496" spans="1:7">
      <c r="A1496" s="602" t="s">
        <v>341</v>
      </c>
      <c r="B1496" s="322" t="s">
        <v>854</v>
      </c>
      <c r="C1496" s="56">
        <v>45894</v>
      </c>
      <c r="D1496" s="43">
        <v>503</v>
      </c>
      <c r="G1496" t="s">
        <v>1361</v>
      </c>
    </row>
    <row r="1497" spans="1:7">
      <c r="A1497" s="88" t="s">
        <v>872</v>
      </c>
      <c r="B1497" s="412" t="s">
        <v>854</v>
      </c>
      <c r="C1497" s="56">
        <v>45895</v>
      </c>
      <c r="F1497" s="43" t="s">
        <v>1118</v>
      </c>
      <c r="G1497" t="s">
        <v>1361</v>
      </c>
    </row>
    <row r="1498" spans="1:7">
      <c r="A1498" s="88" t="s">
        <v>382</v>
      </c>
      <c r="B1498" s="412" t="s">
        <v>414</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341</v>
      </c>
      <c r="B1504" s="653" t="s">
        <v>854</v>
      </c>
      <c r="C1504" s="56">
        <v>45895</v>
      </c>
      <c r="D1504" s="43">
        <v>295</v>
      </c>
      <c r="G1504" t="s">
        <v>1361</v>
      </c>
    </row>
    <row r="1505" spans="1:7">
      <c r="A1505" s="650" t="s">
        <v>397</v>
      </c>
      <c r="B1505" s="360" t="s">
        <v>345</v>
      </c>
      <c r="C1505" s="56">
        <v>45895</v>
      </c>
      <c r="F1505" s="43" t="s">
        <v>1062</v>
      </c>
      <c r="G1505" t="s">
        <v>1361</v>
      </c>
    </row>
    <row r="1506" spans="1:7">
      <c r="A1506" s="410" t="s">
        <v>742</v>
      </c>
      <c r="B1506" s="232" t="s">
        <v>414</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344</v>
      </c>
      <c r="B1512" s="359" t="s">
        <v>345</v>
      </c>
      <c r="C1512" s="56">
        <v>45896</v>
      </c>
      <c r="D1512" s="43">
        <v>358</v>
      </c>
      <c r="F1512" s="43" t="s">
        <v>1390</v>
      </c>
      <c r="G1512" t="s">
        <v>1361</v>
      </c>
    </row>
    <row r="1513" spans="1:7">
      <c r="A1513" s="666" t="s">
        <v>397</v>
      </c>
      <c r="B1513" s="142" t="s">
        <v>345</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402</v>
      </c>
      <c r="B1518" s="315" t="s">
        <v>345</v>
      </c>
      <c r="C1518" s="56">
        <v>45897</v>
      </c>
      <c r="F1518" s="43" t="s">
        <v>980</v>
      </c>
      <c r="G1518" t="s">
        <v>1361</v>
      </c>
    </row>
    <row r="1519" spans="1:7">
      <c r="A1519" s="602" t="s">
        <v>269</v>
      </c>
      <c r="B1519" s="653" t="s">
        <v>854</v>
      </c>
      <c r="C1519" s="56">
        <v>45897</v>
      </c>
      <c r="D1519" s="43">
        <v>320</v>
      </c>
      <c r="G1519" t="s">
        <v>1361</v>
      </c>
    </row>
    <row r="1520" spans="1:7">
      <c r="A1520" s="650" t="s">
        <v>344</v>
      </c>
      <c r="B1520" s="360" t="s">
        <v>345</v>
      </c>
      <c r="C1520" s="56">
        <v>45897</v>
      </c>
      <c r="F1520" s="315" t="s">
        <v>1118</v>
      </c>
      <c r="G1520" t="s">
        <v>1361</v>
      </c>
    </row>
    <row r="1521" spans="1:7">
      <c r="A1521" s="124" t="s">
        <v>397</v>
      </c>
      <c r="B1521" s="359" t="s">
        <v>345</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397</v>
      </c>
      <c r="B1524" s="315" t="s">
        <v>345</v>
      </c>
      <c r="C1524" s="56">
        <v>45898</v>
      </c>
      <c r="F1524" s="142" t="s">
        <v>968</v>
      </c>
      <c r="G1524" t="s">
        <v>1361</v>
      </c>
    </row>
    <row r="1525" spans="1:7">
      <c r="A1525" s="330" t="s">
        <v>341</v>
      </c>
      <c r="B1525" s="319" t="s">
        <v>854</v>
      </c>
      <c r="C1525" s="56">
        <v>45898</v>
      </c>
      <c r="D1525" s="43">
        <v>6</v>
      </c>
      <c r="F1525" s="43" t="s">
        <v>1396</v>
      </c>
      <c r="G1525" t="s">
        <v>1361</v>
      </c>
    </row>
    <row r="1526" spans="1:7">
      <c r="A1526" s="348" t="s">
        <v>402</v>
      </c>
      <c r="B1526" s="315" t="s">
        <v>345</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341</v>
      </c>
      <c r="B1531" s="319" t="s">
        <v>854</v>
      </c>
      <c r="C1531" s="56">
        <v>45902</v>
      </c>
      <c r="D1531" s="43">
        <v>15</v>
      </c>
      <c r="F1531" s="43" t="s">
        <v>1402</v>
      </c>
      <c r="G1531" t="s">
        <v>1399</v>
      </c>
    </row>
    <row r="1532" spans="1:7">
      <c r="A1532" s="251" t="s">
        <v>397</v>
      </c>
      <c r="B1532" s="315" t="s">
        <v>345</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341</v>
      </c>
      <c r="B1539" s="322" t="s">
        <v>854</v>
      </c>
      <c r="C1539" s="56">
        <v>45903</v>
      </c>
      <c r="D1539" s="43">
        <v>65</v>
      </c>
      <c r="F1539" s="142" t="s">
        <v>1409</v>
      </c>
      <c r="G1539" t="s">
        <v>1399</v>
      </c>
    </row>
    <row r="1540" spans="1:7">
      <c r="A1540" s="671" t="s">
        <v>397</v>
      </c>
      <c r="B1540" s="359" t="s">
        <v>345</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413</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344</v>
      </c>
      <c r="B1546" s="315" t="s">
        <v>854</v>
      </c>
      <c r="C1546" s="56">
        <v>45904</v>
      </c>
      <c r="D1546" s="43">
        <v>99</v>
      </c>
      <c r="F1546" s="43" t="s">
        <v>1413</v>
      </c>
      <c r="G1546" t="s">
        <v>1399</v>
      </c>
    </row>
    <row r="1547" spans="1:7">
      <c r="A1547" s="602" t="s">
        <v>341</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404</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413</v>
      </c>
      <c r="B1552" s="232" t="s">
        <v>414</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413</v>
      </c>
      <c r="B1555" s="232" t="s">
        <v>414</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413</v>
      </c>
      <c r="B1559" s="232" t="s">
        <v>414</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433</v>
      </c>
      <c r="B1562" s="132" t="s">
        <v>132</v>
      </c>
      <c r="C1562" s="56">
        <v>45910</v>
      </c>
      <c r="D1562" s="43">
        <v>740</v>
      </c>
      <c r="F1562" s="43" t="s">
        <v>1421</v>
      </c>
      <c r="G1562" t="s">
        <v>1399</v>
      </c>
    </row>
    <row r="1563" spans="1:7">
      <c r="A1563" s="650" t="s">
        <v>333</v>
      </c>
      <c r="B1563" s="653" t="s">
        <v>334</v>
      </c>
      <c r="C1563" s="56">
        <v>45910</v>
      </c>
      <c r="D1563" s="43">
        <v>307</v>
      </c>
      <c r="G1563" t="s">
        <v>1399</v>
      </c>
    </row>
    <row r="1564" spans="1:7">
      <c r="A1564" s="158" t="s">
        <v>404</v>
      </c>
      <c r="B1564" s="711" t="s">
        <v>1280</v>
      </c>
      <c r="C1564" s="56">
        <v>45910</v>
      </c>
      <c r="F1564" s="43" t="s">
        <v>1118</v>
      </c>
      <c r="G1564" t="s">
        <v>1399</v>
      </c>
    </row>
    <row r="1565" spans="1:7">
      <c r="A1565" s="88" t="s">
        <v>877</v>
      </c>
      <c r="B1565" s="412" t="s">
        <v>854</v>
      </c>
      <c r="C1565" s="56">
        <v>45911</v>
      </c>
      <c r="D1565" s="43">
        <v>302</v>
      </c>
      <c r="G1565" t="s">
        <v>1399</v>
      </c>
    </row>
    <row r="1566" spans="1:7">
      <c r="A1566" s="88" t="s">
        <v>382</v>
      </c>
      <c r="B1566" s="412" t="s">
        <v>414</v>
      </c>
      <c r="C1566" s="56">
        <v>45911</v>
      </c>
      <c r="D1566" s="43">
        <v>279</v>
      </c>
      <c r="F1566" s="43" t="s">
        <v>1422</v>
      </c>
      <c r="G1566" t="s">
        <v>1399</v>
      </c>
    </row>
    <row r="1567" spans="1:7">
      <c r="A1567" s="88" t="s">
        <v>897</v>
      </c>
      <c r="B1567" s="412" t="s">
        <v>414</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333</v>
      </c>
      <c r="B1570" s="251" t="s">
        <v>334</v>
      </c>
      <c r="C1570" s="56">
        <v>45911</v>
      </c>
      <c r="D1570" s="43">
        <v>920</v>
      </c>
      <c r="F1570" s="69"/>
      <c r="G1570" t="s">
        <v>1399</v>
      </c>
    </row>
    <row r="1571" spans="1:7">
      <c r="A1571" s="158" t="s">
        <v>404</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333</v>
      </c>
      <c r="B1574" s="251" t="s">
        <v>334</v>
      </c>
      <c r="C1574" s="56">
        <v>45912</v>
      </c>
      <c r="D1574" s="43">
        <v>610</v>
      </c>
      <c r="F1574" s="69"/>
      <c r="G1574" t="s">
        <v>1399</v>
      </c>
    </row>
    <row r="1575" spans="1:7">
      <c r="A1575" s="158" t="s">
        <v>404</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433</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333</v>
      </c>
      <c r="B1579" s="251" t="s">
        <v>334</v>
      </c>
      <c r="C1579" s="56">
        <v>45915</v>
      </c>
      <c r="D1579" s="43">
        <v>829</v>
      </c>
      <c r="F1579" s="69" t="s">
        <v>1282</v>
      </c>
      <c r="G1579" t="s">
        <v>1399</v>
      </c>
    </row>
    <row r="1580" spans="1:7">
      <c r="A1580" s="116" t="s">
        <v>341</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433</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416</v>
      </c>
      <c r="B1584" s="711" t="s">
        <v>132</v>
      </c>
      <c r="C1584" s="56">
        <v>45916</v>
      </c>
      <c r="D1584" s="156">
        <v>1808</v>
      </c>
      <c r="F1584" s="761"/>
      <c r="G1584" t="s">
        <v>1399</v>
      </c>
    </row>
    <row r="1585" spans="1:7">
      <c r="A1585" s="135" t="s">
        <v>333</v>
      </c>
      <c r="B1585" s="251" t="s">
        <v>334</v>
      </c>
      <c r="C1585" s="56">
        <v>45916</v>
      </c>
      <c r="F1585" s="761" t="s">
        <v>968</v>
      </c>
      <c r="G1585" t="s">
        <v>1399</v>
      </c>
    </row>
    <row r="1586" spans="1:7">
      <c r="A1586" s="158" t="s">
        <v>344</v>
      </c>
      <c r="B1586" s="251" t="s">
        <v>854</v>
      </c>
      <c r="C1586" s="56">
        <v>45916</v>
      </c>
      <c r="F1586" s="762" t="s">
        <v>1426</v>
      </c>
      <c r="G1586" t="s">
        <v>1399</v>
      </c>
    </row>
    <row r="1587" spans="1:7">
      <c r="A1587" s="116" t="s">
        <v>341</v>
      </c>
      <c r="B1587" s="382" t="s">
        <v>854</v>
      </c>
      <c r="C1587" s="56">
        <v>45916</v>
      </c>
      <c r="F1587" s="760" t="s">
        <v>1426</v>
      </c>
      <c r="G1587" t="s">
        <v>1399</v>
      </c>
    </row>
    <row r="1588" spans="1:7">
      <c r="A1588" s="671" t="s">
        <v>347</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433</v>
      </c>
      <c r="B1590" s="362" t="s">
        <v>132</v>
      </c>
      <c r="C1590" s="56">
        <v>45917</v>
      </c>
      <c r="D1590" s="156">
        <v>1250</v>
      </c>
      <c r="F1590" s="761" t="s">
        <v>1427</v>
      </c>
      <c r="G1590" t="s">
        <v>1399</v>
      </c>
    </row>
    <row r="1591" spans="1:7">
      <c r="A1591" s="765" t="s">
        <v>413</v>
      </c>
      <c r="B1591" s="319" t="s">
        <v>414</v>
      </c>
      <c r="C1591" s="56">
        <v>45917</v>
      </c>
      <c r="D1591" s="43">
        <v>250</v>
      </c>
      <c r="F1591" s="761" t="s">
        <v>1428</v>
      </c>
      <c r="G1591" t="s">
        <v>1399</v>
      </c>
    </row>
    <row r="1592" spans="1:7">
      <c r="A1592" s="142" t="s">
        <v>416</v>
      </c>
      <c r="B1592" s="767" t="s">
        <v>132</v>
      </c>
      <c r="C1592" s="56">
        <v>45917</v>
      </c>
      <c r="F1592" s="761" t="s">
        <v>1429</v>
      </c>
      <c r="G1592" t="s">
        <v>1399</v>
      </c>
    </row>
    <row r="1593" spans="1:7">
      <c r="A1593" s="135" t="s">
        <v>333</v>
      </c>
      <c r="B1593" s="142" t="s">
        <v>334</v>
      </c>
      <c r="C1593" s="56">
        <v>45917</v>
      </c>
      <c r="D1593" s="43">
        <v>863</v>
      </c>
      <c r="F1593" s="761"/>
      <c r="G1593" t="s">
        <v>1399</v>
      </c>
    </row>
    <row r="1594" spans="1:7">
      <c r="A1594" s="766" t="s">
        <v>347</v>
      </c>
      <c r="B1594" s="309" t="s">
        <v>231</v>
      </c>
      <c r="C1594" s="56">
        <v>45917</v>
      </c>
      <c r="D1594" s="43">
        <v>253</v>
      </c>
      <c r="F1594" s="761"/>
      <c r="G1594" t="s">
        <v>1399</v>
      </c>
    </row>
    <row r="1595" spans="1:7">
      <c r="A1595" s="330" t="s">
        <v>344</v>
      </c>
      <c r="B1595" s="315" t="s">
        <v>854</v>
      </c>
      <c r="C1595" s="56">
        <v>45917</v>
      </c>
      <c r="F1595" s="315" t="s">
        <v>1315</v>
      </c>
      <c r="G1595" t="s">
        <v>1399</v>
      </c>
    </row>
    <row r="1596" spans="1:7">
      <c r="A1596" s="251" t="s">
        <v>397</v>
      </c>
      <c r="B1596" s="315" t="s">
        <v>854</v>
      </c>
      <c r="C1596" s="56">
        <v>45917</v>
      </c>
      <c r="D1596" s="43">
        <v>139</v>
      </c>
      <c r="F1596" s="761"/>
      <c r="G1596" t="s">
        <v>1399</v>
      </c>
    </row>
    <row r="1597" spans="1:7">
      <c r="A1597" s="88" t="s">
        <v>386</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433</v>
      </c>
      <c r="B1599" s="711" t="s">
        <v>132</v>
      </c>
      <c r="C1599" s="56">
        <v>45918</v>
      </c>
      <c r="D1599" s="43">
        <v>361</v>
      </c>
      <c r="F1599" s="761" t="s">
        <v>1432</v>
      </c>
      <c r="G1599" t="s">
        <v>1399</v>
      </c>
    </row>
    <row r="1600" spans="1:7">
      <c r="A1600" s="69" t="s">
        <v>416</v>
      </c>
      <c r="B1600" s="711" t="s">
        <v>132</v>
      </c>
      <c r="C1600" s="56">
        <v>45918</v>
      </c>
      <c r="D1600" s="156">
        <v>1204</v>
      </c>
      <c r="F1600" s="761" t="s">
        <v>1433</v>
      </c>
      <c r="G1600" t="s">
        <v>1399</v>
      </c>
    </row>
    <row r="1601" spans="1:7">
      <c r="A1601" s="69" t="s">
        <v>419</v>
      </c>
      <c r="B1601" s="711" t="s">
        <v>132</v>
      </c>
      <c r="C1601" s="56">
        <v>45918</v>
      </c>
      <c r="D1601" s="156">
        <v>562</v>
      </c>
      <c r="F1601" s="761"/>
      <c r="G1601" t="s">
        <v>1399</v>
      </c>
    </row>
    <row r="1602" spans="1:7">
      <c r="A1602" s="69" t="s">
        <v>431</v>
      </c>
      <c r="B1602" s="711" t="s">
        <v>132</v>
      </c>
      <c r="C1602" s="56">
        <v>45918</v>
      </c>
      <c r="D1602" s="156">
        <v>754</v>
      </c>
      <c r="F1602" s="761" t="s">
        <v>1434</v>
      </c>
      <c r="G1602" t="s">
        <v>1399</v>
      </c>
    </row>
    <row r="1603" spans="1:7">
      <c r="A1603" s="135" t="s">
        <v>333</v>
      </c>
      <c r="B1603" s="251" t="s">
        <v>334</v>
      </c>
      <c r="C1603" s="56">
        <v>45918</v>
      </c>
      <c r="D1603" s="43">
        <v>499</v>
      </c>
      <c r="F1603" s="761"/>
      <c r="G1603" t="s">
        <v>1399</v>
      </c>
    </row>
    <row r="1604" spans="1:7">
      <c r="A1604" s="671" t="s">
        <v>347</v>
      </c>
      <c r="B1604" s="142" t="s">
        <v>231</v>
      </c>
      <c r="C1604" s="56">
        <v>45918</v>
      </c>
      <c r="D1604" s="156">
        <v>1076</v>
      </c>
      <c r="F1604" s="761"/>
      <c r="G1604" t="s">
        <v>1399</v>
      </c>
    </row>
    <row r="1605" spans="1:7">
      <c r="A1605" s="158" t="s">
        <v>344</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333</v>
      </c>
      <c r="B1608" s="251" t="s">
        <v>334</v>
      </c>
      <c r="C1608" s="56">
        <v>45919</v>
      </c>
      <c r="D1608" s="43">
        <v>475</v>
      </c>
      <c r="F1608" s="761"/>
      <c r="G1608" t="s">
        <v>1399</v>
      </c>
    </row>
    <row r="1609" spans="1:7">
      <c r="A1609" s="671" t="s">
        <v>347</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419</v>
      </c>
      <c r="B1613" s="767" t="s">
        <v>132</v>
      </c>
      <c r="C1613" s="56">
        <v>45922</v>
      </c>
      <c r="D1613" s="43">
        <v>978</v>
      </c>
      <c r="F1613" s="761" t="s">
        <v>1438</v>
      </c>
      <c r="G1613" t="s">
        <v>1399</v>
      </c>
    </row>
    <row r="1614" spans="1:7">
      <c r="A1614" s="309" t="s">
        <v>431</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333</v>
      </c>
      <c r="B1616" s="142" t="s">
        <v>334</v>
      </c>
      <c r="C1616" s="56">
        <v>45922</v>
      </c>
      <c r="D1616" s="43">
        <v>839</v>
      </c>
      <c r="F1616" s="761"/>
      <c r="G1616" t="s">
        <v>1399</v>
      </c>
    </row>
    <row r="1617" spans="1:7">
      <c r="A1617" s="776" t="s">
        <v>347</v>
      </c>
      <c r="B1617" s="308" t="s">
        <v>231</v>
      </c>
      <c r="C1617" s="56">
        <v>45922</v>
      </c>
      <c r="F1617" s="315" t="s">
        <v>1440</v>
      </c>
      <c r="G1617" t="s">
        <v>1399</v>
      </c>
    </row>
    <row r="1618" spans="1:7">
      <c r="A1618" s="329" t="s">
        <v>397</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419</v>
      </c>
      <c r="B1622" s="781" t="s">
        <v>132</v>
      </c>
      <c r="C1622" s="56">
        <v>45923</v>
      </c>
      <c r="D1622" s="43">
        <v>675</v>
      </c>
      <c r="F1622" s="69"/>
      <c r="G1622" t="s">
        <v>1399</v>
      </c>
    </row>
    <row r="1623" spans="1:7">
      <c r="A1623" s="69" t="s">
        <v>425</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333</v>
      </c>
      <c r="B1625" s="251" t="s">
        <v>334</v>
      </c>
      <c r="C1625" s="56">
        <v>45923</v>
      </c>
      <c r="F1625" s="789" t="s">
        <v>1445</v>
      </c>
      <c r="G1625" t="s">
        <v>1399</v>
      </c>
    </row>
    <row r="1626" spans="1:7">
      <c r="A1626" s="671" t="s">
        <v>347</v>
      </c>
      <c r="B1626" s="786" t="s">
        <v>231</v>
      </c>
      <c r="C1626" s="56">
        <v>45923</v>
      </c>
      <c r="D1626" s="43">
        <v>120</v>
      </c>
      <c r="F1626" s="69"/>
      <c r="G1626" t="s">
        <v>1399</v>
      </c>
    </row>
    <row r="1627" spans="1:7">
      <c r="A1627" s="158" t="s">
        <v>344</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428</v>
      </c>
      <c r="B1631" s="791" t="s">
        <v>132</v>
      </c>
      <c r="C1631" s="347">
        <v>45924</v>
      </c>
      <c r="D1631" s="156">
        <v>1205</v>
      </c>
      <c r="F1631" s="69" t="s">
        <v>1446</v>
      </c>
      <c r="G1631" t="s">
        <v>1399</v>
      </c>
    </row>
    <row r="1632" spans="1:7">
      <c r="A1632" s="69" t="s">
        <v>425</v>
      </c>
      <c r="B1632" s="409" t="s">
        <v>132</v>
      </c>
      <c r="C1632" s="56">
        <v>45924</v>
      </c>
      <c r="D1632" s="793">
        <v>1538</v>
      </c>
      <c r="F1632" s="69" t="s">
        <v>1447</v>
      </c>
      <c r="G1632" t="s">
        <v>1399</v>
      </c>
    </row>
    <row r="1633" spans="1:7">
      <c r="A1633" s="790" t="s">
        <v>408</v>
      </c>
      <c r="B1633" s="409" t="s">
        <v>854</v>
      </c>
      <c r="C1633" s="56">
        <v>45924</v>
      </c>
      <c r="D1633" s="162">
        <v>240</v>
      </c>
      <c r="F1633" s="69"/>
      <c r="G1633" t="s">
        <v>1399</v>
      </c>
    </row>
    <row r="1634" spans="1:7">
      <c r="A1634" s="790" t="s">
        <v>433</v>
      </c>
      <c r="B1634" s="409" t="s">
        <v>132</v>
      </c>
      <c r="C1634" s="56">
        <v>45924</v>
      </c>
      <c r="D1634" s="162"/>
      <c r="F1634" s="348" t="s">
        <v>1448</v>
      </c>
      <c r="G1634" t="s">
        <v>1399</v>
      </c>
    </row>
    <row r="1635" spans="1:7">
      <c r="A1635" s="69" t="s">
        <v>419</v>
      </c>
      <c r="B1635" s="781" t="s">
        <v>132</v>
      </c>
      <c r="C1635" s="56">
        <v>45924</v>
      </c>
      <c r="D1635" s="162">
        <v>170</v>
      </c>
      <c r="F1635" s="142" t="s">
        <v>1449</v>
      </c>
      <c r="G1635" t="s">
        <v>1399</v>
      </c>
    </row>
    <row r="1636" spans="1:7">
      <c r="A1636" s="792" t="s">
        <v>333</v>
      </c>
      <c r="B1636" s="413" t="s">
        <v>334</v>
      </c>
      <c r="C1636" s="355">
        <v>45924</v>
      </c>
      <c r="D1636" s="43">
        <v>616</v>
      </c>
      <c r="F1636" s="92"/>
      <c r="G1636" t="s">
        <v>1399</v>
      </c>
    </row>
    <row r="1637" spans="1:7">
      <c r="A1637" s="671" t="s">
        <v>347</v>
      </c>
      <c r="B1637" s="786" t="s">
        <v>231</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336</v>
      </c>
      <c r="B1640" s="132" t="s">
        <v>231</v>
      </c>
      <c r="C1640" s="56">
        <v>45924</v>
      </c>
      <c r="D1640" s="43">
        <v>406</v>
      </c>
      <c r="F1640" s="30"/>
      <c r="G1640" t="s">
        <v>1399</v>
      </c>
    </row>
    <row r="1641" spans="1:7">
      <c r="A1641" s="786" t="s">
        <v>433</v>
      </c>
      <c r="B1641" s="653" t="s">
        <v>854</v>
      </c>
      <c r="C1641" s="56">
        <v>45924</v>
      </c>
      <c r="E1641" s="325">
        <v>1837</v>
      </c>
      <c r="F1641" s="69" t="s">
        <v>1451</v>
      </c>
      <c r="G1641" t="s">
        <v>1399</v>
      </c>
    </row>
    <row r="1642" spans="1:7">
      <c r="A1642" s="786" t="s">
        <v>416</v>
      </c>
      <c r="B1642" s="653" t="s">
        <v>854</v>
      </c>
      <c r="C1642" s="56">
        <v>45924</v>
      </c>
      <c r="E1642" s="140">
        <v>731</v>
      </c>
      <c r="F1642" s="69" t="s">
        <v>1451</v>
      </c>
      <c r="G1642" t="s">
        <v>1399</v>
      </c>
    </row>
    <row r="1643" spans="1:7">
      <c r="A1643" s="786" t="s">
        <v>419</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428</v>
      </c>
      <c r="B1647" s="781" t="s">
        <v>132</v>
      </c>
      <c r="C1647" s="56">
        <v>45925</v>
      </c>
      <c r="D1647" s="156">
        <v>1000</v>
      </c>
      <c r="F1647" s="30"/>
      <c r="G1647" t="s">
        <v>1399</v>
      </c>
    </row>
    <row r="1648" spans="1:7">
      <c r="A1648" s="69" t="s">
        <v>425</v>
      </c>
      <c r="B1648" s="782" t="s">
        <v>132</v>
      </c>
      <c r="C1648" s="56">
        <v>45925</v>
      </c>
      <c r="D1648" s="156">
        <v>1377</v>
      </c>
      <c r="F1648" s="69" t="s">
        <v>1452</v>
      </c>
      <c r="G1648" t="s">
        <v>1399</v>
      </c>
    </row>
    <row r="1649" spans="1:7">
      <c r="A1649" s="780" t="s">
        <v>408</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333</v>
      </c>
      <c r="B1651" s="251" t="s">
        <v>334</v>
      </c>
      <c r="C1651" s="56">
        <v>45925</v>
      </c>
      <c r="D1651" s="43">
        <v>969</v>
      </c>
      <c r="G1651" t="s">
        <v>1399</v>
      </c>
    </row>
    <row r="1652" spans="1:7">
      <c r="A1652" s="671" t="s">
        <v>347</v>
      </c>
      <c r="B1652" s="786" t="s">
        <v>231</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334</v>
      </c>
      <c r="C1657" s="56">
        <v>45926</v>
      </c>
      <c r="D1657" s="43">
        <v>300</v>
      </c>
      <c r="G1657" t="s">
        <v>1399</v>
      </c>
    </row>
    <row r="1658" spans="1:7">
      <c r="A1658" s="308" t="s">
        <v>903</v>
      </c>
      <c r="B1658" s="767" t="s">
        <v>1457</v>
      </c>
      <c r="C1658" s="56">
        <v>45926</v>
      </c>
      <c r="D1658" s="43">
        <v>364</v>
      </c>
      <c r="G1658" t="s">
        <v>1399</v>
      </c>
    </row>
    <row r="1659" spans="1:7">
      <c r="A1659" s="135" t="s">
        <v>333</v>
      </c>
      <c r="B1659" s="142" t="s">
        <v>334</v>
      </c>
      <c r="C1659" s="56">
        <v>45926</v>
      </c>
      <c r="D1659" s="43">
        <v>552</v>
      </c>
      <c r="G1659" t="s">
        <v>1399</v>
      </c>
    </row>
    <row r="1660" spans="1:7">
      <c r="A1660" s="776" t="s">
        <v>350</v>
      </c>
      <c r="B1660" s="308" t="s">
        <v>231</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408</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425</v>
      </c>
      <c r="B1667" s="765" t="s">
        <v>132</v>
      </c>
      <c r="C1667" s="56">
        <v>45929</v>
      </c>
      <c r="D1667" s="43">
        <v>600</v>
      </c>
      <c r="F1667" s="43" t="s">
        <v>1460</v>
      </c>
      <c r="G1667" t="s">
        <v>1399</v>
      </c>
    </row>
    <row r="1668" spans="1:7">
      <c r="A1668" s="315" t="s">
        <v>428</v>
      </c>
      <c r="B1668" s="315" t="s">
        <v>132</v>
      </c>
      <c r="C1668" s="56">
        <v>45929</v>
      </c>
      <c r="D1668" s="156">
        <v>1002</v>
      </c>
      <c r="F1668" s="43" t="s">
        <v>1461</v>
      </c>
      <c r="G1668" t="s">
        <v>1399</v>
      </c>
    </row>
    <row r="1669" spans="1:7">
      <c r="A1669" s="135" t="s">
        <v>333</v>
      </c>
      <c r="B1669" s="142" t="s">
        <v>334</v>
      </c>
      <c r="C1669" s="56">
        <v>45929</v>
      </c>
      <c r="D1669" s="156">
        <v>1375</v>
      </c>
      <c r="G1669" t="s">
        <v>1399</v>
      </c>
    </row>
    <row r="1670" spans="1:7">
      <c r="A1670" s="776" t="s">
        <v>344</v>
      </c>
      <c r="B1670" s="308" t="s">
        <v>231</v>
      </c>
      <c r="C1670" s="56">
        <v>45929</v>
      </c>
      <c r="F1670" s="142" t="s">
        <v>1315</v>
      </c>
      <c r="G1670" t="s">
        <v>1399</v>
      </c>
    </row>
    <row r="1671" spans="1:7">
      <c r="A1671" s="309" t="s">
        <v>902</v>
      </c>
      <c r="B1671" s="309" t="s">
        <v>854</v>
      </c>
      <c r="C1671" s="56">
        <v>45929</v>
      </c>
      <c r="D1671" s="156">
        <v>1418</v>
      </c>
      <c r="G1671" t="s">
        <v>1399</v>
      </c>
    </row>
    <row r="1672" spans="1:7">
      <c r="A1672" s="43" t="s">
        <v>347</v>
      </c>
      <c r="B1672" s="322" t="s">
        <v>231</v>
      </c>
      <c r="C1672" s="56">
        <v>45929</v>
      </c>
      <c r="D1672" s="43">
        <v>479</v>
      </c>
      <c r="G1672" t="s">
        <v>1399</v>
      </c>
    </row>
    <row r="1673" spans="1:7">
      <c r="A1673" s="43" t="s">
        <v>350</v>
      </c>
      <c r="B1673" s="322" t="s">
        <v>231</v>
      </c>
      <c r="C1673" s="56">
        <v>45929</v>
      </c>
      <c r="D1673" s="43">
        <v>454</v>
      </c>
      <c r="G1673" t="s">
        <v>1399</v>
      </c>
    </row>
    <row r="1674" spans="1:7">
      <c r="A1674" s="315" t="s">
        <v>428</v>
      </c>
      <c r="B1674" s="315" t="s">
        <v>132</v>
      </c>
      <c r="C1674" s="56">
        <v>45930</v>
      </c>
      <c r="D1674" s="43">
        <v>268</v>
      </c>
      <c r="E1674" s="140">
        <v>413</v>
      </c>
      <c r="F1674" s="43" t="s">
        <v>1462</v>
      </c>
      <c r="G1674" t="s">
        <v>1399</v>
      </c>
    </row>
    <row r="1675" spans="1:7">
      <c r="A1675" s="88" t="s">
        <v>386</v>
      </c>
      <c r="B1675" s="412" t="s">
        <v>854</v>
      </c>
      <c r="C1675" s="56">
        <v>45930</v>
      </c>
      <c r="D1675" s="43">
        <v>134</v>
      </c>
      <c r="G1675" t="s">
        <v>1399</v>
      </c>
    </row>
    <row r="1676" spans="1:7">
      <c r="A1676" s="88" t="s">
        <v>487</v>
      </c>
      <c r="B1676" s="412" t="s">
        <v>1463</v>
      </c>
      <c r="C1676" s="56">
        <v>45930</v>
      </c>
      <c r="D1676" s="156">
        <v>1253</v>
      </c>
      <c r="G1676" t="s">
        <v>1399</v>
      </c>
    </row>
    <row r="1677" spans="1:7">
      <c r="A1677" s="836" t="s">
        <v>422</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431</v>
      </c>
      <c r="B1680" s="142" t="s">
        <v>854</v>
      </c>
      <c r="C1680" s="314">
        <v>45930</v>
      </c>
      <c r="E1680" s="140">
        <v>536</v>
      </c>
      <c r="G1680" t="s">
        <v>1399</v>
      </c>
    </row>
    <row r="1681" spans="1:7">
      <c r="A1681" s="837" t="s">
        <v>425</v>
      </c>
      <c r="B1681" s="142" t="s">
        <v>854</v>
      </c>
      <c r="C1681" s="314">
        <v>45930</v>
      </c>
      <c r="E1681" s="140">
        <v>886</v>
      </c>
      <c r="G1681" t="s">
        <v>1399</v>
      </c>
    </row>
    <row r="1682" spans="1:7">
      <c r="A1682" s="135" t="s">
        <v>333</v>
      </c>
      <c r="B1682" s="308" t="s">
        <v>334</v>
      </c>
      <c r="C1682" s="56">
        <v>45930</v>
      </c>
      <c r="D1682" s="156">
        <v>1016</v>
      </c>
      <c r="G1682" t="s">
        <v>1399</v>
      </c>
    </row>
    <row r="1683" spans="1:7">
      <c r="A1683" s="837" t="s">
        <v>422</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350</v>
      </c>
      <c r="B1685" s="322" t="s">
        <v>231</v>
      </c>
      <c r="C1685" s="56">
        <v>45930</v>
      </c>
      <c r="D1685" s="43">
        <v>251</v>
      </c>
      <c r="G1685" t="s">
        <v>1399</v>
      </c>
    </row>
    <row r="1686" spans="1:7">
      <c r="A1686" s="543" t="s">
        <v>336</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422</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441</v>
      </c>
      <c r="B1692" s="765" t="s">
        <v>132</v>
      </c>
      <c r="C1692" s="56">
        <v>45931</v>
      </c>
      <c r="D1692" s="156">
        <v>1118</v>
      </c>
      <c r="G1692" t="s">
        <v>1466</v>
      </c>
    </row>
    <row r="1693" spans="1:7">
      <c r="A1693" s="135" t="s">
        <v>333</v>
      </c>
      <c r="B1693" s="142" t="s">
        <v>334</v>
      </c>
      <c r="C1693" s="56">
        <v>45931</v>
      </c>
      <c r="D1693" s="43">
        <v>312</v>
      </c>
      <c r="G1693" t="s">
        <v>1466</v>
      </c>
    </row>
    <row r="1694" spans="1:7">
      <c r="A1694" s="570" t="s">
        <v>336</v>
      </c>
      <c r="B1694" s="142" t="s">
        <v>231</v>
      </c>
      <c r="C1694" s="56">
        <v>45931</v>
      </c>
      <c r="D1694" s="43">
        <v>753</v>
      </c>
      <c r="G1694" t="s">
        <v>1466</v>
      </c>
    </row>
    <row r="1695" spans="1:7">
      <c r="A1695" s="309" t="s">
        <v>350</v>
      </c>
      <c r="B1695" s="359" t="s">
        <v>231</v>
      </c>
      <c r="C1695" s="56">
        <v>45931</v>
      </c>
      <c r="D1695" s="43">
        <v>224</v>
      </c>
      <c r="G1695" t="s">
        <v>1466</v>
      </c>
    </row>
    <row r="1696" spans="1:7">
      <c r="A1696" s="135" t="s">
        <v>386</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435</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441</v>
      </c>
      <c r="B1701" s="765" t="s">
        <v>132</v>
      </c>
      <c r="C1701" s="56">
        <v>45932</v>
      </c>
      <c r="D1701" s="156">
        <v>1472</v>
      </c>
      <c r="F1701" s="43" t="s">
        <v>1420</v>
      </c>
      <c r="G1701" t="s">
        <v>1466</v>
      </c>
    </row>
    <row r="1702" spans="1:7">
      <c r="A1702" s="838" t="s">
        <v>422</v>
      </c>
      <c r="B1702" s="142" t="s">
        <v>132</v>
      </c>
      <c r="C1702" s="56">
        <v>45932</v>
      </c>
      <c r="D1702" s="156">
        <v>1479</v>
      </c>
      <c r="F1702" s="43" t="s">
        <v>1471</v>
      </c>
      <c r="G1702" t="s">
        <v>1466</v>
      </c>
    </row>
    <row r="1703" spans="1:7">
      <c r="A1703" s="135" t="s">
        <v>333</v>
      </c>
      <c r="B1703" s="142" t="s">
        <v>334</v>
      </c>
      <c r="C1703" s="56">
        <v>45932</v>
      </c>
      <c r="D1703" s="156">
        <v>1304</v>
      </c>
      <c r="G1703" t="s">
        <v>1466</v>
      </c>
    </row>
    <row r="1704" spans="1:7">
      <c r="A1704" s="309" t="s">
        <v>902</v>
      </c>
      <c r="B1704" s="309" t="s">
        <v>854</v>
      </c>
      <c r="C1704" s="56">
        <v>45932</v>
      </c>
      <c r="D1704" s="43">
        <v>614</v>
      </c>
      <c r="G1704" t="s">
        <v>1466</v>
      </c>
    </row>
    <row r="1705" spans="1:7">
      <c r="A1705" s="570" t="s">
        <v>336</v>
      </c>
      <c r="B1705" s="142" t="s">
        <v>231</v>
      </c>
      <c r="C1705" s="56">
        <v>45932</v>
      </c>
      <c r="D1705" s="43">
        <v>305</v>
      </c>
      <c r="G1705" t="s">
        <v>1466</v>
      </c>
    </row>
    <row r="1706" spans="1:7">
      <c r="A1706" s="309" t="s">
        <v>350</v>
      </c>
      <c r="B1706" s="359" t="s">
        <v>231</v>
      </c>
      <c r="C1706" s="56">
        <v>45932</v>
      </c>
      <c r="D1706" s="43">
        <v>789</v>
      </c>
      <c r="F1706" s="43" t="s">
        <v>1472</v>
      </c>
      <c r="G1706" t="s">
        <v>1466</v>
      </c>
    </row>
    <row r="1707" spans="1:7">
      <c r="A1707" s="142" t="s">
        <v>347</v>
      </c>
      <c r="B1707" s="142" t="s">
        <v>231</v>
      </c>
      <c r="C1707" s="56">
        <v>45932</v>
      </c>
      <c r="D1707" s="43">
        <v>170</v>
      </c>
      <c r="G1707" t="s">
        <v>1466</v>
      </c>
    </row>
    <row r="1708" spans="1:7">
      <c r="A1708" s="135" t="s">
        <v>386</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333</v>
      </c>
      <c r="B1713" s="142" t="s">
        <v>334</v>
      </c>
      <c r="C1713" s="56">
        <v>45933</v>
      </c>
      <c r="D1713" s="43">
        <v>617</v>
      </c>
      <c r="G1713" t="s">
        <v>1466</v>
      </c>
    </row>
    <row r="1714" spans="1:7">
      <c r="A1714" s="309" t="s">
        <v>902</v>
      </c>
      <c r="B1714" s="309" t="s">
        <v>854</v>
      </c>
      <c r="C1714" s="56">
        <v>45933</v>
      </c>
      <c r="D1714" s="43">
        <v>486</v>
      </c>
      <c r="G1714" t="s">
        <v>1466</v>
      </c>
    </row>
    <row r="1715" spans="1:7">
      <c r="A1715" s="310" t="s">
        <v>350</v>
      </c>
      <c r="B1715" s="142" t="s">
        <v>231</v>
      </c>
      <c r="C1715" s="56">
        <v>45933</v>
      </c>
      <c r="F1715" s="43" t="s">
        <v>1475</v>
      </c>
      <c r="G1715" t="s">
        <v>1466</v>
      </c>
    </row>
    <row r="1716" spans="1:7">
      <c r="A1716" s="310" t="s">
        <v>347</v>
      </c>
      <c r="B1716" s="142" t="s">
        <v>231</v>
      </c>
      <c r="C1716" s="56">
        <v>45933</v>
      </c>
      <c r="F1716" s="43" t="s">
        <v>1475</v>
      </c>
      <c r="G1716" t="s">
        <v>1466</v>
      </c>
    </row>
    <row r="1717" spans="1:7">
      <c r="A1717" s="135" t="s">
        <v>877</v>
      </c>
      <c r="B1717" s="315" t="s">
        <v>854</v>
      </c>
      <c r="C1717" s="56">
        <v>45936</v>
      </c>
      <c r="D1717" s="43">
        <v>65</v>
      </c>
      <c r="G1717" t="s">
        <v>1466</v>
      </c>
    </row>
    <row r="1718" spans="1:7">
      <c r="A1718" s="602" t="s">
        <v>386</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435</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441</v>
      </c>
      <c r="B1723" s="142" t="s">
        <v>132</v>
      </c>
      <c r="C1723" s="56">
        <v>45936</v>
      </c>
      <c r="D1723" s="156">
        <v>1174</v>
      </c>
      <c r="G1723" t="s">
        <v>1466</v>
      </c>
    </row>
    <row r="1724" spans="1:7">
      <c r="A1724" s="135" t="s">
        <v>333</v>
      </c>
      <c r="B1724" s="142" t="s">
        <v>334</v>
      </c>
      <c r="C1724" s="56">
        <v>45936</v>
      </c>
      <c r="D1724" s="43">
        <v>768</v>
      </c>
      <c r="G1724" t="s">
        <v>1466</v>
      </c>
    </row>
    <row r="1725" spans="1:7">
      <c r="A1725" s="309" t="s">
        <v>902</v>
      </c>
      <c r="B1725" s="309" t="s">
        <v>630</v>
      </c>
      <c r="C1725" s="56">
        <v>45936</v>
      </c>
      <c r="D1725" s="43">
        <v>225</v>
      </c>
      <c r="G1725" t="s">
        <v>1466</v>
      </c>
    </row>
    <row r="1726" spans="1:7">
      <c r="A1726" s="568" t="s">
        <v>336</v>
      </c>
      <c r="B1726" s="310" t="s">
        <v>231</v>
      </c>
      <c r="C1726" s="56">
        <v>45936</v>
      </c>
      <c r="F1726" s="348" t="s">
        <v>1118</v>
      </c>
      <c r="G1726" t="s">
        <v>1466</v>
      </c>
    </row>
    <row r="1727" spans="1:7">
      <c r="A1727" s="315" t="s">
        <v>350</v>
      </c>
      <c r="B1727" s="315" t="s">
        <v>231</v>
      </c>
      <c r="C1727" s="56">
        <v>45936</v>
      </c>
      <c r="D1727" s="156">
        <v>1088</v>
      </c>
      <c r="F1727" s="43" t="s">
        <v>1470</v>
      </c>
      <c r="G1727" t="s">
        <v>1466</v>
      </c>
    </row>
    <row r="1728" spans="1:7">
      <c r="A1728" s="135" t="s">
        <v>386</v>
      </c>
      <c r="B1728" s="315" t="s">
        <v>854</v>
      </c>
      <c r="C1728" s="56">
        <v>45937</v>
      </c>
      <c r="D1728" s="43">
        <v>270</v>
      </c>
      <c r="G1728" t="s">
        <v>1466</v>
      </c>
    </row>
    <row r="1729" spans="1:7">
      <c r="A1729" s="328" t="s">
        <v>877</v>
      </c>
      <c r="B1729" s="315" t="s">
        <v>854</v>
      </c>
      <c r="C1729" s="56">
        <v>45937</v>
      </c>
      <c r="D1729" s="43">
        <v>55</v>
      </c>
      <c r="G1729" t="s">
        <v>1466</v>
      </c>
    </row>
    <row r="1730" spans="1:7">
      <c r="A1730" s="348" t="s">
        <v>435</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441</v>
      </c>
      <c r="B1733" s="142" t="s">
        <v>132</v>
      </c>
      <c r="C1733" s="314">
        <v>45937</v>
      </c>
      <c r="D1733" s="156">
        <v>1597</v>
      </c>
      <c r="F1733" s="43" t="s">
        <v>1479</v>
      </c>
      <c r="G1733" t="s">
        <v>1466</v>
      </c>
    </row>
    <row r="1734" spans="1:7">
      <c r="A1734" s="135" t="s">
        <v>333</v>
      </c>
      <c r="B1734" s="142" t="s">
        <v>334</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350</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441</v>
      </c>
      <c r="B1743" s="142" t="s">
        <v>132</v>
      </c>
      <c r="C1743" s="56">
        <v>45938</v>
      </c>
      <c r="D1743" s="43">
        <v>308</v>
      </c>
      <c r="F1743" s="43" t="s">
        <v>1482</v>
      </c>
      <c r="G1743" t="s">
        <v>1466</v>
      </c>
    </row>
    <row r="1744" spans="1:7">
      <c r="A1744" s="670" t="s">
        <v>428</v>
      </c>
      <c r="B1744" s="142" t="s">
        <v>132</v>
      </c>
      <c r="C1744" s="56">
        <v>45938</v>
      </c>
      <c r="D1744" s="43">
        <v>334</v>
      </c>
      <c r="F1744" s="43" t="s">
        <v>1416</v>
      </c>
      <c r="G1744" t="s">
        <v>1466</v>
      </c>
    </row>
    <row r="1745" spans="1:7">
      <c r="A1745" s="308" t="s">
        <v>410</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350</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441</v>
      </c>
      <c r="B1753" s="409" t="s">
        <v>132</v>
      </c>
      <c r="C1753" s="56">
        <v>45939</v>
      </c>
      <c r="F1753" s="639" t="s">
        <v>985</v>
      </c>
      <c r="G1753" t="s">
        <v>1466</v>
      </c>
    </row>
    <row r="1754" spans="1:7">
      <c r="A1754" s="149" t="s">
        <v>410</v>
      </c>
      <c r="B1754" s="116" t="s">
        <v>1280</v>
      </c>
      <c r="C1754" s="56">
        <v>45939</v>
      </c>
      <c r="F1754" s="43" t="s">
        <v>1337</v>
      </c>
      <c r="G1754" t="s">
        <v>1466</v>
      </c>
    </row>
    <row r="1755" spans="1:7">
      <c r="A1755" s="135" t="s">
        <v>333</v>
      </c>
      <c r="B1755" s="251" t="s">
        <v>334</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350</v>
      </c>
      <c r="B1758" s="321" t="s">
        <v>231</v>
      </c>
      <c r="C1758" s="56">
        <v>45939</v>
      </c>
      <c r="D1758" s="43">
        <v>369</v>
      </c>
      <c r="G1758" t="s">
        <v>1466</v>
      </c>
    </row>
    <row r="1759" spans="1:7">
      <c r="A1759" s="116" t="s">
        <v>347</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441</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435</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328</v>
      </c>
      <c r="B1766" s="348" t="s">
        <v>854</v>
      </c>
      <c r="C1766" s="56">
        <v>45940</v>
      </c>
      <c r="F1766" s="315" t="s">
        <v>1304</v>
      </c>
      <c r="G1766" t="s">
        <v>1466</v>
      </c>
    </row>
    <row r="1767" spans="1:7">
      <c r="A1767" s="319" t="s">
        <v>336</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391</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445</v>
      </c>
      <c r="B1773" s="309" t="s">
        <v>132</v>
      </c>
      <c r="C1773" s="56">
        <v>45943</v>
      </c>
      <c r="D1773" s="156">
        <v>1768</v>
      </c>
      <c r="G1773" t="s">
        <v>1466</v>
      </c>
    </row>
    <row r="1774" spans="1:7">
      <c r="A1774" s="1009" t="s">
        <v>435</v>
      </c>
      <c r="B1774" s="142" t="s">
        <v>854</v>
      </c>
      <c r="C1774" s="314">
        <v>45943</v>
      </c>
      <c r="F1774" s="43" t="s">
        <v>1491</v>
      </c>
      <c r="G1774" t="s">
        <v>1466</v>
      </c>
    </row>
    <row r="1775" spans="1:7">
      <c r="A1775" s="398" t="s">
        <v>902</v>
      </c>
      <c r="B1775" s="142" t="s">
        <v>854</v>
      </c>
      <c r="C1775" s="314">
        <v>45943</v>
      </c>
      <c r="D1775" s="43">
        <v>916</v>
      </c>
      <c r="G1775" t="s">
        <v>1466</v>
      </c>
    </row>
    <row r="1776" spans="1:7">
      <c r="A1776" s="142" t="s">
        <v>338</v>
      </c>
      <c r="B1776" s="543" t="s">
        <v>854</v>
      </c>
      <c r="C1776" s="56">
        <v>45943</v>
      </c>
      <c r="D1776" s="43">
        <v>60</v>
      </c>
      <c r="G1776" t="s">
        <v>1466</v>
      </c>
    </row>
    <row r="1777" spans="1:7">
      <c r="A1777" s="124" t="s">
        <v>871</v>
      </c>
      <c r="B1777" s="315" t="s">
        <v>854</v>
      </c>
      <c r="C1777" s="56">
        <v>45944</v>
      </c>
      <c r="D1777" s="43">
        <v>163</v>
      </c>
      <c r="G1777" t="s">
        <v>1466</v>
      </c>
    </row>
    <row r="1778" spans="1:7">
      <c r="A1778" s="637" t="s">
        <v>391</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445</v>
      </c>
      <c r="B1782" s="142" t="s">
        <v>132</v>
      </c>
      <c r="C1782" s="314">
        <v>45944</v>
      </c>
      <c r="D1782" s="43">
        <v>510</v>
      </c>
      <c r="F1782" s="43" t="s">
        <v>1493</v>
      </c>
      <c r="G1782" t="s">
        <v>1466</v>
      </c>
    </row>
    <row r="1783" spans="1:7">
      <c r="A1783" s="842" t="s">
        <v>366</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352</v>
      </c>
      <c r="B1786" s="319" t="s">
        <v>231</v>
      </c>
      <c r="C1786" s="56">
        <v>45944</v>
      </c>
      <c r="D1786" s="43">
        <v>927</v>
      </c>
      <c r="F1786" s="43" t="s">
        <v>1473</v>
      </c>
      <c r="G1786" t="s">
        <v>1466</v>
      </c>
    </row>
    <row r="1787" spans="1:7">
      <c r="A1787" s="251" t="s">
        <v>338</v>
      </c>
      <c r="B1787" s="315" t="s">
        <v>854</v>
      </c>
      <c r="C1787" s="56">
        <v>45944</v>
      </c>
      <c r="D1787" s="43">
        <v>219</v>
      </c>
      <c r="G1787" t="s">
        <v>1466</v>
      </c>
    </row>
    <row r="1788" spans="1:7">
      <c r="A1788" s="124" t="s">
        <v>871</v>
      </c>
      <c r="B1788" s="315" t="s">
        <v>854</v>
      </c>
      <c r="C1788" s="56">
        <v>45945</v>
      </c>
      <c r="D1788" s="43">
        <v>535</v>
      </c>
      <c r="G1788" t="s">
        <v>1466</v>
      </c>
    </row>
    <row r="1789" spans="1:7">
      <c r="A1789" s="637" t="s">
        <v>391</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366</v>
      </c>
      <c r="B1791" s="319" t="s">
        <v>132</v>
      </c>
      <c r="C1791" s="56">
        <v>45945</v>
      </c>
      <c r="D1791" s="156">
        <v>1312</v>
      </c>
      <c r="F1791" s="43" t="s">
        <v>1498</v>
      </c>
      <c r="G1791" t="s">
        <v>1466</v>
      </c>
    </row>
    <row r="1792" spans="1:7">
      <c r="A1792" s="1015" t="s">
        <v>437</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333</v>
      </c>
      <c r="B1794" s="315" t="s">
        <v>854</v>
      </c>
      <c r="C1794" s="56">
        <v>45945</v>
      </c>
      <c r="D1794" s="43">
        <v>986</v>
      </c>
      <c r="G1794" t="s">
        <v>1466</v>
      </c>
    </row>
    <row r="1795" spans="1:7">
      <c r="A1795" s="310" t="s">
        <v>355</v>
      </c>
      <c r="B1795" s="359" t="s">
        <v>1501</v>
      </c>
      <c r="C1795" s="56">
        <v>45945</v>
      </c>
      <c r="D1795" s="156">
        <v>1457</v>
      </c>
      <c r="F1795" s="43" t="s">
        <v>1502</v>
      </c>
      <c r="G1795" t="s">
        <v>1466</v>
      </c>
    </row>
    <row r="1796" spans="1:7">
      <c r="A1796" s="315" t="s">
        <v>352</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391</v>
      </c>
      <c r="B1799" s="142" t="s">
        <v>1457</v>
      </c>
      <c r="C1799" s="314">
        <v>45946</v>
      </c>
      <c r="D1799" s="43">
        <v>487</v>
      </c>
      <c r="F1799" s="43" t="s">
        <v>1504</v>
      </c>
      <c r="G1799" t="s">
        <v>1466</v>
      </c>
    </row>
    <row r="1800" spans="1:7">
      <c r="A1800" s="1019" t="s">
        <v>366</v>
      </c>
      <c r="B1800" s="142" t="s">
        <v>132</v>
      </c>
      <c r="C1800" s="314">
        <v>45946</v>
      </c>
      <c r="D1800" s="43">
        <v>359</v>
      </c>
      <c r="F1800" s="43" t="s">
        <v>1505</v>
      </c>
      <c r="G1800" t="s">
        <v>1466</v>
      </c>
    </row>
    <row r="1801" spans="1:7">
      <c r="A1801" s="1020" t="s">
        <v>437</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355</v>
      </c>
      <c r="B1805" s="142" t="s">
        <v>1501</v>
      </c>
      <c r="C1805" s="314">
        <v>45946</v>
      </c>
      <c r="D1805" s="156">
        <v>1142</v>
      </c>
      <c r="F1805" s="43" t="s">
        <v>1507</v>
      </c>
      <c r="G1805" t="s">
        <v>1466</v>
      </c>
    </row>
    <row r="1806" spans="1:7">
      <c r="A1806" s="308" t="s">
        <v>352</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391</v>
      </c>
      <c r="B1809" s="142" t="s">
        <v>1457</v>
      </c>
      <c r="C1809" s="56">
        <v>45947</v>
      </c>
      <c r="D1809" s="43">
        <v>123</v>
      </c>
      <c r="F1809" s="43" t="s">
        <v>1421</v>
      </c>
      <c r="G1809" t="s">
        <v>1466</v>
      </c>
    </row>
    <row r="1810" spans="1:7">
      <c r="A1810" s="710" t="s">
        <v>441</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355</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386</v>
      </c>
      <c r="B1814" s="789" t="s">
        <v>854</v>
      </c>
      <c r="C1814" s="56">
        <v>45950</v>
      </c>
      <c r="D1814" s="43">
        <v>153</v>
      </c>
      <c r="F1814" s="1039"/>
      <c r="G1814" t="s">
        <v>1466</v>
      </c>
    </row>
    <row r="1815" spans="1:7">
      <c r="A1815" s="1037" t="s">
        <v>391</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437</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336</v>
      </c>
      <c r="B1819" s="1041" t="s">
        <v>854</v>
      </c>
      <c r="C1819" s="56">
        <v>45950</v>
      </c>
      <c r="D1819" s="43">
        <v>151</v>
      </c>
      <c r="G1819" t="s">
        <v>1466</v>
      </c>
    </row>
    <row r="1820" spans="1:7">
      <c r="A1820" s="789" t="s">
        <v>355</v>
      </c>
      <c r="B1820" s="789" t="s">
        <v>1501</v>
      </c>
      <c r="C1820" s="56">
        <v>45950</v>
      </c>
      <c r="D1820" s="156">
        <v>1186</v>
      </c>
      <c r="F1820" s="43" t="s">
        <v>1340</v>
      </c>
      <c r="G1820" t="s">
        <v>1466</v>
      </c>
    </row>
    <row r="1821" spans="1:7">
      <c r="A1821" s="1038" t="s">
        <v>352</v>
      </c>
      <c r="B1821" s="1038" t="s">
        <v>231</v>
      </c>
      <c r="C1821" s="56">
        <v>45950</v>
      </c>
      <c r="D1821" s="156">
        <v>1100</v>
      </c>
      <c r="G1821" t="s">
        <v>1466</v>
      </c>
    </row>
    <row r="1822" spans="1:7">
      <c r="A1822" s="1065" t="s">
        <v>386</v>
      </c>
      <c r="B1822" s="1051" t="s">
        <v>854</v>
      </c>
      <c r="C1822" s="56">
        <v>45951</v>
      </c>
      <c r="D1822" s="156">
        <v>244</v>
      </c>
      <c r="G1822" t="s">
        <v>1466</v>
      </c>
    </row>
    <row r="1823" spans="1:7">
      <c r="A1823" s="88" t="s">
        <v>391</v>
      </c>
      <c r="B1823" s="1046" t="s">
        <v>1457</v>
      </c>
      <c r="C1823" s="56">
        <v>45951</v>
      </c>
      <c r="D1823" s="43">
        <v>413</v>
      </c>
      <c r="F1823" s="43" t="s">
        <v>934</v>
      </c>
      <c r="G1823" t="s">
        <v>1466</v>
      </c>
    </row>
    <row r="1824" spans="1:7">
      <c r="A1824" s="1047" t="s">
        <v>366</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443</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336</v>
      </c>
      <c r="B1828" s="1051" t="s">
        <v>854</v>
      </c>
      <c r="C1828" s="56">
        <v>45951</v>
      </c>
      <c r="D1828" s="43">
        <v>149</v>
      </c>
      <c r="G1828" t="s">
        <v>1466</v>
      </c>
    </row>
    <row r="1829" spans="1:7">
      <c r="A1829" s="760" t="s">
        <v>355</v>
      </c>
      <c r="B1829" s="116" t="s">
        <v>1501</v>
      </c>
      <c r="C1829" s="56">
        <v>45951</v>
      </c>
      <c r="D1829" s="156">
        <v>1564</v>
      </c>
      <c r="F1829" s="43" t="s">
        <v>1519</v>
      </c>
      <c r="G1829" t="s">
        <v>1466</v>
      </c>
    </row>
    <row r="1830" spans="1:7">
      <c r="A1830" s="43" t="s">
        <v>352</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391</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443</v>
      </c>
      <c r="B1836" s="409" t="s">
        <v>132</v>
      </c>
      <c r="C1836" s="56">
        <v>45952</v>
      </c>
      <c r="D1836" s="156">
        <v>1672</v>
      </c>
      <c r="F1836" s="43" t="s">
        <v>1523</v>
      </c>
      <c r="G1836" t="s">
        <v>1466</v>
      </c>
    </row>
    <row r="1837" spans="1:7">
      <c r="A1837" s="1016" t="s">
        <v>336</v>
      </c>
      <c r="B1837" s="1066" t="s">
        <v>854</v>
      </c>
      <c r="C1837" s="56">
        <v>45952</v>
      </c>
      <c r="F1837" s="310" t="s">
        <v>1524</v>
      </c>
      <c r="G1837" t="s">
        <v>1466</v>
      </c>
    </row>
    <row r="1838" spans="1:7">
      <c r="A1838" s="639" t="s">
        <v>355</v>
      </c>
      <c r="B1838" s="162" t="s">
        <v>1501</v>
      </c>
      <c r="C1838" s="56">
        <v>45952</v>
      </c>
      <c r="D1838" s="156">
        <v>1012</v>
      </c>
      <c r="F1838" s="43" t="s">
        <v>1525</v>
      </c>
      <c r="G1838" t="s">
        <v>1466</v>
      </c>
    </row>
    <row r="1839" spans="1:7">
      <c r="A1839" s="43" t="s">
        <v>352</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386</v>
      </c>
      <c r="B1842" s="1084" t="s">
        <v>854</v>
      </c>
      <c r="C1842" s="56">
        <v>45953</v>
      </c>
      <c r="D1842" s="43">
        <v>237</v>
      </c>
      <c r="G1842" t="s">
        <v>1466</v>
      </c>
    </row>
    <row r="1843" spans="1:7">
      <c r="A1843" s="335" t="s">
        <v>391</v>
      </c>
      <c r="B1843" s="251" t="s">
        <v>1457</v>
      </c>
      <c r="C1843" s="314">
        <v>45953</v>
      </c>
      <c r="D1843" s="43">
        <v>844</v>
      </c>
      <c r="F1843" s="43" t="s">
        <v>1527</v>
      </c>
      <c r="G1843" t="s">
        <v>1466</v>
      </c>
    </row>
    <row r="1844" spans="1:7">
      <c r="A1844" s="335" t="s">
        <v>391</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443</v>
      </c>
      <c r="B1847" s="409" t="s">
        <v>132</v>
      </c>
      <c r="C1847" s="56">
        <v>45953</v>
      </c>
      <c r="D1847" s="156">
        <v>1544</v>
      </c>
      <c r="F1847" s="43" t="s">
        <v>1531</v>
      </c>
      <c r="G1847" t="s">
        <v>1466</v>
      </c>
    </row>
    <row r="1848" spans="1:7">
      <c r="A1848" s="171" t="s">
        <v>410</v>
      </c>
      <c r="B1848" s="412" t="s">
        <v>854</v>
      </c>
      <c r="C1848" s="56">
        <v>45953</v>
      </c>
      <c r="F1848" s="315" t="s">
        <v>1337</v>
      </c>
      <c r="G1848" t="s">
        <v>1466</v>
      </c>
    </row>
    <row r="1849" spans="1:7">
      <c r="A1849" s="1016" t="s">
        <v>336</v>
      </c>
      <c r="B1849" s="1066" t="s">
        <v>854</v>
      </c>
      <c r="C1849" s="56">
        <v>45953</v>
      </c>
      <c r="F1849" s="310" t="s">
        <v>1118</v>
      </c>
      <c r="G1849" t="s">
        <v>1466</v>
      </c>
    </row>
    <row r="1850" spans="1:7">
      <c r="A1850" s="639" t="s">
        <v>355</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391</v>
      </c>
      <c r="B1854" s="251" t="s">
        <v>1457</v>
      </c>
      <c r="C1854" s="56">
        <v>45954</v>
      </c>
      <c r="D1854" s="43">
        <v>142</v>
      </c>
      <c r="F1854" s="43" t="s">
        <v>1534</v>
      </c>
      <c r="G1854" t="s">
        <v>1466</v>
      </c>
    </row>
    <row r="1855" spans="1:7">
      <c r="A1855" s="88" t="s">
        <v>391</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336</v>
      </c>
      <c r="B1857" s="1066" t="s">
        <v>854</v>
      </c>
      <c r="C1857" s="56">
        <v>45954</v>
      </c>
      <c r="F1857" s="43" t="s">
        <v>1536</v>
      </c>
      <c r="G1857" t="s">
        <v>1466</v>
      </c>
    </row>
    <row r="1858" spans="1:7">
      <c r="A1858" s="639" t="s">
        <v>353</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391</v>
      </c>
      <c r="B1861" s="251" t="s">
        <v>1457</v>
      </c>
      <c r="C1861" s="56">
        <v>45957</v>
      </c>
      <c r="F1861" s="43" t="s">
        <v>934</v>
      </c>
      <c r="G1861" t="s">
        <v>1466</v>
      </c>
    </row>
    <row r="1862" spans="1:7">
      <c r="A1862" s="88" t="s">
        <v>391</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443</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410</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353</v>
      </c>
      <c r="B1870" s="162" t="s">
        <v>1501</v>
      </c>
      <c r="C1870" s="56">
        <v>45957</v>
      </c>
      <c r="D1870" s="156">
        <v>1323</v>
      </c>
      <c r="F1870" s="43" t="s">
        <v>1544</v>
      </c>
      <c r="G1870" t="s">
        <v>1466</v>
      </c>
    </row>
    <row r="1871" spans="1:7">
      <c r="A1871" s="43" t="s">
        <v>352</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391</v>
      </c>
      <c r="B1874" s="251" t="s">
        <v>1457</v>
      </c>
      <c r="C1874" s="56">
        <v>45958</v>
      </c>
      <c r="F1874" s="324" t="s">
        <v>1118</v>
      </c>
      <c r="G1874" t="s">
        <v>1466</v>
      </c>
    </row>
    <row r="1875" spans="1:7">
      <c r="A1875" s="88" t="s">
        <v>391</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439</v>
      </c>
      <c r="B1880" s="409" t="s">
        <v>132</v>
      </c>
      <c r="C1880" s="56">
        <v>45958</v>
      </c>
      <c r="D1880" s="156">
        <v>1678</v>
      </c>
      <c r="F1880" s="43" t="s">
        <v>1549</v>
      </c>
      <c r="G1880" t="s">
        <v>1466</v>
      </c>
    </row>
    <row r="1881" spans="1:7">
      <c r="A1881" s="1067" t="s">
        <v>443</v>
      </c>
      <c r="B1881" s="409" t="s">
        <v>132</v>
      </c>
      <c r="C1881" s="56">
        <v>45958</v>
      </c>
      <c r="D1881" s="156">
        <v>115</v>
      </c>
      <c r="F1881" s="43" t="s">
        <v>1430</v>
      </c>
      <c r="G1881" t="s">
        <v>1466</v>
      </c>
    </row>
    <row r="1882" spans="1:7">
      <c r="A1882" s="171" t="s">
        <v>410</v>
      </c>
      <c r="B1882" s="171" t="s">
        <v>854</v>
      </c>
      <c r="C1882" s="56">
        <v>45958</v>
      </c>
      <c r="D1882" s="43">
        <v>60</v>
      </c>
      <c r="E1882" s="140">
        <v>886</v>
      </c>
      <c r="F1882" s="43" t="s">
        <v>1550</v>
      </c>
      <c r="G1882" t="s">
        <v>1466</v>
      </c>
    </row>
    <row r="1883" spans="1:7">
      <c r="A1883" s="639" t="s">
        <v>353</v>
      </c>
      <c r="B1883" s="162" t="s">
        <v>1501</v>
      </c>
      <c r="C1883" s="56">
        <v>45958</v>
      </c>
      <c r="D1883" s="156">
        <v>1516</v>
      </c>
      <c r="F1883" s="43" t="s">
        <v>1551</v>
      </c>
      <c r="G1883" t="s">
        <v>1466</v>
      </c>
    </row>
    <row r="1884" spans="1:7">
      <c r="A1884" s="43" t="s">
        <v>352</v>
      </c>
      <c r="B1884" s="322" t="s">
        <v>231</v>
      </c>
      <c r="C1884" s="56">
        <v>45958</v>
      </c>
      <c r="D1884" s="156">
        <v>1224</v>
      </c>
      <c r="G1884" t="s">
        <v>1466</v>
      </c>
    </row>
    <row r="1885" spans="1:7">
      <c r="A1885" s="43" t="s">
        <v>352</v>
      </c>
      <c r="B1885" s="681" t="s">
        <v>231</v>
      </c>
      <c r="C1885" s="56">
        <v>45958</v>
      </c>
      <c r="D1885" s="156">
        <v>423</v>
      </c>
      <c r="G1885" t="s">
        <v>1466</v>
      </c>
    </row>
    <row r="1886" spans="1:7">
      <c r="A1886" s="88" t="s">
        <v>83</v>
      </c>
      <c r="B1886" s="412" t="s">
        <v>854</v>
      </c>
      <c r="C1886" s="56">
        <v>45959</v>
      </c>
      <c r="D1886" s="43">
        <v>171</v>
      </c>
      <c r="G1886" t="s">
        <v>1466</v>
      </c>
    </row>
    <row r="1887" spans="1:7">
      <c r="A1887" s="88" t="s">
        <v>391</v>
      </c>
      <c r="B1887" s="251" t="s">
        <v>1457</v>
      </c>
      <c r="C1887" s="56">
        <v>45959</v>
      </c>
      <c r="F1887" s="43" t="s">
        <v>1552</v>
      </c>
      <c r="G1887" t="s">
        <v>1466</v>
      </c>
    </row>
    <row r="1888" spans="1:7">
      <c r="A1888" s="88" t="s">
        <v>391</v>
      </c>
      <c r="B1888" s="251" t="s">
        <v>1553</v>
      </c>
      <c r="C1888" s="56">
        <v>45959</v>
      </c>
      <c r="D1888" s="156">
        <v>1147</v>
      </c>
      <c r="F1888" s="43" t="s">
        <v>1554</v>
      </c>
      <c r="G1888" t="s">
        <v>1466</v>
      </c>
    </row>
    <row r="1889" spans="1:7">
      <c r="A1889" s="88" t="s">
        <v>391</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353</v>
      </c>
      <c r="B1894" s="162" t="s">
        <v>1501</v>
      </c>
      <c r="C1894" s="56">
        <v>45959</v>
      </c>
      <c r="D1894" s="43">
        <v>790</v>
      </c>
      <c r="F1894" s="43" t="s">
        <v>1558</v>
      </c>
      <c r="G1894" t="s">
        <v>1466</v>
      </c>
    </row>
    <row r="1895" spans="1:7">
      <c r="A1895" s="43" t="s">
        <v>352</v>
      </c>
      <c r="B1895" s="681" t="s">
        <v>231</v>
      </c>
      <c r="C1895" s="56">
        <v>45959</v>
      </c>
      <c r="D1895" s="43">
        <v>343</v>
      </c>
      <c r="G1895" t="s">
        <v>1466</v>
      </c>
    </row>
    <row r="1896" spans="1:7">
      <c r="A1896" s="69" t="s">
        <v>230</v>
      </c>
      <c r="B1896" s="43" t="s">
        <v>231</v>
      </c>
      <c r="C1896" s="56">
        <v>45959</v>
      </c>
      <c r="D1896" s="156">
        <v>3179</v>
      </c>
      <c r="G1896" t="s">
        <v>1466</v>
      </c>
    </row>
    <row r="1897" spans="1:7">
      <c r="A1897" s="315" t="s">
        <v>333</v>
      </c>
      <c r="B1897" s="315" t="s">
        <v>854</v>
      </c>
      <c r="C1897" s="56">
        <v>45959</v>
      </c>
      <c r="F1897" s="43" t="s">
        <v>1559</v>
      </c>
      <c r="G1897" t="s">
        <v>1466</v>
      </c>
    </row>
    <row r="1898" spans="1:7">
      <c r="A1898" s="319" t="s">
        <v>336</v>
      </c>
      <c r="B1898" s="319" t="s">
        <v>854</v>
      </c>
      <c r="C1898" s="56">
        <v>45959</v>
      </c>
      <c r="E1898" s="325">
        <v>5475</v>
      </c>
      <c r="F1898" s="43" t="s">
        <v>1560</v>
      </c>
      <c r="G1898" t="s">
        <v>1466</v>
      </c>
    </row>
    <row r="1899" spans="1:7">
      <c r="A1899" s="88" t="s">
        <v>391</v>
      </c>
      <c r="B1899" s="251" t="s">
        <v>1457</v>
      </c>
      <c r="C1899" s="56">
        <v>45960</v>
      </c>
      <c r="F1899" s="324" t="s">
        <v>1561</v>
      </c>
      <c r="G1899" t="s">
        <v>1466</v>
      </c>
    </row>
    <row r="1900" spans="1:7">
      <c r="A1900" s="88" t="s">
        <v>391</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439</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443</v>
      </c>
      <c r="B1908" s="171" t="s">
        <v>854</v>
      </c>
      <c r="C1908" s="56">
        <v>45960</v>
      </c>
      <c r="D1908" s="140"/>
      <c r="E1908" s="43">
        <v>669</v>
      </c>
      <c r="G1908" t="s">
        <v>1466</v>
      </c>
    </row>
    <row r="1909" spans="1:7">
      <c r="A1909" s="171" t="s">
        <v>445</v>
      </c>
      <c r="B1909" s="171" t="s">
        <v>132</v>
      </c>
      <c r="C1909" s="56">
        <v>45960</v>
      </c>
      <c r="D1909" s="140"/>
      <c r="E1909" s="43"/>
      <c r="F1909" s="155" t="s">
        <v>1568</v>
      </c>
      <c r="G1909" t="s">
        <v>1466</v>
      </c>
    </row>
    <row r="1910" spans="1:7">
      <c r="A1910" s="43" t="s">
        <v>352</v>
      </c>
      <c r="B1910" s="322" t="s">
        <v>231</v>
      </c>
      <c r="C1910" s="56">
        <v>45960</v>
      </c>
      <c r="E1910" s="257"/>
      <c r="F1910" s="636" t="s">
        <v>1155</v>
      </c>
      <c r="G1910" t="s">
        <v>1466</v>
      </c>
    </row>
    <row r="1911" spans="1:7">
      <c r="A1911" s="639" t="s">
        <v>353</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333</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391</v>
      </c>
      <c r="B1915" s="251" t="s">
        <v>1457</v>
      </c>
      <c r="C1915" s="56">
        <v>45961</v>
      </c>
      <c r="F1915" s="324" t="s">
        <v>1141</v>
      </c>
      <c r="G1915" t="s">
        <v>1466</v>
      </c>
    </row>
    <row r="1916" spans="1:7">
      <c r="A1916" s="88" t="s">
        <v>391</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402</v>
      </c>
      <c r="B1922" s="171" t="s">
        <v>854</v>
      </c>
      <c r="C1922" s="56">
        <v>45961</v>
      </c>
      <c r="D1922" s="43">
        <v>60</v>
      </c>
      <c r="G1922" t="s">
        <v>1466</v>
      </c>
    </row>
    <row r="1923" spans="1:7">
      <c r="A1923" s="639" t="s">
        <v>353</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391</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368</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333</v>
      </c>
      <c r="B1935" s="360" t="s">
        <v>854</v>
      </c>
      <c r="C1935" s="56">
        <v>45964</v>
      </c>
      <c r="F1935" s="43" t="s">
        <v>1311</v>
      </c>
      <c r="G1935" t="s">
        <v>1576</v>
      </c>
    </row>
    <row r="1936" spans="1:7">
      <c r="A1936" s="142" t="s">
        <v>333</v>
      </c>
      <c r="B1936" s="360" t="s">
        <v>1580</v>
      </c>
      <c r="C1936" s="56">
        <v>45964</v>
      </c>
      <c r="E1936" s="325">
        <v>3846</v>
      </c>
      <c r="F1936" s="43" t="s">
        <v>1581</v>
      </c>
      <c r="G1936" t="s">
        <v>1576</v>
      </c>
    </row>
    <row r="1937" spans="1:7">
      <c r="A1937" s="142" t="s">
        <v>333</v>
      </c>
      <c r="B1937" s="360" t="s">
        <v>334</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391</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368</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355</v>
      </c>
      <c r="B1951" s="786" t="s">
        <v>1501</v>
      </c>
      <c r="C1951" s="56">
        <v>45965</v>
      </c>
      <c r="F1951" s="1008" t="s">
        <v>999</v>
      </c>
      <c r="G1951" t="s">
        <v>1576</v>
      </c>
    </row>
    <row r="1952" spans="1:7">
      <c r="A1952" s="251" t="s">
        <v>404</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368</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338</v>
      </c>
      <c r="B1963" s="1137" t="s">
        <v>1280</v>
      </c>
      <c r="C1963" s="56">
        <v>45966</v>
      </c>
      <c r="D1963" s="43">
        <v>150</v>
      </c>
      <c r="G1963" t="s">
        <v>1576</v>
      </c>
    </row>
    <row r="1964" spans="1:7">
      <c r="A1964" s="251" t="s">
        <v>333</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368</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1155" t="s">
        <v>1593</v>
      </c>
      <c r="G1971" t="s">
        <v>1576</v>
      </c>
    </row>
    <row r="1972" spans="1:7">
      <c r="A1972" s="149" t="s">
        <v>230</v>
      </c>
      <c r="B1972" s="43" t="s">
        <v>231</v>
      </c>
      <c r="C1972" s="56">
        <v>45967</v>
      </c>
      <c r="D1972" s="43">
        <v>209</v>
      </c>
      <c r="G1972" t="s">
        <v>1576</v>
      </c>
    </row>
    <row r="1973" spans="1:7">
      <c r="A1973" s="639" t="s">
        <v>261</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42" t="s">
        <v>198</v>
      </c>
      <c r="B1977" s="142" t="s">
        <v>1584</v>
      </c>
      <c r="C1977" s="56">
        <v>45968</v>
      </c>
      <c r="G1977" t="s">
        <v>1576</v>
      </c>
    </row>
    <row r="1978" spans="1:7">
      <c r="A1978" s="308" t="s">
        <v>910</v>
      </c>
      <c r="B1978" s="308" t="s">
        <v>854</v>
      </c>
      <c r="C1978" s="56">
        <v>45968</v>
      </c>
      <c r="G1978" t="s">
        <v>1576</v>
      </c>
    </row>
    <row r="1979" spans="1:7">
      <c r="A1979" s="142" t="s">
        <v>261</v>
      </c>
      <c r="B1979" s="308" t="s">
        <v>854</v>
      </c>
      <c r="C1979" s="56">
        <v>45968</v>
      </c>
      <c r="D1979" s="43">
        <v>350</v>
      </c>
      <c r="G1979" t="s">
        <v>1576</v>
      </c>
    </row>
    <row r="1980" spans="1:7">
      <c r="A1980" s="142" t="s">
        <v>261</v>
      </c>
      <c r="B1980" s="786" t="s">
        <v>1501</v>
      </c>
      <c r="C1980" s="56">
        <v>45968</v>
      </c>
      <c r="G1980" t="s">
        <v>1576</v>
      </c>
    </row>
    <row r="1981" spans="1:7">
      <c r="A1981" s="43" t="s">
        <v>233</v>
      </c>
      <c r="B1981" s="142" t="s">
        <v>1575</v>
      </c>
      <c r="C1981" s="56">
        <v>45968</v>
      </c>
      <c r="F1981" s="1155" t="s">
        <v>1593</v>
      </c>
      <c r="G1981" t="s">
        <v>1576</v>
      </c>
    </row>
    <row r="1982" spans="1:7">
      <c r="A1982" s="251" t="s">
        <v>353</v>
      </c>
      <c r="B1982" s="786" t="s">
        <v>1501</v>
      </c>
      <c r="C1982" s="56">
        <v>45968</v>
      </c>
      <c r="F1982" s="315" t="s">
        <v>1225</v>
      </c>
      <c r="G1982" t="s">
        <v>1576</v>
      </c>
    </row>
    <row r="1983" spans="1:7">
      <c r="A1983" s="251" t="s">
        <v>350</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336</v>
      </c>
      <c r="B2" s="183" t="s">
        <v>213</v>
      </c>
      <c r="C2" s="180">
        <v>45991</v>
      </c>
      <c r="D2" s="645" t="s">
        <v>337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393</v>
      </c>
      <c r="B3" s="548" t="s">
        <v>213</v>
      </c>
      <c r="C3" s="716">
        <v>45742</v>
      </c>
      <c r="D3" s="717" t="s">
        <v>395</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397</v>
      </c>
      <c r="B5" s="421" t="s">
        <v>213</v>
      </c>
      <c r="C5" s="414">
        <v>45991</v>
      </c>
      <c r="D5" s="553" t="s">
        <v>398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331</v>
      </c>
      <c r="O6" s="367">
        <v>45718</v>
      </c>
      <c r="P6" s="30" t="s">
        <v>331</v>
      </c>
      <c r="Q6" s="345" t="s">
        <v>331</v>
      </c>
      <c r="R6" s="43" t="s">
        <v>1602</v>
      </c>
      <c r="S6" s="43" t="s">
        <v>331</v>
      </c>
      <c r="T6" s="43" t="s">
        <v>331</v>
      </c>
      <c r="U6" s="158" t="s">
        <v>331</v>
      </c>
      <c r="V6" s="69" t="s">
        <v>111</v>
      </c>
      <c r="W6" s="79"/>
      <c r="X6" s="69" t="s">
        <v>111</v>
      </c>
      <c r="Y6" t="e">
        <f>VLOOKUP(A6,#REF!,2,FALSE)</f>
        <v>#REF!</v>
      </c>
    </row>
    <row r="7" spans="1:25">
      <c r="A7" s="396" t="s">
        <v>822</v>
      </c>
      <c r="B7" s="713" t="s">
        <v>213</v>
      </c>
      <c r="C7" s="397">
        <v>45742</v>
      </c>
      <c r="D7" s="425" t="s">
        <v>343</v>
      </c>
      <c r="E7" s="540"/>
      <c r="F7" s="541"/>
      <c r="G7" s="541"/>
      <c r="H7" s="182">
        <v>60</v>
      </c>
      <c r="I7" s="184"/>
      <c r="J7" s="188" t="s">
        <v>57</v>
      </c>
      <c r="K7" s="188" t="s">
        <v>57</v>
      </c>
      <c r="L7" s="188" t="s">
        <v>63</v>
      </c>
      <c r="M7" s="196">
        <v>45716</v>
      </c>
      <c r="N7" s="30" t="s">
        <v>331</v>
      </c>
      <c r="O7" s="79" t="s">
        <v>331</v>
      </c>
      <c r="P7" s="30" t="s">
        <v>331</v>
      </c>
      <c r="Q7" s="345" t="s">
        <v>331</v>
      </c>
      <c r="R7" s="43" t="s">
        <v>1602</v>
      </c>
      <c r="S7" s="43" t="s">
        <v>331</v>
      </c>
      <c r="T7" s="43" t="s">
        <v>331</v>
      </c>
      <c r="U7" s="43" t="s">
        <v>331</v>
      </c>
      <c r="V7" s="69" t="s">
        <v>111</v>
      </c>
      <c r="W7" s="30"/>
      <c r="X7" s="69" t="s">
        <v>111</v>
      </c>
      <c r="Y7" t="e">
        <f>VLOOKUP(A7,#REF!,2,FALSE)</f>
        <v>#REF!</v>
      </c>
    </row>
    <row r="8" spans="1:25">
      <c r="A8" s="178" t="s">
        <v>400</v>
      </c>
      <c r="B8" s="183" t="s">
        <v>213</v>
      </c>
      <c r="C8" s="179">
        <v>45742</v>
      </c>
      <c r="D8" s="188" t="s">
        <v>1603</v>
      </c>
      <c r="E8" s="121"/>
      <c r="F8" s="109"/>
      <c r="G8" s="109"/>
      <c r="H8" s="182">
        <v>84</v>
      </c>
      <c r="I8" s="184"/>
      <c r="J8" s="188" t="s">
        <v>57</v>
      </c>
      <c r="K8" s="188" t="s">
        <v>57</v>
      </c>
      <c r="L8" s="188" t="s">
        <v>63</v>
      </c>
      <c r="M8" s="196">
        <v>45716</v>
      </c>
      <c r="N8" s="30" t="s">
        <v>331</v>
      </c>
      <c r="O8" s="30" t="s">
        <v>331</v>
      </c>
      <c r="P8" s="738" t="s">
        <v>331</v>
      </c>
      <c r="Q8" s="69" t="s">
        <v>331</v>
      </c>
      <c r="R8" s="43" t="s">
        <v>1602</v>
      </c>
      <c r="S8" s="43" t="s">
        <v>331</v>
      </c>
      <c r="T8" s="43" t="s">
        <v>331</v>
      </c>
      <c r="U8" s="43" t="s">
        <v>331</v>
      </c>
      <c r="V8" s="69" t="s">
        <v>111</v>
      </c>
      <c r="W8" s="30"/>
      <c r="X8" s="69" t="s">
        <v>111</v>
      </c>
      <c r="Y8" t="e">
        <f>VLOOKUP(A8,#REF!,2,FALSE)</f>
        <v>#REF!</v>
      </c>
    </row>
    <row r="9" spans="1:25">
      <c r="A9" s="178" t="s">
        <v>823</v>
      </c>
      <c r="B9" s="183" t="s">
        <v>213</v>
      </c>
      <c r="C9" s="179">
        <v>45742</v>
      </c>
      <c r="D9" s="537" t="s">
        <v>401</v>
      </c>
      <c r="E9" s="194"/>
      <c r="F9" s="139"/>
      <c r="G9" s="139"/>
      <c r="H9" s="188">
        <v>79</v>
      </c>
      <c r="I9" s="184"/>
      <c r="J9" s="188" t="s">
        <v>57</v>
      </c>
      <c r="K9" s="188" t="s">
        <v>57</v>
      </c>
      <c r="L9" s="188" t="s">
        <v>63</v>
      </c>
      <c r="M9" s="196">
        <v>45716</v>
      </c>
      <c r="N9" s="120" t="s">
        <v>331</v>
      </c>
      <c r="O9" s="54">
        <v>45718</v>
      </c>
      <c r="P9" s="120" t="s">
        <v>331</v>
      </c>
      <c r="Q9" s="69" t="s">
        <v>331</v>
      </c>
      <c r="R9" s="43" t="s">
        <v>1602</v>
      </c>
      <c r="S9" s="43" t="s">
        <v>331</v>
      </c>
      <c r="T9" s="43" t="s">
        <v>331</v>
      </c>
      <c r="U9" s="43" t="s">
        <v>331</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331</v>
      </c>
      <c r="O10" s="30" t="s">
        <v>331</v>
      </c>
      <c r="P10" s="30" t="s">
        <v>331</v>
      </c>
      <c r="Q10" s="43" t="s">
        <v>331</v>
      </c>
      <c r="R10" s="43" t="s">
        <v>1602</v>
      </c>
      <c r="S10" s="43" t="s">
        <v>331</v>
      </c>
      <c r="T10" s="43" t="s">
        <v>331</v>
      </c>
      <c r="U10" s="162" t="s">
        <v>331</v>
      </c>
      <c r="V10" s="345" t="s">
        <v>111</v>
      </c>
      <c r="W10" s="30"/>
      <c r="X10" s="69" t="s">
        <v>111</v>
      </c>
      <c r="Y10" t="e">
        <f>VLOOKUP(A10,#REF!,2,FALSE)</f>
        <v>#REF!</v>
      </c>
    </row>
    <row r="11" spans="1:25">
      <c r="A11" s="184" t="s">
        <v>341</v>
      </c>
      <c r="B11" s="436" t="s">
        <v>213</v>
      </c>
      <c r="C11" s="179">
        <v>45991</v>
      </c>
      <c r="D11" s="552" t="s">
        <v>343</v>
      </c>
      <c r="E11" s="121">
        <v>31</v>
      </c>
      <c r="F11" s="109"/>
      <c r="G11" s="109"/>
      <c r="H11" s="188">
        <v>31</v>
      </c>
      <c r="I11" s="184"/>
      <c r="J11" s="188" t="s">
        <v>57</v>
      </c>
      <c r="K11" s="188" t="s">
        <v>57</v>
      </c>
      <c r="L11" s="188" t="s">
        <v>63</v>
      </c>
      <c r="M11" s="198">
        <v>45716</v>
      </c>
      <c r="N11" s="30" t="s">
        <v>64</v>
      </c>
      <c r="O11" s="54">
        <v>45716</v>
      </c>
      <c r="P11" s="87" t="s">
        <v>331</v>
      </c>
      <c r="Q11" s="69" t="s">
        <v>331</v>
      </c>
      <c r="R11" s="43" t="s">
        <v>1602</v>
      </c>
      <c r="S11" s="43" t="s">
        <v>331</v>
      </c>
      <c r="T11" s="43" t="s">
        <v>331</v>
      </c>
      <c r="U11" s="345" t="s">
        <v>111</v>
      </c>
      <c r="V11" s="69" t="s">
        <v>111</v>
      </c>
      <c r="W11" s="30"/>
      <c r="X11" s="43"/>
    </row>
    <row r="12" spans="1:25">
      <c r="A12" s="178" t="s">
        <v>344</v>
      </c>
      <c r="B12" s="183" t="s">
        <v>213</v>
      </c>
      <c r="C12" s="179">
        <v>45772</v>
      </c>
      <c r="D12" s="202" t="s">
        <v>343</v>
      </c>
      <c r="E12" s="194"/>
      <c r="F12" s="139"/>
      <c r="G12" s="139"/>
      <c r="H12" s="188">
        <v>31</v>
      </c>
      <c r="I12" s="184"/>
      <c r="J12" s="188" t="s">
        <v>57</v>
      </c>
      <c r="K12" s="188" t="s">
        <v>57</v>
      </c>
      <c r="L12" s="188" t="s">
        <v>63</v>
      </c>
      <c r="M12" s="196">
        <v>45716</v>
      </c>
      <c r="N12" s="30" t="s">
        <v>64</v>
      </c>
      <c r="O12" s="54">
        <v>45716</v>
      </c>
      <c r="P12" s="87" t="s">
        <v>331</v>
      </c>
      <c r="Q12" s="69" t="s">
        <v>331</v>
      </c>
      <c r="R12" s="43" t="s">
        <v>1602</v>
      </c>
      <c r="S12" s="43" t="s">
        <v>331</v>
      </c>
      <c r="T12" s="43" t="s">
        <v>331</v>
      </c>
      <c r="U12" s="69" t="s">
        <v>111</v>
      </c>
      <c r="V12" s="69" t="s">
        <v>111</v>
      </c>
      <c r="W12" s="30"/>
      <c r="X12" s="69" t="s">
        <v>111</v>
      </c>
      <c r="Y12" t="e">
        <f>VLOOKUP(A12,#REF!,2,FALSE)</f>
        <v>#REF!</v>
      </c>
    </row>
    <row r="13" spans="1:25">
      <c r="A13" s="181" t="s">
        <v>269</v>
      </c>
      <c r="B13" s="183" t="s">
        <v>213</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347</v>
      </c>
      <c r="B14" s="183" t="s">
        <v>213</v>
      </c>
      <c r="C14" s="180">
        <v>45991</v>
      </c>
      <c r="D14" s="424" t="s">
        <v>348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331</v>
      </c>
      <c r="O16" s="54" t="s">
        <v>1605</v>
      </c>
      <c r="P16" s="30" t="s">
        <v>331</v>
      </c>
      <c r="Q16" s="69" t="s">
        <v>331</v>
      </c>
      <c r="R16" s="43" t="s">
        <v>331</v>
      </c>
      <c r="S16" s="43" t="s">
        <v>56</v>
      </c>
      <c r="T16" s="43" t="s">
        <v>331</v>
      </c>
      <c r="U16" s="69" t="s">
        <v>111</v>
      </c>
      <c r="V16" s="69" t="s">
        <v>111</v>
      </c>
      <c r="W16" s="30"/>
      <c r="X16" s="69" t="s">
        <v>111</v>
      </c>
      <c r="Y16" t="e">
        <f>VLOOKUP(A16,#REF!,2,FALSE)</f>
        <v>#REF!</v>
      </c>
    </row>
    <row r="17" spans="1:25">
      <c r="A17" s="181" t="s">
        <v>402</v>
      </c>
      <c r="B17" s="183" t="s">
        <v>213</v>
      </c>
      <c r="C17" s="180">
        <v>45991</v>
      </c>
      <c r="D17" s="741" t="s">
        <v>403</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111</v>
      </c>
      <c r="V17" s="69" t="s">
        <v>111</v>
      </c>
      <c r="W17" s="30"/>
      <c r="X17" s="43"/>
    </row>
    <row r="18" spans="1:25">
      <c r="A18" s="181" t="s">
        <v>404</v>
      </c>
      <c r="B18" s="183" t="s">
        <v>213</v>
      </c>
      <c r="C18" s="423">
        <v>45991</v>
      </c>
      <c r="D18" s="424" t="s">
        <v>405</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519</v>
      </c>
      <c r="B29" s="178" t="s">
        <v>109</v>
      </c>
      <c r="C29" s="179">
        <v>45711</v>
      </c>
      <c r="D29" s="202" t="s">
        <v>346</v>
      </c>
      <c r="E29" s="728"/>
      <c r="F29" s="732"/>
      <c r="G29" s="732"/>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331</v>
      </c>
      <c r="O31" s="54">
        <v>45707</v>
      </c>
      <c r="P31" s="87" t="s">
        <v>331</v>
      </c>
      <c r="Q31" s="43" t="s">
        <v>331</v>
      </c>
      <c r="R31" s="43" t="s">
        <v>1602</v>
      </c>
      <c r="S31" s="43" t="s">
        <v>331</v>
      </c>
      <c r="T31" s="140" t="s">
        <v>331</v>
      </c>
      <c r="U31" s="116" t="s">
        <v>331</v>
      </c>
      <c r="V31" s="69" t="s">
        <v>331</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331</v>
      </c>
      <c r="O32" s="54">
        <v>45756</v>
      </c>
      <c r="P32" s="30" t="s">
        <v>331</v>
      </c>
      <c r="Q32" s="69" t="s">
        <v>331</v>
      </c>
      <c r="R32" s="69" t="s">
        <v>1602</v>
      </c>
      <c r="S32" s="43" t="s">
        <v>331</v>
      </c>
      <c r="T32" s="140" t="s">
        <v>331</v>
      </c>
      <c r="U32" s="43" t="s">
        <v>331</v>
      </c>
      <c r="V32" s="69" t="s">
        <v>331</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331</v>
      </c>
      <c r="O33" s="125">
        <v>45749</v>
      </c>
      <c r="P33" s="30" t="s">
        <v>331</v>
      </c>
      <c r="Q33" s="69" t="s">
        <v>331</v>
      </c>
      <c r="R33" s="69" t="s">
        <v>1602</v>
      </c>
      <c r="S33" s="43" t="s">
        <v>331</v>
      </c>
      <c r="T33" s="140" t="s">
        <v>331</v>
      </c>
      <c r="U33" s="43" t="s">
        <v>331</v>
      </c>
      <c r="V33" s="345" t="s">
        <v>331</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331</v>
      </c>
      <c r="O34" s="125">
        <v>45750</v>
      </c>
      <c r="P34" s="30" t="s">
        <v>331</v>
      </c>
      <c r="Q34" s="69" t="s">
        <v>331</v>
      </c>
      <c r="R34" s="69" t="s">
        <v>1602</v>
      </c>
      <c r="S34" s="43" t="s">
        <v>331</v>
      </c>
      <c r="T34" s="140" t="s">
        <v>331</v>
      </c>
      <c r="U34" s="43" t="s">
        <v>331</v>
      </c>
      <c r="V34" s="418" t="s">
        <v>331</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331</v>
      </c>
      <c r="O35" s="125">
        <v>45659</v>
      </c>
      <c r="P35" s="87" t="s">
        <v>331</v>
      </c>
      <c r="Q35" s="43" t="s">
        <v>331</v>
      </c>
      <c r="R35" s="43" t="s">
        <v>1602</v>
      </c>
      <c r="S35" s="43" t="s">
        <v>331</v>
      </c>
      <c r="T35" s="140" t="s">
        <v>331</v>
      </c>
      <c r="U35" s="171" t="s">
        <v>331</v>
      </c>
      <c r="V35" s="69" t="s">
        <v>331</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331</v>
      </c>
      <c r="O36" s="125">
        <v>45659</v>
      </c>
      <c r="P36" s="87" t="s">
        <v>331</v>
      </c>
      <c r="Q36" s="43" t="s">
        <v>331</v>
      </c>
      <c r="R36" s="43" t="s">
        <v>1602</v>
      </c>
      <c r="S36" s="43" t="s">
        <v>331</v>
      </c>
      <c r="T36" s="140" t="s">
        <v>331</v>
      </c>
      <c r="U36" s="43" t="s">
        <v>331</v>
      </c>
      <c r="V36" s="69" t="s">
        <v>331</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331</v>
      </c>
      <c r="N37" s="30" t="s">
        <v>331</v>
      </c>
      <c r="O37" s="125">
        <v>45672</v>
      </c>
      <c r="P37" s="30" t="s">
        <v>331</v>
      </c>
      <c r="Q37" s="43" t="s">
        <v>331</v>
      </c>
      <c r="R37" s="43" t="s">
        <v>1602</v>
      </c>
      <c r="S37" s="43" t="s">
        <v>331</v>
      </c>
      <c r="T37" s="43" t="s">
        <v>331</v>
      </c>
      <c r="U37" s="171" t="s">
        <v>331</v>
      </c>
      <c r="V37" s="69" t="s">
        <v>331</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331</v>
      </c>
      <c r="O38" s="125">
        <v>45673</v>
      </c>
      <c r="P38" s="30" t="s">
        <v>331</v>
      </c>
      <c r="Q38" s="43" t="s">
        <v>331</v>
      </c>
      <c r="R38" s="43" t="s">
        <v>1602</v>
      </c>
      <c r="S38" s="43" t="s">
        <v>331</v>
      </c>
      <c r="T38" s="43" t="s">
        <v>331</v>
      </c>
      <c r="U38" s="171" t="s">
        <v>331</v>
      </c>
      <c r="V38" s="69" t="s">
        <v>331</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331</v>
      </c>
      <c r="N39" s="30" t="s">
        <v>331</v>
      </c>
      <c r="O39" s="125">
        <v>45672</v>
      </c>
      <c r="P39" s="30" t="s">
        <v>331</v>
      </c>
      <c r="Q39" s="43" t="s">
        <v>331</v>
      </c>
      <c r="R39" s="43" t="s">
        <v>1602</v>
      </c>
      <c r="S39" s="43" t="s">
        <v>331</v>
      </c>
      <c r="T39" s="43" t="s">
        <v>331</v>
      </c>
      <c r="U39" s="171" t="s">
        <v>331</v>
      </c>
      <c r="V39" s="69" t="s">
        <v>331</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1604</v>
      </c>
    </row>
    <row r="50" spans="1:56">
      <c r="A50" s="181" t="s">
        <v>728</v>
      </c>
      <c r="B50" s="178" t="s">
        <v>109</v>
      </c>
      <c r="C50" s="423">
        <v>45899</v>
      </c>
      <c r="D50" s="380" t="s">
        <v>417</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331</v>
      </c>
      <c r="O57" s="125">
        <v>45783</v>
      </c>
      <c r="P57" s="332" t="s">
        <v>331</v>
      </c>
      <c r="Q57" s="43" t="s">
        <v>331</v>
      </c>
      <c r="R57" s="43" t="s">
        <v>1602</v>
      </c>
      <c r="S57" s="43" t="s">
        <v>331</v>
      </c>
      <c r="T57" s="43" t="s">
        <v>331</v>
      </c>
      <c r="U57" s="43" t="s">
        <v>331</v>
      </c>
      <c r="V57" s="69" t="s">
        <v>331</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331</v>
      </c>
      <c r="O58" s="54">
        <v>45776</v>
      </c>
      <c r="P58" s="332" t="s">
        <v>331</v>
      </c>
      <c r="Q58" s="43" t="s">
        <v>331</v>
      </c>
      <c r="R58" s="43" t="s">
        <v>1602</v>
      </c>
      <c r="S58" s="43" t="s">
        <v>331</v>
      </c>
      <c r="T58" s="43" t="s">
        <v>331</v>
      </c>
      <c r="U58" s="43" t="s">
        <v>331</v>
      </c>
      <c r="V58" s="345" t="s">
        <v>331</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331</v>
      </c>
      <c r="O59" s="30" t="s">
        <v>77</v>
      </c>
      <c r="P59" s="332" t="s">
        <v>331</v>
      </c>
      <c r="Q59" s="43" t="s">
        <v>331</v>
      </c>
      <c r="R59" s="43" t="s">
        <v>1602</v>
      </c>
      <c r="S59" s="43" t="s">
        <v>331</v>
      </c>
      <c r="T59" s="43" t="s">
        <v>331</v>
      </c>
      <c r="U59" s="43" t="s">
        <v>331</v>
      </c>
      <c r="V59" s="345" t="s">
        <v>331</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331</v>
      </c>
      <c r="O60" s="54">
        <v>45812</v>
      </c>
      <c r="P60" s="332" t="s">
        <v>331</v>
      </c>
      <c r="Q60" s="43" t="s">
        <v>331</v>
      </c>
      <c r="R60" s="43" t="s">
        <v>1602</v>
      </c>
      <c r="S60" s="43" t="s">
        <v>331</v>
      </c>
      <c r="T60" s="43" t="s">
        <v>331</v>
      </c>
      <c r="U60" s="43" t="s">
        <v>331</v>
      </c>
      <c r="V60" s="345" t="s">
        <v>331</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331</v>
      </c>
      <c r="N68" s="87" t="s">
        <v>331</v>
      </c>
      <c r="O68" s="87" t="s">
        <v>331</v>
      </c>
      <c r="P68" s="332" t="s">
        <v>331</v>
      </c>
      <c r="Q68" s="43" t="s">
        <v>331</v>
      </c>
      <c r="R68" s="43" t="s">
        <v>331</v>
      </c>
      <c r="S68" s="43" t="s">
        <v>56</v>
      </c>
      <c r="T68" s="43" t="s">
        <v>331</v>
      </c>
      <c r="U68" s="43" t="s">
        <v>331</v>
      </c>
      <c r="V68" s="345" t="s">
        <v>331</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109</v>
      </c>
      <c r="C73" s="186">
        <v>45838</v>
      </c>
      <c r="D73" s="640" t="s">
        <v>371</v>
      </c>
      <c r="E73" s="755"/>
      <c r="F73" s="756"/>
      <c r="G73" s="756"/>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331</v>
      </c>
      <c r="N81" s="87" t="s">
        <v>331</v>
      </c>
      <c r="O81" s="125">
        <v>45678</v>
      </c>
      <c r="P81" s="87" t="s">
        <v>331</v>
      </c>
      <c r="Q81" s="43" t="s">
        <v>331</v>
      </c>
      <c r="R81" s="43" t="s">
        <v>1602</v>
      </c>
      <c r="S81" s="43" t="s">
        <v>331</v>
      </c>
      <c r="T81" s="43" t="s">
        <v>331</v>
      </c>
      <c r="U81" s="116" t="s">
        <v>331</v>
      </c>
      <c r="V81" s="69" t="s">
        <v>331</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1602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398</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331</v>
      </c>
      <c r="O84" s="54">
        <v>45728</v>
      </c>
      <c r="P84" s="30" t="s">
        <v>331</v>
      </c>
      <c r="Q84" s="171" t="s">
        <v>331</v>
      </c>
      <c r="R84" s="171" t="s">
        <v>1602</v>
      </c>
      <c r="S84" s="171" t="s">
        <v>331</v>
      </c>
      <c r="T84" s="171" t="s">
        <v>331</v>
      </c>
      <c r="U84" s="92" t="s">
        <v>331</v>
      </c>
      <c r="V84" s="69" t="s">
        <v>331</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331</v>
      </c>
      <c r="O85" s="54">
        <v>45719</v>
      </c>
      <c r="P85" s="30" t="s">
        <v>331</v>
      </c>
      <c r="Q85" s="43" t="s">
        <v>331</v>
      </c>
      <c r="R85" s="171" t="s">
        <v>1602</v>
      </c>
      <c r="S85" s="171" t="s">
        <v>331</v>
      </c>
      <c r="T85" s="171" t="s">
        <v>331</v>
      </c>
      <c r="U85" s="92" t="s">
        <v>331</v>
      </c>
      <c r="V85" s="92" t="s">
        <v>331</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331</v>
      </c>
      <c r="O86" s="198">
        <v>45728</v>
      </c>
      <c r="P86" s="30" t="s">
        <v>331</v>
      </c>
      <c r="Q86" s="43" t="s">
        <v>331</v>
      </c>
      <c r="R86" s="43" t="s">
        <v>1602</v>
      </c>
      <c r="S86" s="43" t="s">
        <v>331</v>
      </c>
      <c r="T86" s="43" t="s">
        <v>331</v>
      </c>
      <c r="U86" s="69" t="s">
        <v>331</v>
      </c>
      <c r="V86" s="69" t="s">
        <v>331</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331</v>
      </c>
      <c r="O87" s="30" t="s">
        <v>331</v>
      </c>
      <c r="P87" s="30" t="s">
        <v>331</v>
      </c>
      <c r="Q87" s="43" t="s">
        <v>331</v>
      </c>
      <c r="R87" s="43" t="s">
        <v>1602</v>
      </c>
      <c r="S87" s="43" t="s">
        <v>331</v>
      </c>
      <c r="T87" s="43" t="s">
        <v>331</v>
      </c>
      <c r="U87" s="158" t="s">
        <v>331</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331</v>
      </c>
      <c r="O88" s="54">
        <v>45728</v>
      </c>
      <c r="P88" s="30" t="s">
        <v>331</v>
      </c>
      <c r="Q88" s="43" t="s">
        <v>331</v>
      </c>
      <c r="R88" s="43" t="s">
        <v>1602</v>
      </c>
      <c r="S88" s="43" t="s">
        <v>331</v>
      </c>
      <c r="T88" s="43" t="s">
        <v>331</v>
      </c>
      <c r="U88" s="158" t="s">
        <v>331</v>
      </c>
      <c r="V88" s="158" t="s">
        <v>331</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331</v>
      </c>
      <c r="O89" s="54">
        <v>45722</v>
      </c>
      <c r="P89" s="30" t="s">
        <v>331</v>
      </c>
      <c r="Q89" s="69" t="s">
        <v>331</v>
      </c>
      <c r="R89" s="43" t="s">
        <v>1602</v>
      </c>
      <c r="S89" s="69" t="s">
        <v>331</v>
      </c>
      <c r="T89" s="69" t="s">
        <v>331</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331</v>
      </c>
      <c r="O90" s="54">
        <v>45727</v>
      </c>
      <c r="P90" s="30" t="s">
        <v>331</v>
      </c>
      <c r="Q90" s="69" t="s">
        <v>331</v>
      </c>
      <c r="R90" s="43" t="s">
        <v>1602</v>
      </c>
      <c r="S90" s="69" t="s">
        <v>331</v>
      </c>
      <c r="T90" s="69" t="s">
        <v>331</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331</v>
      </c>
      <c r="O91" s="54">
        <v>45723</v>
      </c>
      <c r="P91" s="30" t="s">
        <v>331</v>
      </c>
      <c r="Q91" s="69" t="s">
        <v>331</v>
      </c>
      <c r="R91" s="43" t="s">
        <v>1602</v>
      </c>
      <c r="S91" s="69" t="s">
        <v>331</v>
      </c>
      <c r="T91" s="69" t="s">
        <v>331</v>
      </c>
      <c r="U91" s="69" t="s">
        <v>331</v>
      </c>
      <c r="V91" s="69" t="s">
        <v>331</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331</v>
      </c>
      <c r="O92" s="54">
        <v>45726</v>
      </c>
      <c r="P92" s="30" t="s">
        <v>331</v>
      </c>
      <c r="Q92" s="149" t="s">
        <v>331</v>
      </c>
      <c r="R92" s="43" t="s">
        <v>1602</v>
      </c>
      <c r="S92" s="69" t="s">
        <v>331</v>
      </c>
      <c r="T92" s="69" t="s">
        <v>331</v>
      </c>
      <c r="U92" s="345" t="s">
        <v>331</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331</v>
      </c>
      <c r="O93" s="54">
        <v>45727</v>
      </c>
      <c r="P93" s="79" t="s">
        <v>331</v>
      </c>
      <c r="Q93" s="43" t="s">
        <v>331</v>
      </c>
      <c r="R93" s="43" t="s">
        <v>1602</v>
      </c>
      <c r="S93" s="43" t="s">
        <v>331</v>
      </c>
      <c r="T93" s="43" t="s">
        <v>331</v>
      </c>
      <c r="U93" s="345" t="s">
        <v>331</v>
      </c>
      <c r="V93" s="69" t="s">
        <v>331</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331</v>
      </c>
      <c r="O94" s="54">
        <v>45693</v>
      </c>
      <c r="P94" s="79" t="s">
        <v>331</v>
      </c>
      <c r="Q94" s="69" t="s">
        <v>331</v>
      </c>
      <c r="R94" s="69" t="s">
        <v>1602</v>
      </c>
      <c r="S94" s="69" t="s">
        <v>331</v>
      </c>
      <c r="T94" s="69" t="s">
        <v>331</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331</v>
      </c>
      <c r="O95" s="198">
        <v>45694</v>
      </c>
      <c r="P95" s="79" t="s">
        <v>331</v>
      </c>
      <c r="Q95" s="69" t="s">
        <v>331</v>
      </c>
      <c r="R95" s="69" t="s">
        <v>1602</v>
      </c>
      <c r="S95" s="69" t="s">
        <v>331</v>
      </c>
      <c r="T95" s="43" t="s">
        <v>331</v>
      </c>
      <c r="U95" s="69" t="s">
        <v>331</v>
      </c>
      <c r="V95" s="69" t="s">
        <v>331</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331</v>
      </c>
      <c r="O96" s="54">
        <v>45694</v>
      </c>
      <c r="P96" s="30" t="s">
        <v>331</v>
      </c>
      <c r="Q96" s="69" t="s">
        <v>331</v>
      </c>
      <c r="R96" s="92" t="s">
        <v>1602</v>
      </c>
      <c r="S96" s="69" t="s">
        <v>331</v>
      </c>
      <c r="T96" s="69" t="s">
        <v>331</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331</v>
      </c>
      <c r="O97" s="54">
        <v>45688</v>
      </c>
      <c r="P97" s="30" t="s">
        <v>331</v>
      </c>
      <c r="Q97" s="69" t="s">
        <v>331</v>
      </c>
      <c r="R97" s="69" t="s">
        <v>1602</v>
      </c>
      <c r="S97" s="69" t="s">
        <v>331</v>
      </c>
      <c r="T97" s="69" t="s">
        <v>331</v>
      </c>
      <c r="U97" s="69" t="s">
        <v>331</v>
      </c>
      <c r="V97" s="43" t="s">
        <v>331</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331</v>
      </c>
      <c r="O98" s="54">
        <v>45692</v>
      </c>
      <c r="P98" s="30" t="s">
        <v>331</v>
      </c>
      <c r="Q98" s="43" t="s">
        <v>331</v>
      </c>
      <c r="R98" s="43" t="s">
        <v>1602</v>
      </c>
      <c r="S98" s="43" t="s">
        <v>331</v>
      </c>
      <c r="T98" s="43" t="s">
        <v>331</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331</v>
      </c>
      <c r="O99" s="54">
        <v>45692</v>
      </c>
      <c r="P99" s="30" t="s">
        <v>331</v>
      </c>
      <c r="Q99" s="43" t="s">
        <v>331</v>
      </c>
      <c r="R99" s="43" t="s">
        <v>1602</v>
      </c>
      <c r="S99" s="43" t="s">
        <v>331</v>
      </c>
      <c r="T99" s="116" t="s">
        <v>331</v>
      </c>
      <c r="U99" s="149" t="s">
        <v>331</v>
      </c>
      <c r="V99" s="69" t="s">
        <v>331</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331</v>
      </c>
      <c r="O100" s="168">
        <v>45691</v>
      </c>
      <c r="P100" s="30" t="s">
        <v>331</v>
      </c>
      <c r="Q100" s="43" t="s">
        <v>331</v>
      </c>
      <c r="R100" s="43" t="s">
        <v>1602</v>
      </c>
      <c r="S100" s="43" t="s">
        <v>331</v>
      </c>
      <c r="T100" s="43" t="s">
        <v>331</v>
      </c>
      <c r="U100" s="69" t="s">
        <v>331</v>
      </c>
      <c r="V100" s="158" t="s">
        <v>331</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331</v>
      </c>
      <c r="O101" s="54">
        <v>45695</v>
      </c>
      <c r="P101" s="30" t="s">
        <v>331</v>
      </c>
      <c r="Q101" s="43" t="s">
        <v>331</v>
      </c>
      <c r="R101" s="43" t="s">
        <v>1602</v>
      </c>
      <c r="S101" s="43" t="s">
        <v>331</v>
      </c>
      <c r="T101" s="43" t="s">
        <v>331</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331</v>
      </c>
      <c r="N102" s="30" t="s">
        <v>331</v>
      </c>
      <c r="O102" s="54">
        <v>45699</v>
      </c>
      <c r="P102" s="87" t="s">
        <v>331</v>
      </c>
      <c r="Q102" s="88" t="s">
        <v>331</v>
      </c>
      <c r="R102" s="43" t="s">
        <v>1602</v>
      </c>
      <c r="S102" s="43" t="s">
        <v>331</v>
      </c>
      <c r="T102" s="43" t="s">
        <v>331</v>
      </c>
      <c r="U102" s="43" t="s">
        <v>331</v>
      </c>
      <c r="V102" s="166" t="s">
        <v>331</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331</v>
      </c>
      <c r="O103" s="54">
        <v>45675</v>
      </c>
      <c r="P103" s="87" t="s">
        <v>331</v>
      </c>
      <c r="Q103" s="43" t="s">
        <v>331</v>
      </c>
      <c r="R103" s="43" t="s">
        <v>1602</v>
      </c>
      <c r="S103" s="43" t="s">
        <v>331</v>
      </c>
      <c r="T103" s="43" t="s">
        <v>331</v>
      </c>
      <c r="U103" s="43" t="s">
        <v>331</v>
      </c>
      <c r="V103" s="140" t="s">
        <v>331</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331</v>
      </c>
      <c r="N104" s="120" t="s">
        <v>331</v>
      </c>
      <c r="O104" s="54">
        <v>45675</v>
      </c>
      <c r="P104" s="217" t="s">
        <v>331</v>
      </c>
      <c r="Q104" s="43" t="s">
        <v>331</v>
      </c>
      <c r="R104" s="43" t="s">
        <v>1602</v>
      </c>
      <c r="S104" s="43" t="s">
        <v>331</v>
      </c>
      <c r="T104" s="43" t="s">
        <v>331</v>
      </c>
      <c r="U104" s="43" t="s">
        <v>331</v>
      </c>
      <c r="V104" s="140" t="s">
        <v>331</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331</v>
      </c>
      <c r="O105" s="54">
        <v>45743</v>
      </c>
      <c r="P105" s="87" t="s">
        <v>331</v>
      </c>
      <c r="Q105" s="158" t="s">
        <v>331</v>
      </c>
      <c r="R105" s="69" t="s">
        <v>1602</v>
      </c>
      <c r="S105" s="43" t="s">
        <v>331</v>
      </c>
      <c r="T105" s="43" t="s">
        <v>331</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331</v>
      </c>
      <c r="O106" s="54">
        <v>45679</v>
      </c>
      <c r="P106" s="87" t="s">
        <v>331</v>
      </c>
      <c r="Q106" s="43" t="s">
        <v>331</v>
      </c>
      <c r="R106" s="43" t="s">
        <v>1602</v>
      </c>
      <c r="S106" s="43" t="s">
        <v>331</v>
      </c>
      <c r="T106" s="43" t="s">
        <v>331</v>
      </c>
      <c r="U106" s="43" t="s">
        <v>331</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331</v>
      </c>
      <c r="O107" s="54">
        <v>45749</v>
      </c>
      <c r="P107" s="30" t="s">
        <v>331</v>
      </c>
      <c r="Q107" s="43" t="s">
        <v>331</v>
      </c>
      <c r="R107" s="43" t="s">
        <v>1602</v>
      </c>
      <c r="S107" s="43" t="s">
        <v>331</v>
      </c>
      <c r="T107" s="43" t="s">
        <v>331</v>
      </c>
      <c r="U107" s="43" t="s">
        <v>331</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331</v>
      </c>
      <c r="O108" s="54">
        <v>45749</v>
      </c>
      <c r="P108" s="30" t="s">
        <v>331</v>
      </c>
      <c r="Q108" s="43" t="s">
        <v>331</v>
      </c>
      <c r="R108" s="345" t="s">
        <v>1602</v>
      </c>
      <c r="S108" s="43" t="s">
        <v>331</v>
      </c>
      <c r="T108" s="43" t="s">
        <v>331</v>
      </c>
      <c r="U108" s="88" t="s">
        <v>331</v>
      </c>
      <c r="V108" s="495" t="s">
        <v>331</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331</v>
      </c>
      <c r="O109" s="54">
        <v>45744</v>
      </c>
      <c r="P109" s="79" t="s">
        <v>331</v>
      </c>
      <c r="Q109" s="43" t="s">
        <v>331</v>
      </c>
      <c r="R109" s="345" t="s">
        <v>1602</v>
      </c>
      <c r="S109" s="43" t="s">
        <v>331</v>
      </c>
      <c r="T109" s="43" t="s">
        <v>331</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331</v>
      </c>
      <c r="O110" s="54">
        <v>45691</v>
      </c>
      <c r="P110" s="79" t="s">
        <v>331</v>
      </c>
      <c r="Q110" s="43" t="s">
        <v>331</v>
      </c>
      <c r="R110" s="345" t="s">
        <v>1602</v>
      </c>
      <c r="S110" s="43" t="s">
        <v>331</v>
      </c>
      <c r="T110" s="43" t="s">
        <v>331</v>
      </c>
      <c r="U110" s="88" t="s">
        <v>331</v>
      </c>
      <c r="V110" s="495" t="s">
        <v>331</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331</v>
      </c>
      <c r="O111" s="54">
        <v>45708</v>
      </c>
      <c r="P111" s="30" t="s">
        <v>331</v>
      </c>
      <c r="Q111" s="171" t="s">
        <v>331</v>
      </c>
      <c r="R111" s="69" t="s">
        <v>1602</v>
      </c>
      <c r="S111" s="43" t="s">
        <v>331</v>
      </c>
      <c r="T111" s="43" t="s">
        <v>331</v>
      </c>
      <c r="U111" s="43" t="s">
        <v>331</v>
      </c>
      <c r="V111" s="204" t="s">
        <v>331</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331</v>
      </c>
      <c r="O112" s="168">
        <v>45744</v>
      </c>
      <c r="P112" s="115" t="s">
        <v>331</v>
      </c>
      <c r="Q112" s="116" t="s">
        <v>331</v>
      </c>
      <c r="R112" s="149" t="s">
        <v>1602</v>
      </c>
      <c r="S112" s="43" t="s">
        <v>331</v>
      </c>
      <c r="T112" s="43" t="s">
        <v>331</v>
      </c>
      <c r="U112" s="43" t="s">
        <v>331</v>
      </c>
      <c r="V112" s="204" t="s">
        <v>331</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331</v>
      </c>
      <c r="O113" s="168">
        <v>45755</v>
      </c>
      <c r="P113" s="115" t="s">
        <v>331</v>
      </c>
      <c r="Q113" s="116" t="s">
        <v>331</v>
      </c>
      <c r="R113" s="149" t="s">
        <v>1602</v>
      </c>
      <c r="S113" s="116" t="s">
        <v>331</v>
      </c>
      <c r="T113" s="43" t="s">
        <v>331</v>
      </c>
      <c r="U113" s="43" t="s">
        <v>331</v>
      </c>
      <c r="V113" s="204" t="s">
        <v>331</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331</v>
      </c>
      <c r="O114" s="54">
        <v>45747</v>
      </c>
      <c r="P114" s="115" t="s">
        <v>331</v>
      </c>
      <c r="Q114" s="116" t="s">
        <v>331</v>
      </c>
      <c r="R114" s="149" t="s">
        <v>1602</v>
      </c>
      <c r="S114" s="116" t="s">
        <v>331</v>
      </c>
      <c r="T114" s="43" t="s">
        <v>331</v>
      </c>
      <c r="U114" s="158" t="s">
        <v>331</v>
      </c>
      <c r="V114" s="204" t="s">
        <v>331</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331</v>
      </c>
      <c r="O115" s="125">
        <v>45757</v>
      </c>
      <c r="P115" s="30" t="s">
        <v>331</v>
      </c>
      <c r="Q115" s="43" t="s">
        <v>331</v>
      </c>
      <c r="R115" s="69" t="s">
        <v>1602</v>
      </c>
      <c r="S115" s="43" t="s">
        <v>331</v>
      </c>
      <c r="T115" s="43" t="s">
        <v>331</v>
      </c>
      <c r="U115" s="43" t="s">
        <v>331</v>
      </c>
      <c r="V115" s="88" t="s">
        <v>331</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331</v>
      </c>
      <c r="O116" s="125">
        <v>45757</v>
      </c>
      <c r="P116" s="30" t="s">
        <v>331</v>
      </c>
      <c r="Q116" s="43" t="s">
        <v>331</v>
      </c>
      <c r="R116" s="69" t="s">
        <v>1602</v>
      </c>
      <c r="S116" s="43" t="s">
        <v>331</v>
      </c>
      <c r="T116" s="43" t="s">
        <v>331</v>
      </c>
      <c r="U116" s="43" t="s">
        <v>331</v>
      </c>
      <c r="V116" s="495" t="s">
        <v>331</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331</v>
      </c>
      <c r="O117" s="125">
        <v>45757</v>
      </c>
      <c r="P117" s="30" t="s">
        <v>331</v>
      </c>
      <c r="Q117" s="43" t="s">
        <v>331</v>
      </c>
      <c r="R117" s="69" t="s">
        <v>1602</v>
      </c>
      <c r="S117" s="43" t="s">
        <v>331</v>
      </c>
      <c r="T117" s="43" t="s">
        <v>331</v>
      </c>
      <c r="U117" s="43" t="s">
        <v>331</v>
      </c>
      <c r="V117" s="88" t="s">
        <v>331</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331</v>
      </c>
      <c r="O118" s="125">
        <v>45757</v>
      </c>
      <c r="P118" s="87" t="s">
        <v>331</v>
      </c>
      <c r="Q118" s="43" t="s">
        <v>331</v>
      </c>
      <c r="R118" s="43" t="s">
        <v>1602</v>
      </c>
      <c r="S118" s="43" t="s">
        <v>331</v>
      </c>
      <c r="T118" s="43" t="s">
        <v>331</v>
      </c>
      <c r="U118" s="158" t="s">
        <v>331</v>
      </c>
      <c r="V118" s="88" t="s">
        <v>331</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331</v>
      </c>
      <c r="O119" s="125">
        <v>45757</v>
      </c>
      <c r="P119" s="30" t="s">
        <v>331</v>
      </c>
      <c r="Q119" s="69" t="s">
        <v>331</v>
      </c>
      <c r="R119" s="69" t="s">
        <v>1602</v>
      </c>
      <c r="S119" s="43" t="s">
        <v>331</v>
      </c>
      <c r="T119" s="43" t="s">
        <v>331</v>
      </c>
      <c r="U119" s="158" t="s">
        <v>331</v>
      </c>
      <c r="V119" s="88" t="s">
        <v>331</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331</v>
      </c>
      <c r="O120" s="54">
        <v>45748</v>
      </c>
      <c r="P120" s="30" t="s">
        <v>331</v>
      </c>
      <c r="Q120" s="43" t="s">
        <v>331</v>
      </c>
      <c r="R120" s="69" t="s">
        <v>1602</v>
      </c>
      <c r="S120" s="43" t="s">
        <v>331</v>
      </c>
      <c r="T120" s="43" t="s">
        <v>331</v>
      </c>
      <c r="U120" s="43" t="s">
        <v>331</v>
      </c>
      <c r="V120" s="88" t="s">
        <v>331</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331</v>
      </c>
      <c r="O121" s="125">
        <v>45757</v>
      </c>
      <c r="P121" s="30" t="s">
        <v>331</v>
      </c>
      <c r="Q121" s="69" t="s">
        <v>331</v>
      </c>
      <c r="R121" s="69" t="s">
        <v>1602</v>
      </c>
      <c r="S121" s="43" t="s">
        <v>331</v>
      </c>
      <c r="T121" s="43" t="s">
        <v>331</v>
      </c>
      <c r="U121" s="43" t="s">
        <v>331</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331</v>
      </c>
      <c r="O122" s="54">
        <v>45747</v>
      </c>
      <c r="P122" s="30" t="s">
        <v>331</v>
      </c>
      <c r="Q122" s="69" t="s">
        <v>331</v>
      </c>
      <c r="R122" s="69" t="s">
        <v>1602</v>
      </c>
      <c r="S122" s="43" t="s">
        <v>331</v>
      </c>
      <c r="T122" s="43" t="s">
        <v>331</v>
      </c>
      <c r="U122" s="158" t="s">
        <v>331</v>
      </c>
      <c r="V122" s="158" t="s">
        <v>331</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331</v>
      </c>
      <c r="O123" s="54">
        <v>45744</v>
      </c>
      <c r="P123" s="30" t="s">
        <v>331</v>
      </c>
      <c r="Q123" s="43" t="s">
        <v>331</v>
      </c>
      <c r="R123" s="69" t="s">
        <v>1602</v>
      </c>
      <c r="S123" s="43" t="s">
        <v>331</v>
      </c>
      <c r="T123" s="43" t="s">
        <v>331</v>
      </c>
      <c r="U123" s="43" t="s">
        <v>331</v>
      </c>
      <c r="V123" s="69" t="s">
        <v>331</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331</v>
      </c>
      <c r="O124" s="54">
        <v>45744</v>
      </c>
      <c r="P124" s="30" t="s">
        <v>331</v>
      </c>
      <c r="Q124" s="43" t="s">
        <v>331</v>
      </c>
      <c r="R124" s="69" t="s">
        <v>1602</v>
      </c>
      <c r="S124" s="43" t="s">
        <v>331</v>
      </c>
      <c r="T124" s="43" t="s">
        <v>331</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331</v>
      </c>
      <c r="N125" s="30" t="s">
        <v>331</v>
      </c>
      <c r="O125" s="54">
        <v>45679</v>
      </c>
      <c r="P125" s="30" t="s">
        <v>331</v>
      </c>
      <c r="Q125" s="69" t="s">
        <v>331</v>
      </c>
      <c r="R125" s="43" t="s">
        <v>1602</v>
      </c>
      <c r="S125" s="43" t="s">
        <v>331</v>
      </c>
      <c r="T125" s="43" t="s">
        <v>331</v>
      </c>
      <c r="U125" s="43" t="s">
        <v>331</v>
      </c>
      <c r="V125" s="43" t="s">
        <v>331</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331</v>
      </c>
      <c r="N126" s="30" t="s">
        <v>331</v>
      </c>
      <c r="O126" s="54">
        <v>45720</v>
      </c>
      <c r="P126" s="30" t="s">
        <v>331</v>
      </c>
      <c r="Q126" s="69" t="s">
        <v>331</v>
      </c>
      <c r="R126" s="43" t="s">
        <v>1602</v>
      </c>
      <c r="S126" s="43" t="s">
        <v>331</v>
      </c>
      <c r="T126" s="43" t="s">
        <v>331</v>
      </c>
      <c r="U126" s="43" t="s">
        <v>331</v>
      </c>
      <c r="V126" s="88" t="s">
        <v>331</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331</v>
      </c>
      <c r="O127" s="54">
        <v>45679</v>
      </c>
      <c r="P127" s="30" t="s">
        <v>331</v>
      </c>
      <c r="Q127" s="43" t="s">
        <v>331</v>
      </c>
      <c r="R127" s="43" t="s">
        <v>1602</v>
      </c>
      <c r="S127" s="43" t="s">
        <v>331</v>
      </c>
      <c r="T127" s="43" t="s">
        <v>331</v>
      </c>
      <c r="U127" s="43" t="s">
        <v>331</v>
      </c>
      <c r="V127" s="88" t="s">
        <v>331</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331</v>
      </c>
      <c r="O128" s="358">
        <v>45694</v>
      </c>
      <c r="P128" s="87" t="s">
        <v>331</v>
      </c>
      <c r="Q128" s="43" t="s">
        <v>331</v>
      </c>
      <c r="R128" s="43" t="s">
        <v>1602</v>
      </c>
      <c r="S128" s="43" t="s">
        <v>331</v>
      </c>
      <c r="T128" s="43" t="s">
        <v>331</v>
      </c>
      <c r="U128" s="43" t="s">
        <v>331</v>
      </c>
      <c r="V128" s="88" t="s">
        <v>331</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331</v>
      </c>
      <c r="O129" s="168">
        <v>45720</v>
      </c>
      <c r="P129" s="115" t="s">
        <v>331</v>
      </c>
      <c r="Q129" s="149" t="s">
        <v>331</v>
      </c>
      <c r="R129" s="43" t="s">
        <v>1602</v>
      </c>
      <c r="S129" s="43" t="s">
        <v>331</v>
      </c>
      <c r="T129" s="116" t="s">
        <v>331</v>
      </c>
      <c r="U129" s="116" t="s">
        <v>331</v>
      </c>
      <c r="V129" s="88" t="s">
        <v>331</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331</v>
      </c>
      <c r="O130" s="54">
        <v>45698</v>
      </c>
      <c r="P130" s="30" t="s">
        <v>331</v>
      </c>
      <c r="Q130" s="69" t="s">
        <v>331</v>
      </c>
      <c r="R130" s="43" t="s">
        <v>1602</v>
      </c>
      <c r="S130" s="43" t="s">
        <v>331</v>
      </c>
      <c r="T130" s="43" t="s">
        <v>331</v>
      </c>
      <c r="U130" s="43" t="s">
        <v>331</v>
      </c>
      <c r="V130" s="88" t="s">
        <v>331</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331</v>
      </c>
      <c r="N131" s="49" t="s">
        <v>331</v>
      </c>
      <c r="O131" s="30" t="s">
        <v>331</v>
      </c>
      <c r="P131" s="30" t="s">
        <v>331</v>
      </c>
      <c r="Q131" s="43" t="s">
        <v>331</v>
      </c>
      <c r="R131" s="43" t="s">
        <v>1602</v>
      </c>
      <c r="S131" s="43" t="s">
        <v>331</v>
      </c>
      <c r="T131" s="158" t="s">
        <v>331</v>
      </c>
      <c r="U131" s="158" t="s">
        <v>331</v>
      </c>
      <c r="V131" s="88" t="s">
        <v>331</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331</v>
      </c>
      <c r="O132" s="54">
        <v>45691</v>
      </c>
      <c r="P132" s="87" t="s">
        <v>331</v>
      </c>
      <c r="Q132" s="43" t="s">
        <v>331</v>
      </c>
      <c r="R132" s="43" t="s">
        <v>1602</v>
      </c>
      <c r="S132" s="43" t="s">
        <v>331</v>
      </c>
      <c r="T132" s="43" t="s">
        <v>331</v>
      </c>
      <c r="U132" s="43" t="s">
        <v>331</v>
      </c>
      <c r="V132" s="43" t="s">
        <v>331</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331</v>
      </c>
      <c r="N133" s="49" t="s">
        <v>331</v>
      </c>
      <c r="O133" s="54">
        <v>45701</v>
      </c>
      <c r="P133" s="30" t="s">
        <v>331</v>
      </c>
      <c r="Q133" s="69" t="s">
        <v>331</v>
      </c>
      <c r="R133" s="43" t="s">
        <v>1602</v>
      </c>
      <c r="S133" s="43" t="s">
        <v>331</v>
      </c>
      <c r="T133" s="43" t="s">
        <v>331</v>
      </c>
      <c r="U133" s="43" t="s">
        <v>331</v>
      </c>
      <c r="V133" s="69" t="s">
        <v>331</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331</v>
      </c>
      <c r="O134" s="54">
        <v>45709</v>
      </c>
      <c r="P134" s="30" t="s">
        <v>331</v>
      </c>
      <c r="Q134" s="43" t="s">
        <v>331</v>
      </c>
      <c r="R134" s="43" t="s">
        <v>1602</v>
      </c>
      <c r="S134" s="43" t="s">
        <v>331</v>
      </c>
      <c r="T134" s="43" t="s">
        <v>331</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331</v>
      </c>
      <c r="N135" s="49" t="s">
        <v>331</v>
      </c>
      <c r="O135" s="198">
        <v>45720</v>
      </c>
      <c r="P135" s="49" t="s">
        <v>331</v>
      </c>
      <c r="Q135" s="69" t="s">
        <v>331</v>
      </c>
      <c r="R135" s="43" t="s">
        <v>1602</v>
      </c>
      <c r="S135" s="43" t="s">
        <v>331</v>
      </c>
      <c r="T135" s="43" t="s">
        <v>331</v>
      </c>
      <c r="U135" s="158" t="s">
        <v>331</v>
      </c>
      <c r="V135" s="43" t="s">
        <v>331</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331</v>
      </c>
      <c r="O136" s="54">
        <v>45691</v>
      </c>
      <c r="P136" s="30" t="s">
        <v>331</v>
      </c>
      <c r="Q136" s="43" t="s">
        <v>331</v>
      </c>
      <c r="R136" s="43" t="s">
        <v>1602</v>
      </c>
      <c r="S136" s="43" t="s">
        <v>331</v>
      </c>
      <c r="T136" s="43" t="s">
        <v>331</v>
      </c>
      <c r="U136" s="43" t="s">
        <v>331</v>
      </c>
      <c r="V136" s="43" t="s">
        <v>331</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331</v>
      </c>
      <c r="O137" s="30" t="s">
        <v>331</v>
      </c>
      <c r="P137" s="49" t="s">
        <v>331</v>
      </c>
      <c r="Q137" s="69" t="s">
        <v>331</v>
      </c>
      <c r="R137" s="43" t="s">
        <v>1602</v>
      </c>
      <c r="S137" s="43" t="s">
        <v>331</v>
      </c>
      <c r="T137" s="43" t="s">
        <v>331</v>
      </c>
      <c r="U137" s="158" t="s">
        <v>331</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331</v>
      </c>
      <c r="O138" s="125">
        <v>45707</v>
      </c>
      <c r="P138" s="30" t="s">
        <v>331</v>
      </c>
      <c r="Q138" s="43" t="s">
        <v>331</v>
      </c>
      <c r="R138" s="43" t="s">
        <v>1602</v>
      </c>
      <c r="S138" s="43" t="s">
        <v>331</v>
      </c>
      <c r="T138" s="43" t="s">
        <v>331</v>
      </c>
      <c r="U138" s="43" t="s">
        <v>331</v>
      </c>
      <c r="V138" s="43" t="s">
        <v>331</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331</v>
      </c>
      <c r="N139" s="30" t="s">
        <v>331</v>
      </c>
      <c r="O139" s="30" t="s">
        <v>331</v>
      </c>
      <c r="P139" s="30" t="s">
        <v>331</v>
      </c>
      <c r="Q139" s="43" t="s">
        <v>331</v>
      </c>
      <c r="R139" s="43" t="s">
        <v>1602</v>
      </c>
      <c r="S139" s="43" t="s">
        <v>331</v>
      </c>
      <c r="T139" s="43" t="s">
        <v>331</v>
      </c>
      <c r="U139" s="158" t="s">
        <v>331</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331</v>
      </c>
      <c r="O140" s="54">
        <v>45743</v>
      </c>
      <c r="P140" s="87" t="s">
        <v>331</v>
      </c>
      <c r="Q140" s="88" t="s">
        <v>331</v>
      </c>
      <c r="R140" s="43" t="s">
        <v>1602</v>
      </c>
      <c r="S140" s="43" t="s">
        <v>331</v>
      </c>
      <c r="T140" s="43" t="s">
        <v>331</v>
      </c>
      <c r="U140" s="88" t="s">
        <v>331</v>
      </c>
      <c r="V140" s="69" t="s">
        <v>331</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331</v>
      </c>
      <c r="O141" s="198">
        <v>45743</v>
      </c>
      <c r="P141" s="87" t="s">
        <v>331</v>
      </c>
      <c r="Q141" s="88" t="s">
        <v>331</v>
      </c>
      <c r="R141" s="43" t="s">
        <v>1602</v>
      </c>
      <c r="S141" s="43" t="s">
        <v>331</v>
      </c>
      <c r="T141" s="43" t="s">
        <v>331</v>
      </c>
      <c r="U141" s="88" t="s">
        <v>331</v>
      </c>
      <c r="V141" s="88" t="s">
        <v>331</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331</v>
      </c>
      <c r="N142" s="49" t="s">
        <v>331</v>
      </c>
      <c r="O142" s="198">
        <v>45691</v>
      </c>
      <c r="P142" s="30" t="s">
        <v>331</v>
      </c>
      <c r="Q142" s="69" t="s">
        <v>331</v>
      </c>
      <c r="R142" s="43" t="s">
        <v>1602</v>
      </c>
      <c r="S142" s="43" t="s">
        <v>331</v>
      </c>
      <c r="T142" s="43" t="s">
        <v>331</v>
      </c>
      <c r="U142" s="158" t="s">
        <v>331</v>
      </c>
      <c r="V142" s="69" t="s">
        <v>111</v>
      </c>
      <c r="W142" s="30"/>
      <c r="X142" s="69" t="s">
        <v>111</v>
      </c>
      <c r="Y142" t="e">
        <f>VLOOKUP(A142,#REF!,2,FALSE)</f>
        <v>#REF!</v>
      </c>
    </row>
    <row r="143" spans="1:25" ht="15" customHeight="1">
      <c r="A143" s="369" t="s">
        <v>375</v>
      </c>
      <c r="B143" s="420" t="s">
        <v>50</v>
      </c>
      <c r="C143" s="750">
        <v>45688</v>
      </c>
      <c r="D143" s="538" t="s">
        <v>377</v>
      </c>
      <c r="E143" s="538"/>
      <c r="F143" s="538"/>
      <c r="G143" s="538"/>
      <c r="H143" s="433">
        <v>79</v>
      </c>
      <c r="I143" s="371"/>
      <c r="J143" s="557" t="s">
        <v>57</v>
      </c>
      <c r="K143" s="557" t="s">
        <v>57</v>
      </c>
      <c r="L143" s="372" t="s">
        <v>63</v>
      </c>
      <c r="M143" s="49" t="s">
        <v>331</v>
      </c>
      <c r="N143" s="49" t="s">
        <v>331</v>
      </c>
      <c r="O143" s="198">
        <v>45675</v>
      </c>
      <c r="P143" s="30" t="s">
        <v>331</v>
      </c>
      <c r="Q143" s="69" t="s">
        <v>331</v>
      </c>
      <c r="R143" s="43" t="s">
        <v>1602</v>
      </c>
      <c r="S143" s="43" t="s">
        <v>331</v>
      </c>
      <c r="T143" s="43" t="s">
        <v>331</v>
      </c>
      <c r="U143" s="158" t="s">
        <v>331</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1604</v>
      </c>
    </row>
    <row r="145" spans="1:25" ht="15" customHeight="1">
      <c r="A145" s="369" t="s">
        <v>871</v>
      </c>
      <c r="B145" s="420" t="s">
        <v>50</v>
      </c>
      <c r="C145" s="370">
        <v>45991</v>
      </c>
      <c r="D145" s="424" t="s">
        <v>381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382</v>
      </c>
      <c r="B148" s="420" t="s">
        <v>50</v>
      </c>
      <c r="C148" s="414">
        <v>45991</v>
      </c>
      <c r="D148" s="424" t="s">
        <v>384</v>
      </c>
      <c r="E148" s="539"/>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331</v>
      </c>
      <c r="O150" s="198">
        <v>45744</v>
      </c>
      <c r="P150" s="101" t="s">
        <v>331</v>
      </c>
      <c r="Q150" s="69" t="s">
        <v>331</v>
      </c>
      <c r="R150" s="43" t="s">
        <v>1602</v>
      </c>
      <c r="S150" s="43" t="s">
        <v>331</v>
      </c>
      <c r="T150" s="43" t="s">
        <v>331</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331</v>
      </c>
      <c r="O151" s="198">
        <v>45698</v>
      </c>
      <c r="P151" s="101" t="s">
        <v>331</v>
      </c>
      <c r="Q151" s="69" t="s">
        <v>331</v>
      </c>
      <c r="R151" s="43" t="s">
        <v>1602</v>
      </c>
      <c r="S151" s="43" t="s">
        <v>331</v>
      </c>
      <c r="T151" s="43" t="s">
        <v>331</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331</v>
      </c>
      <c r="O153" s="198">
        <v>45696</v>
      </c>
      <c r="P153" s="30" t="s">
        <v>331</v>
      </c>
      <c r="Q153" s="69" t="s">
        <v>331</v>
      </c>
      <c r="R153" s="43" t="s">
        <v>1602</v>
      </c>
      <c r="S153" s="43" t="s">
        <v>331</v>
      </c>
      <c r="T153" s="158" t="s">
        <v>331</v>
      </c>
      <c r="U153" s="158" t="s">
        <v>331</v>
      </c>
      <c r="V153" s="43" t="s">
        <v>331</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331</v>
      </c>
      <c r="O154" s="358">
        <v>45696</v>
      </c>
      <c r="P154" s="30" t="s">
        <v>331</v>
      </c>
      <c r="Q154" s="69" t="s">
        <v>331</v>
      </c>
      <c r="R154" s="43" t="s">
        <v>1602</v>
      </c>
      <c r="S154" s="43" t="s">
        <v>331</v>
      </c>
      <c r="T154" s="158" t="s">
        <v>331</v>
      </c>
      <c r="U154" s="158" t="s">
        <v>331</v>
      </c>
      <c r="V154" s="43" t="s">
        <v>331</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331</v>
      </c>
      <c r="O155" s="54">
        <v>45699</v>
      </c>
      <c r="P155" s="49" t="s">
        <v>331</v>
      </c>
      <c r="Q155" s="69" t="s">
        <v>331</v>
      </c>
      <c r="R155" s="43" t="s">
        <v>1602</v>
      </c>
      <c r="S155" s="43" t="s">
        <v>331</v>
      </c>
      <c r="T155" s="43" t="s">
        <v>331</v>
      </c>
      <c r="U155" s="158" t="s">
        <v>331</v>
      </c>
      <c r="V155" s="43" t="s">
        <v>331</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331</v>
      </c>
      <c r="O156" s="54">
        <v>45699</v>
      </c>
      <c r="P156" s="49" t="s">
        <v>331</v>
      </c>
      <c r="Q156" s="69" t="s">
        <v>331</v>
      </c>
      <c r="R156" s="43" t="s">
        <v>1602</v>
      </c>
      <c r="S156" s="43" t="s">
        <v>331</v>
      </c>
      <c r="T156" s="43" t="s">
        <v>331</v>
      </c>
      <c r="U156" s="69" t="s">
        <v>331</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331</v>
      </c>
      <c r="O158" s="54">
        <v>45736</v>
      </c>
      <c r="P158" s="49" t="s">
        <v>331</v>
      </c>
      <c r="Q158" s="69" t="s">
        <v>331</v>
      </c>
      <c r="R158" s="43" t="s">
        <v>1602</v>
      </c>
      <c r="S158" s="43" t="s">
        <v>331</v>
      </c>
      <c r="T158" s="43" t="s">
        <v>331</v>
      </c>
      <c r="U158" s="158" t="s">
        <v>331</v>
      </c>
      <c r="V158" s="158" t="s">
        <v>331</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331</v>
      </c>
      <c r="O159" s="30" t="s">
        <v>331</v>
      </c>
      <c r="P159" s="49" t="s">
        <v>331</v>
      </c>
      <c r="Q159" s="43" t="s">
        <v>331</v>
      </c>
      <c r="R159" s="43" t="s">
        <v>331</v>
      </c>
      <c r="S159" s="43" t="s">
        <v>56</v>
      </c>
      <c r="T159" s="43" t="s">
        <v>331</v>
      </c>
      <c r="U159" s="43" t="s">
        <v>331</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331</v>
      </c>
      <c r="O161" s="157">
        <v>45726</v>
      </c>
      <c r="P161" s="49" t="s">
        <v>331</v>
      </c>
      <c r="Q161" s="43" t="s">
        <v>331</v>
      </c>
      <c r="R161" s="43" t="s">
        <v>331</v>
      </c>
      <c r="S161" s="43" t="s">
        <v>56</v>
      </c>
      <c r="T161" s="43" t="s">
        <v>331</v>
      </c>
      <c r="U161" s="43" t="s">
        <v>331</v>
      </c>
      <c r="V161" s="88" t="s">
        <v>331</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331</v>
      </c>
      <c r="O162" s="601">
        <v>45693</v>
      </c>
      <c r="P162" s="30" t="s">
        <v>331</v>
      </c>
      <c r="Q162" s="43" t="s">
        <v>331</v>
      </c>
      <c r="R162" s="43" t="s">
        <v>331</v>
      </c>
      <c r="S162" s="43" t="s">
        <v>56</v>
      </c>
      <c r="T162" s="43" t="s">
        <v>331</v>
      </c>
      <c r="U162" s="43" t="s">
        <v>331</v>
      </c>
      <c r="V162" s="88" t="s">
        <v>331</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331</v>
      </c>
      <c r="O163" s="54">
        <v>45693</v>
      </c>
      <c r="P163" s="30" t="s">
        <v>331</v>
      </c>
      <c r="Q163" s="69" t="s">
        <v>331</v>
      </c>
      <c r="R163" s="69" t="s">
        <v>331</v>
      </c>
      <c r="S163" s="43" t="s">
        <v>56</v>
      </c>
      <c r="T163" s="43" t="s">
        <v>331</v>
      </c>
      <c r="U163" s="69" t="s">
        <v>331</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331</v>
      </c>
      <c r="N164" s="30" t="s">
        <v>331</v>
      </c>
      <c r="O164" s="40" t="s">
        <v>331</v>
      </c>
      <c r="P164" s="87" t="s">
        <v>331</v>
      </c>
      <c r="Q164" s="43" t="s">
        <v>331</v>
      </c>
      <c r="R164" s="43" t="s">
        <v>331</v>
      </c>
      <c r="S164" s="43" t="s">
        <v>56</v>
      </c>
      <c r="T164" s="43" t="s">
        <v>331</v>
      </c>
      <c r="U164" s="43" t="s">
        <v>331</v>
      </c>
      <c r="V164" s="43" t="s">
        <v>331</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331</v>
      </c>
      <c r="N165" s="30" t="s">
        <v>331</v>
      </c>
      <c r="O165" s="601">
        <v>45818</v>
      </c>
      <c r="P165" s="87" t="s">
        <v>331</v>
      </c>
      <c r="Q165" s="43" t="s">
        <v>331</v>
      </c>
      <c r="R165" s="43" t="s">
        <v>331</v>
      </c>
      <c r="S165" s="43" t="s">
        <v>56</v>
      </c>
      <c r="T165" s="43" t="s">
        <v>331</v>
      </c>
      <c r="U165" s="43" t="s">
        <v>331</v>
      </c>
      <c r="V165" s="43" t="s">
        <v>331</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331</v>
      </c>
      <c r="N166" s="30" t="s">
        <v>331</v>
      </c>
      <c r="O166" s="601">
        <v>45693</v>
      </c>
      <c r="P166" s="87" t="s">
        <v>331</v>
      </c>
      <c r="Q166" s="43" t="s">
        <v>331</v>
      </c>
      <c r="R166" s="43" t="s">
        <v>331</v>
      </c>
      <c r="S166" s="43" t="s">
        <v>56</v>
      </c>
      <c r="T166" s="43" t="s">
        <v>331</v>
      </c>
      <c r="U166" s="43" t="s">
        <v>331</v>
      </c>
      <c r="V166" s="43" t="s">
        <v>331</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331</v>
      </c>
      <c r="O167" s="601">
        <v>45720</v>
      </c>
      <c r="P167" s="87" t="s">
        <v>331</v>
      </c>
      <c r="Q167" s="43" t="s">
        <v>331</v>
      </c>
      <c r="R167" s="43" t="s">
        <v>331</v>
      </c>
      <c r="S167" s="43" t="s">
        <v>56</v>
      </c>
      <c r="T167" s="43" t="s">
        <v>331</v>
      </c>
      <c r="U167" s="43" t="s">
        <v>331</v>
      </c>
      <c r="V167" s="43" t="s">
        <v>331</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386</v>
      </c>
      <c r="B169" s="420" t="s">
        <v>50</v>
      </c>
      <c r="C169" s="598">
        <v>45991</v>
      </c>
      <c r="D169" s="424" t="s">
        <v>387</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331</v>
      </c>
      <c r="O172" s="40" t="s">
        <v>52</v>
      </c>
      <c r="P172" s="87" t="s">
        <v>331</v>
      </c>
      <c r="Q172" s="43" t="s">
        <v>56</v>
      </c>
      <c r="R172" s="43" t="s">
        <v>56</v>
      </c>
      <c r="S172" s="43" t="s">
        <v>56</v>
      </c>
      <c r="T172" s="43" t="s">
        <v>331</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s="1156">
        <v>155501</v>
      </c>
      <c r="E4" s="44" t="s">
        <v>1672</v>
      </c>
      <c r="F4" t="s">
        <v>848</v>
      </c>
      <c r="W4" t="s">
        <v>1676</v>
      </c>
      <c r="X4">
        <v>22</v>
      </c>
    </row>
    <row r="5" spans="1:25">
      <c r="B5" t="s">
        <v>60</v>
      </c>
      <c r="C5" s="1156">
        <v>55547</v>
      </c>
      <c r="E5" t="s">
        <v>848</v>
      </c>
      <c r="F5" s="1156">
        <v>239011</v>
      </c>
      <c r="K5" s="44" t="s">
        <v>1677</v>
      </c>
      <c r="P5" s="44" t="s">
        <v>1677</v>
      </c>
      <c r="W5" t="s">
        <v>1678</v>
      </c>
      <c r="X5">
        <v>13</v>
      </c>
    </row>
    <row r="6" spans="1:25">
      <c r="B6" t="s">
        <v>96</v>
      </c>
      <c r="C6" s="1156">
        <v>22387</v>
      </c>
      <c r="K6" s="44" t="s">
        <v>27</v>
      </c>
      <c r="L6" s="44" t="s">
        <v>1679</v>
      </c>
      <c r="M6" t="s">
        <v>848</v>
      </c>
      <c r="P6" s="44" t="s">
        <v>1680</v>
      </c>
      <c r="Q6" s="44" t="s">
        <v>1679</v>
      </c>
      <c r="R6" t="s">
        <v>848</v>
      </c>
    </row>
    <row r="7" spans="1:25">
      <c r="B7" t="s">
        <v>874</v>
      </c>
      <c r="C7" s="1156">
        <v>301904</v>
      </c>
      <c r="K7" t="s">
        <v>1673</v>
      </c>
      <c r="L7" t="s">
        <v>508</v>
      </c>
      <c r="M7" s="1156">
        <v>1</v>
      </c>
      <c r="P7" t="s">
        <v>1681</v>
      </c>
      <c r="R7" s="1156">
        <v>1</v>
      </c>
      <c r="X7" t="s">
        <v>1682</v>
      </c>
      <c r="Y7" t="s">
        <v>1683</v>
      </c>
    </row>
    <row r="8" spans="1:25">
      <c r="B8" t="s">
        <v>209</v>
      </c>
      <c r="C8" s="1156">
        <v>5576</v>
      </c>
      <c r="L8" t="s">
        <v>510</v>
      </c>
      <c r="M8" s="1156">
        <v>1</v>
      </c>
      <c r="P8" t="s">
        <v>1684</v>
      </c>
      <c r="R8" s="1156">
        <v>1</v>
      </c>
      <c r="V8" t="s">
        <v>1685</v>
      </c>
      <c r="W8" s="261">
        <v>203521</v>
      </c>
      <c r="X8" s="317">
        <f>X5/X4</f>
        <v>0.59090909090909094</v>
      </c>
      <c r="Y8" s="317">
        <f>W9/W8</f>
        <v>0.31446386367991508</v>
      </c>
    </row>
    <row r="9" spans="1:25">
      <c r="B9" t="s">
        <v>51</v>
      </c>
      <c r="C9" s="1156">
        <v>0</v>
      </c>
      <c r="L9" t="s">
        <v>1686</v>
      </c>
      <c r="M9" s="1156">
        <v>1</v>
      </c>
      <c r="P9" t="s">
        <v>1687</v>
      </c>
      <c r="Q9" t="s">
        <v>1686</v>
      </c>
      <c r="R9" s="1156">
        <v>1</v>
      </c>
      <c r="V9" t="s">
        <v>1688</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26955</v>
      </c>
      <c r="L12" t="s">
        <v>484</v>
      </c>
      <c r="M12" s="1156">
        <v>1</v>
      </c>
      <c r="Q12" t="s">
        <v>1689</v>
      </c>
      <c r="R12" s="1156">
        <v>1</v>
      </c>
    </row>
    <row r="13" spans="1:25">
      <c r="B13" t="s">
        <v>146</v>
      </c>
      <c r="C13" s="1156">
        <v>13965</v>
      </c>
      <c r="L13" t="s">
        <v>1690</v>
      </c>
      <c r="M13" s="1156">
        <v>1</v>
      </c>
      <c r="Q13" t="s">
        <v>795</v>
      </c>
      <c r="R13" s="1156">
        <v>1</v>
      </c>
    </row>
    <row r="14" spans="1:25">
      <c r="B14" t="s">
        <v>206</v>
      </c>
      <c r="C14" s="1156">
        <v>16290</v>
      </c>
      <c r="L14" t="s">
        <v>621</v>
      </c>
      <c r="M14" s="1156">
        <v>1</v>
      </c>
      <c r="P14" t="s">
        <v>1691</v>
      </c>
      <c r="R14" s="1156">
        <v>5</v>
      </c>
    </row>
    <row r="15" spans="1:25">
      <c r="B15" t="s">
        <v>199</v>
      </c>
      <c r="C15" s="1156">
        <v>5613</v>
      </c>
      <c r="L15" t="s">
        <v>1689</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623093</v>
      </c>
      <c r="L18" t="s">
        <v>629</v>
      </c>
      <c r="M18" s="1156">
        <v>1</v>
      </c>
    </row>
    <row r="19" spans="2:13">
      <c r="L19" t="s">
        <v>633</v>
      </c>
      <c r="M19" s="1156">
        <v>1</v>
      </c>
    </row>
    <row r="20" spans="2:13">
      <c r="L20" t="s">
        <v>793</v>
      </c>
      <c r="M20" s="1156">
        <v>1</v>
      </c>
    </row>
    <row r="21" spans="2:13">
      <c r="L21" t="s">
        <v>1692</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1693</v>
      </c>
      <c r="M26" s="1156">
        <v>19</v>
      </c>
    </row>
    <row r="27" spans="2:13">
      <c r="K27" t="s">
        <v>1694</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1695</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1696</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382</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386</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68FB2B-9B38-497A-BC64-821C36E8136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2025-11-07T19:58:45Z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