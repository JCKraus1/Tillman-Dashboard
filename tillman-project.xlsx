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02" documentId="8_{E14B221E-02E2-46A3-8CEC-C736815F2DD5}" xr6:coauthVersionLast="47" xr6:coauthVersionMax="47" xr10:uidLastSave="{B95823E0-2124-4F94-A440-09C608EB92E7}"/>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359" r:id="rId12"/>
    <pivotCache cacheId="1360" r:id="rId13"/>
    <pivotCache cacheId="1361" r:id="rId14"/>
    <pivotCache cacheId="1362" r:id="rId15"/>
    <pivotCache cacheId="1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<sst xmlns="http://schemas.openxmlformats.org/spreadsheetml/2006/main" count="14669" uniqueCount="1802">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</sst>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2" fillId="1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91"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8">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AC47"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60" activePane="bottomLeft" state="frozen"/>
      <selection pane="bottomLeft" activeCell="A2076" sqref="A2076:XFD207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60" t="s">
        <v>305</v>
      </c>
      <c r="B2088" s="311" t="s">
        <v>152</v>
      </c>
      <c r="C2088" s="56">
        <v>45981</v>
      </c>
      <c r="G2088"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4" t="s">
        <v>1744</v>
      </c>
      <c r="C1" s="1174"/>
      <c r="D1" s="576"/>
      <c r="E1" s="1174" t="s">
        <v>1745</v>
      </c>
      <c r="F1" s="1174"/>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v>223696</v>
      </c>
      <c r="E4" s="44" t="s">
        <v>1746</v>
      </c>
      <c r="F4" t="s">
        <v>879</v>
      </c>
      <c r="W4" t="s">
        <v>1750</v>
      </c>
      <c r="X4">
        <v>22</v>
      </c>
    </row>
    <row r="5" spans="1:25">
      <c r="B5" t="s">
        <v>71</v>
      </c>
      <c r="C5">
        <v>47789</v>
      </c>
      <c r="E5" t="s">
        <v>879</v>
      </c>
      <c r="F5">
        <v>301527</v>
      </c>
      <c r="K5" s="44" t="s">
        <v>1751</v>
      </c>
      <c r="P5" s="44" t="s">
        <v>1751</v>
      </c>
      <c r="W5" t="s">
        <v>1752</v>
      </c>
      <c r="X5">
        <v>13</v>
      </c>
    </row>
    <row r="6" spans="1:25">
      <c r="B6" t="s">
        <v>102</v>
      </c>
      <c r="C6">
        <v>22387</v>
      </c>
      <c r="K6" s="44" t="s">
        <v>27</v>
      </c>
      <c r="L6" s="44" t="s">
        <v>1753</v>
      </c>
      <c r="M6" t="s">
        <v>879</v>
      </c>
      <c r="P6" s="44" t="s">
        <v>1754</v>
      </c>
      <c r="Q6" s="44" t="s">
        <v>1753</v>
      </c>
      <c r="R6" t="s">
        <v>879</v>
      </c>
    </row>
    <row r="7" spans="1:25">
      <c r="B7" t="s">
        <v>905</v>
      </c>
      <c r="C7">
        <v>228287</v>
      </c>
      <c r="K7" t="s">
        <v>1747</v>
      </c>
      <c r="L7" t="s">
        <v>510</v>
      </c>
      <c r="M7">
        <v>1</v>
      </c>
      <c r="P7" t="s">
        <v>1755</v>
      </c>
      <c r="R7">
        <v>1</v>
      </c>
      <c r="X7" t="s">
        <v>1756</v>
      </c>
      <c r="Y7" t="s">
        <v>1757</v>
      </c>
    </row>
    <row r="8" spans="1:25">
      <c r="B8" t="s">
        <v>51</v>
      </c>
      <c r="C8">
        <v>446</v>
      </c>
      <c r="L8" t="s">
        <v>512</v>
      </c>
      <c r="M8">
        <v>1</v>
      </c>
      <c r="P8" t="s">
        <v>1758</v>
      </c>
      <c r="R8">
        <v>1</v>
      </c>
      <c r="V8" t="s">
        <v>1759</v>
      </c>
      <c r="W8" s="261">
        <v>203521</v>
      </c>
      <c r="X8" s="317">
        <f>X5/X4</f>
        <v>0.59090909090909094</v>
      </c>
      <c r="Y8" s="317">
        <f>W9/W8</f>
        <v>0.31446386367991508</v>
      </c>
    </row>
    <row r="9" spans="1:25">
      <c r="B9" t="s">
        <v>22</v>
      </c>
      <c r="C9">
        <v>0</v>
      </c>
      <c r="L9" t="s">
        <v>1760</v>
      </c>
      <c r="M9">
        <v>1</v>
      </c>
      <c r="P9" t="s">
        <v>1761</v>
      </c>
      <c r="Q9" t="s">
        <v>1760</v>
      </c>
      <c r="R9">
        <v>1</v>
      </c>
      <c r="V9" t="s">
        <v>1762</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1763</v>
      </c>
      <c r="R12">
        <v>1</v>
      </c>
    </row>
    <row r="13" spans="1:25">
      <c r="B13" t="s">
        <v>211</v>
      </c>
      <c r="C13">
        <v>16290</v>
      </c>
      <c r="L13" t="s">
        <v>1764</v>
      </c>
      <c r="M13">
        <v>1</v>
      </c>
      <c r="Q13" t="s">
        <v>829</v>
      </c>
      <c r="R13">
        <v>1</v>
      </c>
    </row>
    <row r="14" spans="1:25">
      <c r="B14" t="s">
        <v>381</v>
      </c>
      <c r="C14">
        <v>4725</v>
      </c>
      <c r="L14" t="s">
        <v>629</v>
      </c>
      <c r="M14">
        <v>1</v>
      </c>
      <c r="P14" t="s">
        <v>1765</v>
      </c>
      <c r="R14">
        <v>5</v>
      </c>
    </row>
    <row r="15" spans="1:25">
      <c r="B15" t="s">
        <v>130</v>
      </c>
      <c r="C15">
        <v>7655</v>
      </c>
      <c r="L15" t="s">
        <v>1763</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1766</v>
      </c>
      <c r="M21">
        <v>1</v>
      </c>
    </row>
    <row r="22" spans="2:13">
      <c r="L22" t="s">
        <v>829</v>
      </c>
      <c r="M22">
        <v>1</v>
      </c>
    </row>
    <row r="23" spans="2:13">
      <c r="L23" t="s">
        <v>673</v>
      </c>
      <c r="M23">
        <v>1</v>
      </c>
    </row>
    <row r="24" spans="2:13">
      <c r="L24" t="s">
        <v>691</v>
      </c>
      <c r="M24">
        <v>1</v>
      </c>
    </row>
    <row r="25" spans="2:13">
      <c r="L25" t="s">
        <v>180</v>
      </c>
      <c r="M25">
        <v>1</v>
      </c>
    </row>
    <row r="26" spans="2:13">
      <c r="K26" t="s">
        <v>1767</v>
      </c>
      <c r="M26">
        <v>19</v>
      </c>
    </row>
    <row r="27" spans="2:13">
      <c r="K27" t="s">
        <v>1768</v>
      </c>
      <c r="L27" t="s">
        <v>623</v>
      </c>
      <c r="M27">
        <v>1</v>
      </c>
    </row>
    <row r="28" spans="2:13">
      <c r="L28" t="s">
        <v>625</v>
      </c>
      <c r="M28">
        <v>1</v>
      </c>
    </row>
    <row r="29" spans="2:13">
      <c r="L29" t="s">
        <v>627</v>
      </c>
      <c r="M29">
        <v>1</v>
      </c>
    </row>
    <row r="30" spans="2:13">
      <c r="L30" t="s">
        <v>643</v>
      </c>
      <c r="M30">
        <v>1</v>
      </c>
    </row>
    <row r="31" spans="2:13">
      <c r="L31" t="s">
        <v>645</v>
      </c>
      <c r="M31">
        <v>1</v>
      </c>
    </row>
    <row r="32" spans="2:13">
      <c r="L32" t="s">
        <v>1769</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1770</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1771</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6FCD03-2C82-43FD-8217-2979EEE7F99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2025-11-21T12:27:26Z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