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09" documentId="8_{E14B221E-02E2-46A3-8CEC-C736815F2DD5}" xr6:coauthVersionLast="47" xr6:coauthVersionMax="47" xr10:uidLastSave="{20AC3EA1-B5D1-46CA-B1C1-16C58F97BA0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6796" r:id="rId12"/>
    <pivotCache cacheId="6797" r:id="rId13"/>
    <pivotCache cacheId="6798" r:id="rId14"/>
    <pivotCache cacheId="6799" r:id="rId15"/>
    <pivotCache cacheId="6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<sst xmlns="http://schemas.openxmlformats.org/spreadsheetml/2006/main" count="17183" uniqueCount="2205">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</sst>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4" borderId="88" xfId="0" applyFont="1" applyFill="1" applyBorder="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57638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11111" createdVersion="8" refreshedVersion="8" minRefreshableVersion="3" recordCount="97"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200"/>
    <x v="32"/>
    <x v="246"/>
    <m/>
    <m/>
    <m/>
  </r>
  <r>
    <x v="351"/>
    <x v="6"/>
    <x v="246"/>
    <m/>
    <m/>
    <m/>
  </r>
  <r>
    <x v="352"/>
    <x v="61"/>
    <x v="246"/>
    <m/>
    <m/>
    <m/>
  </r>
  <r>
    <x v="325"/>
    <x v="1"/>
    <x v="246"/>
    <m/>
    <m/>
    <m/>
  </r>
  <r>
    <x v="347"/>
    <x v="32"/>
    <x v="246"/>
    <m/>
    <m/>
    <m/>
  </r>
  <r>
    <x v="348"/>
    <x v="46"/>
    <x v="246"/>
    <m/>
    <m/>
    <m/>
  </r>
  <r>
    <x v="353"/>
    <x v="53"/>
    <x v="246"/>
    <m/>
    <m/>
    <m/>
  </r>
  <r>
    <x v="345"/>
    <x v="5"/>
    <x v="246"/>
    <m/>
    <m/>
    <m/>
  </r>
  <r>
    <x v="344"/>
    <x v="5"/>
    <x v="246"/>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7828"/>
    <n v="0"/>
    <n v="1"/>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FB-HNP104"/>
    <x v="32"/>
    <d v="2026-01-21T00:00:00"/>
    <m/>
    <m/>
    <m/>
    <x v="12"/>
  </r>
  <r>
    <s v="D-HWP1006"/>
    <x v="6"/>
    <d v="2026-01-21T00:00:00"/>
    <m/>
    <m/>
    <m/>
    <x v="12"/>
  </r>
  <r>
    <s v="D-HWP1005"/>
    <x v="61"/>
    <d v="2026-01-21T00:00:00"/>
    <m/>
    <m/>
    <m/>
    <x v="12"/>
  </r>
  <r>
    <s v="FB-HWP484"/>
    <x v="1"/>
    <d v="2026-01-21T00:00:00"/>
    <m/>
    <m/>
    <m/>
    <x v="12"/>
  </r>
  <r>
    <s v="Moss Creek "/>
    <x v="32"/>
    <d v="2026-01-21T00:00:00"/>
    <m/>
    <m/>
    <m/>
    <x v="12"/>
  </r>
  <r>
    <s v="Colonial Manor"/>
    <x v="46"/>
    <d v="2026-01-21T00:00:00"/>
    <m/>
    <m/>
    <m/>
    <x v="12"/>
  </r>
  <r>
    <s v="D-HDF740"/>
    <x v="53"/>
    <d v="2026-01-21T00:00:00"/>
    <m/>
    <m/>
    <m/>
    <x v="12"/>
  </r>
  <r>
    <s v="FB-HBK104"/>
    <x v="5"/>
    <d v="2026-01-21T00:00:00"/>
    <m/>
    <m/>
    <m/>
    <x v="12"/>
  </r>
  <r>
    <s v="D-HBK136"/>
    <x v="5"/>
    <d v="2026-01-21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7828"/>
    <n v="0"/>
    <n v="1"/>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204"/>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V1" activePane="topRight" state="frozen"/>
      <selection pane="topRight" activeCell="W6" sqref="W6:W9"/>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228">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497"/>
      <c r="I64" s="824" t="s">
        <v>55</v>
      </c>
      <c r="J64" s="827" t="s">
        <v>63</v>
      </c>
      <c r="K64" s="1498"/>
      <c r="L64" s="1330"/>
      <c r="M64" s="824" t="s">
        <v>57</v>
      </c>
      <c r="N64" s="1499">
        <v>36998.550000000003</v>
      </c>
      <c r="O64" s="824" t="s">
        <v>57</v>
      </c>
      <c r="P64" s="1224" t="s">
        <v>58</v>
      </c>
      <c r="Q64" s="1500"/>
      <c r="R64" s="1500"/>
      <c r="S64" s="1500"/>
      <c r="T64" s="1500"/>
      <c r="U64" s="1500"/>
      <c r="V64" s="1501">
        <v>2944</v>
      </c>
      <c r="W64" s="1502"/>
      <c r="X64" s="1502">
        <f>SUM(V64-W64)</f>
        <v>2944</v>
      </c>
      <c r="Y64" s="659">
        <f>IFERROR($W64/$V64, 0)</f>
        <v>0</v>
      </c>
      <c r="Z64" s="1503"/>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498"/>
      <c r="L74" s="1330"/>
      <c r="M74" s="1211" t="s">
        <v>57</v>
      </c>
      <c r="N74" s="1499">
        <v>118710.8</v>
      </c>
      <c r="O74" s="1211" t="s">
        <v>57</v>
      </c>
      <c r="P74" s="1193" t="s">
        <v>58</v>
      </c>
      <c r="Q74" s="1500"/>
      <c r="R74" s="1500"/>
      <c r="S74" s="1500"/>
      <c r="T74" s="1500"/>
      <c r="U74" s="1500"/>
      <c r="V74" s="1501">
        <v>9628</v>
      </c>
      <c r="W74" s="1502"/>
      <c r="X74" s="1502">
        <f>SUM(V74-W74)</f>
        <v>9628</v>
      </c>
      <c r="Y74" s="659">
        <f>IFERROR($W74/$V74, 0)</f>
        <v>0</v>
      </c>
      <c r="Z74" s="1500"/>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497">
        <v>109</v>
      </c>
      <c r="I80" s="824" t="s">
        <v>55</v>
      </c>
      <c r="J80" s="827" t="s">
        <v>63</v>
      </c>
      <c r="K80" s="1498"/>
      <c r="L80" s="1330">
        <v>45663</v>
      </c>
      <c r="M80" s="1211" t="s">
        <v>57</v>
      </c>
      <c r="N80" s="1499">
        <v>123587.5</v>
      </c>
      <c r="O80" s="1497" t="s">
        <v>57</v>
      </c>
      <c r="P80" s="1504" t="s">
        <v>64</v>
      </c>
      <c r="Q80" s="1500">
        <v>46008</v>
      </c>
      <c r="R80" s="1500"/>
      <c r="S80" s="1500"/>
      <c r="T80" s="1500"/>
      <c r="U80" s="1500"/>
      <c r="V80" s="1501">
        <v>6825</v>
      </c>
      <c r="W80" s="1502">
        <v>3491</v>
      </c>
      <c r="X80" s="1502">
        <f>SUM(V80-W80)</f>
        <v>3334</v>
      </c>
      <c r="Y80" s="659">
        <f>IFERROR($W80/$V80, 0)</f>
        <v>0.51150183150183148</v>
      </c>
      <c r="Z80" s="1500">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195">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497">
        <v>0</v>
      </c>
      <c r="I86" s="824" t="s">
        <v>55</v>
      </c>
      <c r="J86" s="1191" t="s">
        <v>83</v>
      </c>
      <c r="K86" s="1191" t="s">
        <v>71</v>
      </c>
      <c r="L86" s="1330"/>
      <c r="M86" s="1211" t="s">
        <v>84</v>
      </c>
      <c r="N86" s="1222"/>
      <c r="O86" s="1211" t="s">
        <v>84</v>
      </c>
      <c r="P86" s="1224" t="s">
        <v>58</v>
      </c>
      <c r="Q86" s="1500"/>
      <c r="R86" s="1500"/>
      <c r="S86" s="1500"/>
      <c r="T86" s="1500"/>
      <c r="U86" s="1500"/>
      <c r="V86" s="1501">
        <v>6202</v>
      </c>
      <c r="W86" s="1502"/>
      <c r="X86" s="1502">
        <f>SUM(V86-W86)</f>
        <v>6202</v>
      </c>
      <c r="Y86" s="659">
        <f>IFERROR($W86/$V86, 0)</f>
        <v>0</v>
      </c>
      <c r="Z86" s="1503"/>
      <c r="AA86" s="1271">
        <v>0</v>
      </c>
      <c r="AB86" s="1271">
        <v>0</v>
      </c>
      <c r="AC86" s="1270">
        <v>0</v>
      </c>
      <c r="AD86" s="1198" t="s">
        <v>287</v>
      </c>
      <c r="AE86" s="1257"/>
    </row>
    <row r="87" spans="1:31" ht="24.75" customHeight="1">
      <c r="A87" s="1418" t="s">
        <v>288</v>
      </c>
      <c r="B87" s="1009" t="s">
        <v>274</v>
      </c>
      <c r="C87" s="1403">
        <v>46051</v>
      </c>
      <c r="D87" s="1329"/>
      <c r="E87" s="1330"/>
      <c r="F87" s="1329"/>
      <c r="G87" s="1210"/>
      <c r="H87" s="1497">
        <v>0</v>
      </c>
      <c r="I87" s="824" t="s">
        <v>55</v>
      </c>
      <c r="J87" s="1191" t="s">
        <v>83</v>
      </c>
      <c r="K87" s="1191" t="s">
        <v>71</v>
      </c>
      <c r="L87" s="1330"/>
      <c r="M87" s="1211" t="s">
        <v>84</v>
      </c>
      <c r="N87" s="1222"/>
      <c r="O87" s="1211" t="s">
        <v>84</v>
      </c>
      <c r="P87" s="1224" t="s">
        <v>58</v>
      </c>
      <c r="Q87" s="1500"/>
      <c r="R87" s="1500"/>
      <c r="S87" s="1500"/>
      <c r="T87" s="1500"/>
      <c r="U87" s="1500"/>
      <c r="V87" s="1505">
        <v>545</v>
      </c>
      <c r="W87" s="1506"/>
      <c r="X87" s="1506">
        <f>SUM(V87-W87)</f>
        <v>545</v>
      </c>
      <c r="Y87" s="654">
        <f>IFERROR($W87/$V87, 0)</f>
        <v>0</v>
      </c>
      <c r="Z87" s="1507"/>
      <c r="AA87" s="1271">
        <v>0</v>
      </c>
      <c r="AB87" s="1271">
        <v>0</v>
      </c>
      <c r="AC87" s="1270">
        <v>0</v>
      </c>
      <c r="AD87" s="1198" t="s">
        <v>287</v>
      </c>
      <c r="AE87" s="1257"/>
    </row>
    <row r="88" spans="1:31" ht="24.75" customHeight="1">
      <c r="A88" s="1418" t="s">
        <v>289</v>
      </c>
      <c r="B88" s="1009" t="s">
        <v>274</v>
      </c>
      <c r="C88" s="1403">
        <v>46051</v>
      </c>
      <c r="D88" s="1329"/>
      <c r="E88" s="1330"/>
      <c r="F88" s="1329"/>
      <c r="G88" s="1210"/>
      <c r="H88" s="1497">
        <v>0</v>
      </c>
      <c r="I88" s="824" t="s">
        <v>55</v>
      </c>
      <c r="J88" s="1191" t="s">
        <v>83</v>
      </c>
      <c r="K88" s="1191" t="s">
        <v>71</v>
      </c>
      <c r="L88" s="1330"/>
      <c r="M88" s="1211" t="s">
        <v>84</v>
      </c>
      <c r="N88" s="1222"/>
      <c r="O88" s="1211" t="s">
        <v>84</v>
      </c>
      <c r="P88" s="1224" t="s">
        <v>58</v>
      </c>
      <c r="Q88" s="1500"/>
      <c r="R88" s="1500"/>
      <c r="S88" s="1500"/>
      <c r="T88" s="1500"/>
      <c r="U88" s="1500"/>
      <c r="V88" s="1505">
        <v>1172</v>
      </c>
      <c r="W88" s="1506"/>
      <c r="X88" s="1506">
        <f>SUM(V88-W88)</f>
        <v>1172</v>
      </c>
      <c r="Y88" s="654">
        <f>IFERROR($W88/$V88, 0)</f>
        <v>0</v>
      </c>
      <c r="Z88" s="1507"/>
      <c r="AA88" s="1271">
        <v>0</v>
      </c>
      <c r="AB88" s="1271">
        <v>0</v>
      </c>
      <c r="AC88" s="1270">
        <v>0</v>
      </c>
      <c r="AD88" s="1198" t="s">
        <v>287</v>
      </c>
      <c r="AE88" s="1257"/>
    </row>
    <row r="89" spans="1:31" ht="24.75" customHeight="1">
      <c r="A89" s="1418" t="s">
        <v>290</v>
      </c>
      <c r="B89" s="1009" t="s">
        <v>274</v>
      </c>
      <c r="C89" s="1403">
        <v>46051</v>
      </c>
      <c r="D89" s="1329"/>
      <c r="E89" s="1330"/>
      <c r="F89" s="1329"/>
      <c r="G89" s="1210"/>
      <c r="H89" s="1497">
        <v>0</v>
      </c>
      <c r="I89" s="824" t="s">
        <v>55</v>
      </c>
      <c r="J89" s="1191" t="s">
        <v>83</v>
      </c>
      <c r="K89" s="1191" t="s">
        <v>71</v>
      </c>
      <c r="L89" s="1330"/>
      <c r="M89" s="1211" t="s">
        <v>84</v>
      </c>
      <c r="N89" s="1222"/>
      <c r="O89" s="1211" t="s">
        <v>84</v>
      </c>
      <c r="P89" s="1224" t="s">
        <v>58</v>
      </c>
      <c r="Q89" s="1500"/>
      <c r="R89" s="1500"/>
      <c r="S89" s="1500"/>
      <c r="T89" s="1500"/>
      <c r="U89" s="1500"/>
      <c r="V89" s="1505">
        <v>4184</v>
      </c>
      <c r="W89" s="1506"/>
      <c r="X89" s="1506">
        <f>SUM(V89-W89)</f>
        <v>4184</v>
      </c>
      <c r="Y89" s="654">
        <f>IFERROR($W89/$V89, 0)</f>
        <v>0</v>
      </c>
      <c r="Z89" s="1507"/>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139</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139</v>
      </c>
      <c r="E94" s="1278">
        <v>45959</v>
      </c>
      <c r="F94" s="1279" t="s">
        <v>144</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139</v>
      </c>
      <c r="E95" s="1278">
        <v>45987</v>
      </c>
      <c r="F95" s="1279" t="s">
        <v>144</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139</v>
      </c>
      <c r="E96" s="1278">
        <v>45987</v>
      </c>
      <c r="F96" s="1279" t="s">
        <v>144</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139</v>
      </c>
      <c r="E97" s="1277">
        <v>45987</v>
      </c>
      <c r="F97" s="1190" t="s">
        <v>144</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139</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06">
        <v>3893</v>
      </c>
      <c r="X98" s="1393">
        <f t="shared" ref="X98:X101" si="10">SUM(V98-W98)</f>
        <v>1806</v>
      </c>
      <c r="Y98" s="1140">
        <f t="shared" ref="Y98:Y101" si="11">IFERROR($W98/$V98, 0)</f>
        <v>0.68310229864888572</v>
      </c>
      <c r="Z98" s="1508">
        <v>46034</v>
      </c>
      <c r="AA98" s="1271">
        <v>0</v>
      </c>
      <c r="AB98" s="1271">
        <v>0</v>
      </c>
      <c r="AC98" s="1270">
        <v>0</v>
      </c>
      <c r="AD98" s="1243" t="s">
        <v>311</v>
      </c>
      <c r="AE98" s="1252"/>
    </row>
    <row r="99" spans="1:31" ht="24.75" customHeight="1">
      <c r="A99" s="1377" t="s">
        <v>312</v>
      </c>
      <c r="B99" s="1276" t="s">
        <v>293</v>
      </c>
      <c r="C99" s="1372">
        <v>46052</v>
      </c>
      <c r="D99" s="1361" t="s">
        <v>139</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06">
        <v>3433</v>
      </c>
      <c r="X99" s="1393">
        <f t="shared" si="10"/>
        <v>2999</v>
      </c>
      <c r="Y99" s="1140">
        <f t="shared" si="11"/>
        <v>0.53373756218905477</v>
      </c>
      <c r="Z99" s="1508">
        <v>46035</v>
      </c>
      <c r="AA99" s="1271">
        <v>0</v>
      </c>
      <c r="AB99" s="1271">
        <v>0</v>
      </c>
      <c r="AC99" s="1270">
        <v>0</v>
      </c>
      <c r="AD99" s="1243" t="s">
        <v>313</v>
      </c>
      <c r="AE99" s="1252"/>
    </row>
    <row r="100" spans="1:31" ht="24.75" customHeight="1">
      <c r="A100" s="1377" t="s">
        <v>314</v>
      </c>
      <c r="B100" s="1276" t="s">
        <v>293</v>
      </c>
      <c r="C100" s="1372">
        <v>46052</v>
      </c>
      <c r="D100" s="1361" t="s">
        <v>139</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09">
        <v>4339</v>
      </c>
      <c r="X100" s="1251">
        <f t="shared" si="10"/>
        <v>2806</v>
      </c>
      <c r="Y100" s="870">
        <f t="shared" si="11"/>
        <v>0.60727781665500347</v>
      </c>
      <c r="Z100" s="1508">
        <v>46036</v>
      </c>
      <c r="AA100" s="1457">
        <v>0</v>
      </c>
      <c r="AB100" s="1271">
        <v>0</v>
      </c>
      <c r="AC100" s="1270">
        <v>0</v>
      </c>
      <c r="AD100" s="1243" t="s">
        <v>315</v>
      </c>
      <c r="AE100" s="1252"/>
    </row>
    <row r="101" spans="1:31" ht="24.75" customHeight="1">
      <c r="A101" s="1378" t="s">
        <v>316</v>
      </c>
      <c r="B101" s="1276" t="s">
        <v>293</v>
      </c>
      <c r="C101" s="1372">
        <v>46052</v>
      </c>
      <c r="D101" s="1361" t="s">
        <v>139</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0">
        <v>5625</v>
      </c>
      <c r="X101" s="1251">
        <f t="shared" si="10"/>
        <v>1716</v>
      </c>
      <c r="Y101" s="870">
        <f t="shared" si="11"/>
        <v>0.76624438087454028</v>
      </c>
      <c r="Z101" s="1508">
        <v>46037</v>
      </c>
      <c r="AA101" s="1457">
        <v>0</v>
      </c>
      <c r="AB101" s="1271">
        <v>0</v>
      </c>
      <c r="AC101" s="1270">
        <v>0</v>
      </c>
      <c r="AD101" s="1243" t="s">
        <v>317</v>
      </c>
      <c r="AE101" s="1252"/>
    </row>
    <row r="102" spans="1:31" ht="24.75" customHeight="1">
      <c r="A102" s="1378" t="s">
        <v>318</v>
      </c>
      <c r="B102" s="1276" t="s">
        <v>293</v>
      </c>
      <c r="C102" s="1372">
        <v>46052</v>
      </c>
      <c r="D102" s="1361" t="s">
        <v>139</v>
      </c>
      <c r="E102" s="1379">
        <v>46027</v>
      </c>
      <c r="F102" s="1190" t="s">
        <v>144</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1">
        <v>3201</v>
      </c>
      <c r="X102" s="1458">
        <f t="shared" ref="X102" si="12">SUM(V102-W102)</f>
        <v>821</v>
      </c>
      <c r="Y102" s="1380">
        <f t="shared" ref="Y102" si="13">IFERROR($W102/$V102, 0)</f>
        <v>0.79587270014917955</v>
      </c>
      <c r="Z102" s="1512">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08"/>
      <c r="R115" s="1350"/>
      <c r="S115" s="1350"/>
      <c r="T115" s="1350"/>
      <c r="U115" s="1350"/>
      <c r="V115" s="1251">
        <v>8641</v>
      </c>
      <c r="W115" s="1506"/>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3"/>
      <c r="R116" s="1352"/>
      <c r="S116" s="1352"/>
      <c r="T116" s="1352"/>
      <c r="U116" s="1352"/>
      <c r="V116" s="1354">
        <v>7502</v>
      </c>
      <c r="W116" s="1514"/>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4"/>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B33"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498" t="s">
        <v>63</v>
      </c>
      <c r="K15" s="1498"/>
      <c r="L15" s="476" t="s">
        <v>52</v>
      </c>
      <c r="M15" s="478" t="s">
        <v>57</v>
      </c>
      <c r="N15" s="1499">
        <v>1035</v>
      </c>
      <c r="O15" s="1211" t="s">
        <v>57</v>
      </c>
      <c r="P15" s="1261" t="s">
        <v>345</v>
      </c>
      <c r="Q15" s="1500">
        <v>46030</v>
      </c>
      <c r="R15" s="1324"/>
      <c r="S15" s="1324"/>
      <c r="T15" s="1324"/>
      <c r="U15" s="1324"/>
      <c r="V15" s="1501">
        <v>0</v>
      </c>
      <c r="W15" s="1515">
        <v>0</v>
      </c>
      <c r="X15" s="1502">
        <f>SUM(V15-W15)</f>
        <v>0</v>
      </c>
      <c r="Y15" s="659">
        <v>1</v>
      </c>
      <c r="Z15" s="1500">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139</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139</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139</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139</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139</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139</v>
      </c>
      <c r="E29" s="1328">
        <v>45961</v>
      </c>
      <c r="F29" s="1425" t="s">
        <v>124</v>
      </c>
      <c r="G29" s="1190"/>
      <c r="H29" s="1498">
        <v>0</v>
      </c>
      <c r="I29" s="658" t="s">
        <v>344</v>
      </c>
      <c r="J29" s="1498" t="s">
        <v>63</v>
      </c>
      <c r="K29" s="1498"/>
      <c r="L29" s="1328" t="s">
        <v>141</v>
      </c>
      <c r="M29" s="1498" t="s">
        <v>57</v>
      </c>
      <c r="N29" s="1516">
        <v>15670.45</v>
      </c>
      <c r="O29" s="1498" t="s">
        <v>57</v>
      </c>
      <c r="P29" s="1517" t="s">
        <v>345</v>
      </c>
      <c r="Q29" s="1518">
        <v>46031</v>
      </c>
      <c r="R29" s="1518"/>
      <c r="S29" s="1518"/>
      <c r="T29" s="1518"/>
      <c r="U29" s="1518"/>
      <c r="V29" s="783">
        <v>1202</v>
      </c>
      <c r="W29" s="1262">
        <v>1208</v>
      </c>
      <c r="X29" s="1502">
        <f>SUM(V29-W29)</f>
        <v>-6</v>
      </c>
      <c r="Y29" s="659">
        <v>1</v>
      </c>
      <c r="Z29" s="1214">
        <v>46035</v>
      </c>
      <c r="AA29" s="355">
        <v>1</v>
      </c>
      <c r="AB29" s="1519">
        <v>0</v>
      </c>
      <c r="AC29" s="1502">
        <v>0</v>
      </c>
      <c r="AD29" s="1470" t="s">
        <v>412</v>
      </c>
    </row>
    <row r="30" spans="1:30" ht="39.75" customHeight="1">
      <c r="A30" s="1260" t="s">
        <v>413</v>
      </c>
      <c r="B30" s="1190" t="s">
        <v>101</v>
      </c>
      <c r="C30" s="1189">
        <v>45675</v>
      </c>
      <c r="D30" s="1189" t="s">
        <v>139</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141</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141</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144</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139</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0">
        <v>5829</v>
      </c>
      <c r="X35" s="1393">
        <f t="shared" ref="X35:X38" si="15">SUM(V35-W35)</f>
        <v>31</v>
      </c>
      <c r="Y35" s="1140">
        <f t="shared" si="13"/>
        <v>0.99470989761092155</v>
      </c>
      <c r="Z35" s="1508">
        <v>46034</v>
      </c>
      <c r="AA35" s="1271">
        <v>0</v>
      </c>
      <c r="AB35" s="1271">
        <v>0</v>
      </c>
      <c r="AC35" s="1270">
        <v>0</v>
      </c>
      <c r="AD35" s="1243" t="s">
        <v>429</v>
      </c>
    </row>
    <row r="36" spans="1:30" ht="39.75" customHeight="1">
      <c r="A36" s="1459" t="s">
        <v>430</v>
      </c>
      <c r="B36" s="1276" t="s">
        <v>293</v>
      </c>
      <c r="C36" s="1372">
        <v>46052</v>
      </c>
      <c r="D36" s="1361" t="s">
        <v>139</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0">
        <v>6080</v>
      </c>
      <c r="X36" s="1393">
        <f t="shared" si="15"/>
        <v>-59</v>
      </c>
      <c r="Y36" s="1140">
        <f t="shared" si="13"/>
        <v>1.0097990367048664</v>
      </c>
      <c r="Z36" s="1508">
        <v>46035</v>
      </c>
      <c r="AA36" s="1271">
        <v>0</v>
      </c>
      <c r="AB36" s="1271">
        <v>0</v>
      </c>
      <c r="AC36" s="1270">
        <v>0</v>
      </c>
      <c r="AD36" s="1243" t="s">
        <v>431</v>
      </c>
    </row>
    <row r="37" spans="1:30" ht="39.75" customHeight="1">
      <c r="A37" s="1459" t="s">
        <v>432</v>
      </c>
      <c r="B37" s="1276" t="s">
        <v>293</v>
      </c>
      <c r="C37" s="1372">
        <v>46052</v>
      </c>
      <c r="D37" s="1361" t="s">
        <v>139</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0">
        <v>4810</v>
      </c>
      <c r="X37" s="1394">
        <f t="shared" si="15"/>
        <v>26</v>
      </c>
      <c r="Y37" s="1380">
        <f t="shared" si="13"/>
        <v>0.9946236559139785</v>
      </c>
      <c r="Z37" s="1513">
        <v>46036</v>
      </c>
      <c r="AA37" s="1271">
        <v>0</v>
      </c>
      <c r="AB37" s="1271">
        <v>0</v>
      </c>
      <c r="AC37" s="1270">
        <v>0</v>
      </c>
      <c r="AD37" s="1243" t="s">
        <v>433</v>
      </c>
    </row>
    <row r="38" spans="1:30" ht="39.75" customHeight="1">
      <c r="A38" s="1459" t="s">
        <v>434</v>
      </c>
      <c r="B38" s="1276" t="s">
        <v>293</v>
      </c>
      <c r="C38" s="1372">
        <v>46052</v>
      </c>
      <c r="D38" s="1361" t="s">
        <v>139</v>
      </c>
      <c r="E38" s="1277">
        <v>46027</v>
      </c>
      <c r="F38" s="1190" t="s">
        <v>144</v>
      </c>
      <c r="G38" s="1279"/>
      <c r="H38" s="1280">
        <v>0</v>
      </c>
      <c r="I38" s="657" t="s">
        <v>344</v>
      </c>
      <c r="J38" s="1284" t="s">
        <v>63</v>
      </c>
      <c r="K38" s="1496"/>
      <c r="L38" s="1277">
        <v>46027</v>
      </c>
      <c r="M38" s="1211" t="s">
        <v>57</v>
      </c>
      <c r="N38" s="1308">
        <v>18078.28</v>
      </c>
      <c r="O38" s="1365" t="s">
        <v>57</v>
      </c>
      <c r="P38" s="1309" t="s">
        <v>345</v>
      </c>
      <c r="Q38" s="1241">
        <v>46027</v>
      </c>
      <c r="R38" s="1478"/>
      <c r="S38" s="1350"/>
      <c r="T38" s="1391"/>
      <c r="U38" s="1350"/>
      <c r="V38" s="31">
        <v>1284</v>
      </c>
      <c r="W38" s="1521">
        <v>1277</v>
      </c>
      <c r="X38" s="1251">
        <f t="shared" si="15"/>
        <v>7</v>
      </c>
      <c r="Y38" s="870">
        <f t="shared" si="13"/>
        <v>0.99454828660436134</v>
      </c>
      <c r="Z38" s="1508">
        <v>46042</v>
      </c>
      <c r="AA38" s="1457">
        <v>0</v>
      </c>
      <c r="AB38" s="1271">
        <v>0</v>
      </c>
      <c r="AC38" s="1270">
        <v>0</v>
      </c>
      <c r="AD38" s="1243" t="s">
        <v>435</v>
      </c>
    </row>
    <row r="39" spans="1:30" ht="39.75" customHeight="1">
      <c r="A39" s="1138" t="s">
        <v>436</v>
      </c>
      <c r="B39" s="1139" t="s">
        <v>293</v>
      </c>
      <c r="C39" s="375">
        <v>46019</v>
      </c>
      <c r="D39" s="968" t="s">
        <v>139</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139</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139</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139</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139</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139</v>
      </c>
      <c r="E44" s="1278">
        <v>45993</v>
      </c>
      <c r="F44" s="1279" t="s">
        <v>144</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139</v>
      </c>
      <c r="E45" s="375">
        <v>45959</v>
      </c>
      <c r="F45" s="374" t="s">
        <v>144</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139</v>
      </c>
      <c r="E46" s="375">
        <v>45959</v>
      </c>
      <c r="F46" s="374" t="s">
        <v>144</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139</v>
      </c>
      <c r="E47" s="375">
        <v>45959</v>
      </c>
      <c r="F47" s="374" t="s">
        <v>144</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139</v>
      </c>
      <c r="E48" s="375">
        <v>45959</v>
      </c>
      <c r="F48" s="374" t="s">
        <v>144</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139</v>
      </c>
      <c r="E49" s="375">
        <v>45959</v>
      </c>
      <c r="F49" s="374" t="s">
        <v>144</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139</v>
      </c>
      <c r="E50" s="375">
        <v>45959</v>
      </c>
      <c r="F50" s="374" t="s">
        <v>144</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139</v>
      </c>
      <c r="E51" s="1278">
        <v>45959</v>
      </c>
      <c r="F51" s="1279" t="s">
        <v>144</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139</v>
      </c>
      <c r="E52" s="375">
        <v>45959</v>
      </c>
      <c r="F52" s="374" t="s">
        <v>144</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139</v>
      </c>
      <c r="E53" s="1278">
        <v>45959</v>
      </c>
      <c r="F53" s="1279" t="s">
        <v>144</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139</v>
      </c>
      <c r="E54" s="375">
        <v>45959</v>
      </c>
      <c r="F54" s="374" t="s">
        <v>144</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139</v>
      </c>
      <c r="E55" s="1278">
        <v>45959</v>
      </c>
      <c r="F55" s="1279" t="s">
        <v>144</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139</v>
      </c>
      <c r="E56" s="1278">
        <v>45959</v>
      </c>
      <c r="F56" s="1279" t="s">
        <v>144</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139</v>
      </c>
      <c r="E57" s="1278">
        <v>45959</v>
      </c>
      <c r="F57" s="1279" t="s">
        <v>144</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139</v>
      </c>
      <c r="E58" s="1278">
        <v>45959</v>
      </c>
      <c r="F58" s="1279" t="s">
        <v>144</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139</v>
      </c>
      <c r="E59" s="1278">
        <v>45987</v>
      </c>
      <c r="F59" s="1279" t="s">
        <v>144</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139</v>
      </c>
      <c r="E60" s="1278">
        <v>45987</v>
      </c>
      <c r="F60" s="1382" t="s">
        <v>144</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139</v>
      </c>
      <c r="E61" s="1278">
        <v>45959</v>
      </c>
      <c r="F61" s="1279" t="s">
        <v>144</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139</v>
      </c>
      <c r="E62" s="1278">
        <v>45959</v>
      </c>
      <c r="F62" s="1279" t="s">
        <v>144</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139</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139</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123</v>
      </c>
      <c r="E12" s="476">
        <v>45889</v>
      </c>
      <c r="F12" s="487" t="s">
        <v>144</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139</v>
      </c>
      <c r="E13" s="467">
        <v>45896</v>
      </c>
      <c r="F13" s="465" t="s">
        <v>144</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139</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123</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139</v>
      </c>
      <c r="E16" s="639">
        <v>45910</v>
      </c>
      <c r="F16" s="639" t="s">
        <v>144</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123</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123</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139</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139</v>
      </c>
      <c r="E20" s="467">
        <v>45979</v>
      </c>
      <c r="F20" s="465" t="s">
        <v>144</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139</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139</v>
      </c>
      <c r="E22" s="467">
        <v>45915</v>
      </c>
      <c r="F22" s="639" t="s">
        <v>144</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139</v>
      </c>
      <c r="E23" s="467">
        <v>45932</v>
      </c>
      <c r="F23" s="465" t="s">
        <v>144</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181</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139</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139</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139</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181</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139</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139</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139</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139</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139</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139</v>
      </c>
      <c r="E35" s="1189">
        <v>46002</v>
      </c>
      <c r="F35" s="1190" t="s">
        <v>124</v>
      </c>
      <c r="G35" s="1190" t="s">
        <v>612</v>
      </c>
      <c r="H35" s="1191">
        <v>0</v>
      </c>
      <c r="I35" s="1191" t="s">
        <v>344</v>
      </c>
      <c r="J35" s="1191" t="s">
        <v>63</v>
      </c>
      <c r="K35" s="469"/>
      <c r="L35" s="1189" t="s">
        <v>141</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139</v>
      </c>
      <c r="E36" s="1189">
        <v>46002</v>
      </c>
      <c r="F36" s="1190" t="s">
        <v>124</v>
      </c>
      <c r="G36" s="1190"/>
      <c r="H36" s="1191">
        <v>0</v>
      </c>
      <c r="I36" s="1191" t="s">
        <v>344</v>
      </c>
      <c r="J36" s="1191" t="s">
        <v>63</v>
      </c>
      <c r="K36" s="1191"/>
      <c r="L36" s="1189" t="s">
        <v>141</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181</v>
      </c>
      <c r="E37" s="467">
        <v>45953</v>
      </c>
      <c r="F37" s="465" t="s">
        <v>124</v>
      </c>
      <c r="G37" s="679" t="s">
        <v>617</v>
      </c>
      <c r="H37" s="469">
        <v>0</v>
      </c>
      <c r="I37" s="469" t="s">
        <v>344</v>
      </c>
      <c r="J37" s="469" t="s">
        <v>63</v>
      </c>
      <c r="K37" s="469"/>
      <c r="L37" s="467" t="s">
        <v>141</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181</v>
      </c>
      <c r="E38" s="467">
        <v>45961</v>
      </c>
      <c r="F38" s="465" t="s">
        <v>102</v>
      </c>
      <c r="G38" s="679"/>
      <c r="H38" s="469">
        <v>0</v>
      </c>
      <c r="I38" s="469" t="s">
        <v>344</v>
      </c>
      <c r="J38" s="469" t="s">
        <v>63</v>
      </c>
      <c r="K38" s="469"/>
      <c r="L38" s="467" t="s">
        <v>141</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139</v>
      </c>
      <c r="E7" s="375">
        <v>45813</v>
      </c>
      <c r="F7" s="586" t="s">
        <v>144</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139</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139</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139</v>
      </c>
      <c r="E10" s="51">
        <v>45828</v>
      </c>
      <c r="F10" s="381" t="s">
        <v>144</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144</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139</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139</v>
      </c>
      <c r="E13" s="51">
        <v>45706</v>
      </c>
      <c r="F13" s="655" t="s">
        <v>144</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139</v>
      </c>
      <c r="E14" s="51">
        <v>45755</v>
      </c>
      <c r="F14" s="655" t="s">
        <v>144</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144</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139</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139</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144</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139</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139</v>
      </c>
      <c r="E22" s="51">
        <v>45708</v>
      </c>
      <c r="F22" s="655" t="s">
        <v>144</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139</v>
      </c>
      <c r="E23" s="51">
        <v>45729</v>
      </c>
      <c r="F23" s="50" t="s">
        <v>144</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139</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139</v>
      </c>
      <c r="E25" s="51">
        <v>45712</v>
      </c>
      <c r="F25" s="655" t="s">
        <v>144</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139</v>
      </c>
      <c r="E26" s="51">
        <v>45735</v>
      </c>
      <c r="F26" s="655" t="s">
        <v>144</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139</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139</v>
      </c>
      <c r="E28" s="381">
        <v>45695</v>
      </c>
      <c r="F28" s="381" t="s">
        <v>144</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139</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723</v>
      </c>
      <c r="B30" s="374" t="s">
        <v>101</v>
      </c>
      <c r="C30" s="51">
        <v>45930</v>
      </c>
      <c r="D30" s="375" t="s">
        <v>139</v>
      </c>
      <c r="E30" s="646">
        <v>45910</v>
      </c>
      <c r="F30" s="646" t="s">
        <v>144</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139</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139</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139</v>
      </c>
      <c r="E33" s="646">
        <v>45833</v>
      </c>
      <c r="F33" s="374" t="s">
        <v>144</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139</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139</v>
      </c>
      <c r="E35" s="375">
        <v>45887</v>
      </c>
      <c r="F35" s="586" t="s">
        <v>144</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139</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139</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139</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139</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144</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139</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144</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139</v>
      </c>
      <c r="E44" s="935">
        <v>45870</v>
      </c>
      <c r="F44" s="1155" t="s">
        <v>144</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139</v>
      </c>
      <c r="E45" s="646">
        <v>45695</v>
      </c>
      <c r="F45" s="646" t="s">
        <v>144</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139</v>
      </c>
      <c r="E46" s="935">
        <v>45870</v>
      </c>
      <c r="F46" s="1155" t="s">
        <v>144</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139</v>
      </c>
      <c r="E47" s="882">
        <v>45882</v>
      </c>
      <c r="F47" s="1012" t="s">
        <v>144</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139</v>
      </c>
      <c r="E48" s="476">
        <v>45786</v>
      </c>
      <c r="F48" s="487" t="s">
        <v>144</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139</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139</v>
      </c>
      <c r="E56" s="51">
        <v>45763</v>
      </c>
      <c r="F56" s="646" t="s">
        <v>144</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123</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139</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139</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139</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123</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139</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139</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123</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123</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139</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123</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123</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123</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123</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123</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139</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123</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139</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139</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139</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139</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139</v>
      </c>
      <c r="E131" s="375">
        <v>45873</v>
      </c>
      <c r="F131" s="586" t="s">
        <v>144</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139</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139</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139</v>
      </c>
      <c r="E136" s="51">
        <v>45884</v>
      </c>
      <c r="F136" s="50" t="s">
        <v>144</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139</v>
      </c>
      <c r="E137" s="375">
        <v>45796</v>
      </c>
      <c r="F137" s="586" t="s">
        <v>144</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139</v>
      </c>
      <c r="E138" s="822">
        <v>45880</v>
      </c>
      <c r="F138" s="428" t="s">
        <v>144</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139</v>
      </c>
      <c r="E139" s="646">
        <v>45882</v>
      </c>
      <c r="F139" s="646" t="s">
        <v>144</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139</v>
      </c>
      <c r="E140" s="375">
        <v>45896</v>
      </c>
      <c r="F140" s="586" t="s">
        <v>144</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139</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123</v>
      </c>
      <c r="E142" s="51">
        <v>45887</v>
      </c>
      <c r="F142" s="381" t="s">
        <v>144</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139</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139</v>
      </c>
      <c r="E144" s="51">
        <v>45896</v>
      </c>
      <c r="F144" s="381" t="s">
        <v>144</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139</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139</v>
      </c>
      <c r="E146" s="51">
        <v>45915</v>
      </c>
      <c r="F146" s="655" t="s">
        <v>144</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139</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181</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139</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139</v>
      </c>
      <c r="E152" s="882">
        <v>45882</v>
      </c>
      <c r="F152" s="1012" t="s">
        <v>144</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139</v>
      </c>
      <c r="E155" s="57">
        <v>45874</v>
      </c>
      <c r="F155" s="768" t="s">
        <v>144</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123</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123</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139</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139</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139</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139</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139</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144</v>
      </c>
      <c r="G180" s="900"/>
      <c r="H180" s="904">
        <v>0</v>
      </c>
      <c r="I180" s="905" t="s">
        <v>345</v>
      </c>
      <c r="J180" s="904" t="s">
        <v>56</v>
      </c>
      <c r="K180" s="901"/>
      <c r="L180" s="906" t="s">
        <v>56</v>
      </c>
      <c r="M180" s="904" t="s">
        <v>84</v>
      </c>
      <c r="N180" s="907">
        <v>0</v>
      </c>
      <c r="O180" s="904" t="s">
        <v>84</v>
      </c>
      <c r="P180" s="908" t="s">
        <v>345</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144</v>
      </c>
      <c r="G181" s="852"/>
      <c r="H181" s="853">
        <v>0</v>
      </c>
      <c r="I181" s="859" t="s">
        <v>345</v>
      </c>
      <c r="J181" s="853" t="s">
        <v>56</v>
      </c>
      <c r="K181" s="858"/>
      <c r="L181" s="860" t="s">
        <v>56</v>
      </c>
      <c r="M181" s="853" t="s">
        <v>84</v>
      </c>
      <c r="N181" s="854">
        <v>0</v>
      </c>
      <c r="O181" s="853" t="s">
        <v>84</v>
      </c>
      <c r="P181" s="855" t="s">
        <v>345</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F4">
        <v>1049</v>
      </c>
      <c r="G4">
        <v>1049</v>
      </c>
      <c r="J4" s="44" t="s">
        <v>1088</v>
      </c>
      <c r="K4" t="s">
        <v>1089</v>
      </c>
      <c r="N4" s="44" t="s">
        <v>1088</v>
      </c>
      <c r="O4" t="s">
        <v>1090</v>
      </c>
      <c r="P4" t="s">
        <v>1091</v>
      </c>
      <c r="Q4" t="s">
        <v>1092</v>
      </c>
      <c r="R4" t="s">
        <v>1086</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139</v>
      </c>
      <c r="K6">
        <v>22274</v>
      </c>
      <c r="N6" t="s">
        <v>139</v>
      </c>
      <c r="O6">
        <v>11735</v>
      </c>
      <c r="P6">
        <v>42799</v>
      </c>
      <c r="Q6">
        <v>33743</v>
      </c>
      <c r="R6">
        <v>88277</v>
      </c>
    </row>
    <row r="7" spans="1:18">
      <c r="A7" t="s">
        <v>851</v>
      </c>
      <c r="B7">
        <v>2677</v>
      </c>
      <c r="G7">
        <v>2677</v>
      </c>
      <c r="J7" t="s">
        <v>1093</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698</v>
      </c>
      <c r="E9">
        <v>106</v>
      </c>
      <c r="G9">
        <v>106</v>
      </c>
      <c r="J9" t="s">
        <v>890</v>
      </c>
      <c r="K9">
        <v>0</v>
      </c>
      <c r="N9" t="s">
        <v>1094</v>
      </c>
      <c r="P9">
        <v>2546</v>
      </c>
      <c r="Q9">
        <v>627</v>
      </c>
      <c r="R9">
        <v>3173</v>
      </c>
    </row>
    <row r="10" spans="1:18">
      <c r="A10" t="s">
        <v>702</v>
      </c>
      <c r="C10">
        <v>534</v>
      </c>
      <c r="D10">
        <v>460</v>
      </c>
      <c r="E10">
        <v>886</v>
      </c>
      <c r="F10">
        <v>202</v>
      </c>
      <c r="G10">
        <v>2082</v>
      </c>
      <c r="J10" t="s">
        <v>913</v>
      </c>
      <c r="K10">
        <v>933</v>
      </c>
      <c r="N10" t="s">
        <v>1095</v>
      </c>
      <c r="O10">
        <v>3226</v>
      </c>
      <c r="P10">
        <v>17340</v>
      </c>
      <c r="Q10">
        <v>7593</v>
      </c>
      <c r="R10">
        <v>28159</v>
      </c>
    </row>
    <row r="11" spans="1:18">
      <c r="A11" t="s">
        <v>958</v>
      </c>
      <c r="C11">
        <v>1990</v>
      </c>
      <c r="D11">
        <v>1045</v>
      </c>
      <c r="G11">
        <v>3035</v>
      </c>
      <c r="J11" t="s">
        <v>1094</v>
      </c>
      <c r="K11">
        <v>627</v>
      </c>
      <c r="N11" t="s">
        <v>123</v>
      </c>
      <c r="O11">
        <v>6056</v>
      </c>
      <c r="P11">
        <v>14625</v>
      </c>
      <c r="Q11">
        <v>17060</v>
      </c>
      <c r="R11">
        <v>37741</v>
      </c>
    </row>
    <row r="12" spans="1:18">
      <c r="A12" t="s">
        <v>1086</v>
      </c>
      <c r="B12">
        <v>2677</v>
      </c>
      <c r="C12">
        <v>2967</v>
      </c>
      <c r="D12">
        <v>3297</v>
      </c>
      <c r="E12">
        <v>2384</v>
      </c>
      <c r="F12">
        <v>1394</v>
      </c>
      <c r="G12">
        <v>12719</v>
      </c>
      <c r="J12" t="s">
        <v>1095</v>
      </c>
      <c r="K12">
        <v>3502</v>
      </c>
      <c r="N12" t="s">
        <v>656</v>
      </c>
      <c r="P12">
        <v>5968</v>
      </c>
      <c r="Q12">
        <v>20002</v>
      </c>
      <c r="R12">
        <v>25970</v>
      </c>
    </row>
    <row r="13" spans="1:18">
      <c r="J13" t="s">
        <v>123</v>
      </c>
      <c r="K13">
        <v>7128</v>
      </c>
      <c r="N13" t="s">
        <v>841</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656</v>
      </c>
      <c r="K15">
        <v>13034</v>
      </c>
    </row>
    <row r="16" spans="1:18">
      <c r="A16" s="44" t="s">
        <v>1085</v>
      </c>
      <c r="B16" s="111">
        <v>45705</v>
      </c>
      <c r="C16" s="111">
        <v>45706</v>
      </c>
      <c r="D16" s="111">
        <v>45707</v>
      </c>
      <c r="E16" s="111">
        <v>45708</v>
      </c>
      <c r="F16" s="111">
        <v>45709</v>
      </c>
      <c r="G16" t="s">
        <v>1086</v>
      </c>
      <c r="J16" t="s">
        <v>821</v>
      </c>
      <c r="K16">
        <v>4828</v>
      </c>
    </row>
    <row r="17" spans="1:11">
      <c r="A17" t="s">
        <v>834</v>
      </c>
      <c r="E17">
        <v>547</v>
      </c>
      <c r="F17">
        <v>792</v>
      </c>
      <c r="G17">
        <v>1339</v>
      </c>
      <c r="J17" t="s">
        <v>841</v>
      </c>
      <c r="K17">
        <v>6718</v>
      </c>
    </row>
    <row r="18" spans="1:11">
      <c r="A18" t="s">
        <v>837</v>
      </c>
      <c r="F18">
        <v>823</v>
      </c>
      <c r="G18">
        <v>823</v>
      </c>
      <c r="J18" t="s">
        <v>529</v>
      </c>
    </row>
    <row r="19" spans="1:11">
      <c r="A19" t="s">
        <v>847</v>
      </c>
      <c r="E19">
        <v>23</v>
      </c>
      <c r="F19">
        <v>24</v>
      </c>
      <c r="G19">
        <v>47</v>
      </c>
      <c r="J19" t="s">
        <v>1086</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698</v>
      </c>
      <c r="F26">
        <v>21</v>
      </c>
      <c r="G26">
        <v>21</v>
      </c>
    </row>
    <row r="27" spans="1:11">
      <c r="A27" t="s">
        <v>702</v>
      </c>
      <c r="B27">
        <v>383</v>
      </c>
      <c r="C27">
        <v>1017</v>
      </c>
      <c r="D27">
        <v>242</v>
      </c>
      <c r="E27">
        <v>424</v>
      </c>
      <c r="F27">
        <v>19</v>
      </c>
      <c r="G27">
        <v>2085</v>
      </c>
    </row>
    <row r="28" spans="1:11">
      <c r="A28" t="s">
        <v>719</v>
      </c>
      <c r="C28">
        <v>1050</v>
      </c>
      <c r="G28">
        <v>1050</v>
      </c>
    </row>
    <row r="29" spans="1:11">
      <c r="A29" t="s">
        <v>830</v>
      </c>
      <c r="E29">
        <v>1400</v>
      </c>
      <c r="F29">
        <v>1462</v>
      </c>
      <c r="G29">
        <v>2862</v>
      </c>
    </row>
    <row r="30" spans="1:11">
      <c r="A30" t="s">
        <v>831</v>
      </c>
      <c r="E30">
        <v>1806</v>
      </c>
      <c r="F30">
        <v>345</v>
      </c>
      <c r="G30">
        <v>2151</v>
      </c>
    </row>
    <row r="31" spans="1:11">
      <c r="A31" t="s">
        <v>683</v>
      </c>
      <c r="E31">
        <v>47</v>
      </c>
      <c r="F31">
        <v>1494</v>
      </c>
      <c r="G31">
        <v>1541</v>
      </c>
    </row>
    <row r="32" spans="1:11">
      <c r="A32" t="s">
        <v>632</v>
      </c>
    </row>
    <row r="33" spans="1:7">
      <c r="A33" t="s">
        <v>824</v>
      </c>
      <c r="F33">
        <v>1095</v>
      </c>
      <c r="G33">
        <v>1095</v>
      </c>
    </row>
    <row r="34" spans="1:7">
      <c r="A34" t="s">
        <v>827</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698</v>
      </c>
      <c r="F49">
        <v>3</v>
      </c>
      <c r="G49">
        <v>3</v>
      </c>
    </row>
    <row r="50" spans="1:7">
      <c r="A50" t="s">
        <v>702</v>
      </c>
      <c r="C50">
        <v>236</v>
      </c>
      <c r="F50">
        <v>0</v>
      </c>
      <c r="G50">
        <v>236</v>
      </c>
    </row>
    <row r="51" spans="1:7">
      <c r="A51" t="s">
        <v>719</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683</v>
      </c>
      <c r="B55">
        <v>2087</v>
      </c>
      <c r="F55">
        <v>0</v>
      </c>
      <c r="G55">
        <v>2087</v>
      </c>
    </row>
    <row r="56" spans="1:7">
      <c r="A56" t="s">
        <v>632</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695</v>
      </c>
      <c r="F61">
        <v>0</v>
      </c>
      <c r="G61">
        <v>0</v>
      </c>
    </row>
    <row r="62" spans="1:7">
      <c r="A62" t="s">
        <v>700</v>
      </c>
      <c r="F62">
        <v>0</v>
      </c>
      <c r="G62">
        <v>0</v>
      </c>
    </row>
    <row r="63" spans="1:7">
      <c r="A63" t="s">
        <v>705</v>
      </c>
      <c r="F63">
        <v>0</v>
      </c>
      <c r="G63">
        <v>0</v>
      </c>
    </row>
    <row r="64" spans="1:7">
      <c r="A64" t="s">
        <v>750</v>
      </c>
      <c r="C64">
        <v>214</v>
      </c>
      <c r="F64">
        <v>0</v>
      </c>
      <c r="G64">
        <v>214</v>
      </c>
    </row>
    <row r="65" spans="1:7">
      <c r="A65" t="s">
        <v>820</v>
      </c>
      <c r="C65">
        <v>956</v>
      </c>
      <c r="E65">
        <v>1168</v>
      </c>
      <c r="F65">
        <v>0</v>
      </c>
      <c r="G65">
        <v>2124</v>
      </c>
    </row>
    <row r="66" spans="1:7">
      <c r="A66" t="s">
        <v>1097</v>
      </c>
      <c r="F66">
        <v>0</v>
      </c>
      <c r="G66">
        <v>0</v>
      </c>
    </row>
    <row r="67" spans="1:7">
      <c r="A67" t="s">
        <v>840</v>
      </c>
      <c r="D67">
        <v>1090</v>
      </c>
      <c r="E67">
        <v>840</v>
      </c>
      <c r="F67">
        <v>530</v>
      </c>
      <c r="G67">
        <v>2460</v>
      </c>
    </row>
    <row r="68" spans="1:7">
      <c r="A68" t="s">
        <v>1098</v>
      </c>
      <c r="D68">
        <v>120</v>
      </c>
      <c r="G68">
        <v>120</v>
      </c>
    </row>
    <row r="69" spans="1:7">
      <c r="A69" t="s">
        <v>907</v>
      </c>
      <c r="D69">
        <v>399</v>
      </c>
      <c r="E69">
        <v>335</v>
      </c>
      <c r="F69">
        <v>1339</v>
      </c>
      <c r="G69">
        <v>2073</v>
      </c>
    </row>
    <row r="70" spans="1:7">
      <c r="A70" t="s">
        <v>941</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698</v>
      </c>
      <c r="B85">
        <v>0</v>
      </c>
      <c r="D85">
        <v>0</v>
      </c>
      <c r="E85">
        <v>0</v>
      </c>
      <c r="F85">
        <v>0</v>
      </c>
      <c r="G85">
        <v>0</v>
      </c>
    </row>
    <row r="86" spans="1:7">
      <c r="A86" t="s">
        <v>702</v>
      </c>
      <c r="B86">
        <v>0</v>
      </c>
      <c r="D86">
        <v>0</v>
      </c>
      <c r="E86">
        <v>0</v>
      </c>
      <c r="F86">
        <v>0</v>
      </c>
      <c r="G86">
        <v>0</v>
      </c>
    </row>
    <row r="87" spans="1:7">
      <c r="A87" t="s">
        <v>719</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683</v>
      </c>
      <c r="B91">
        <v>0</v>
      </c>
      <c r="D91">
        <v>0</v>
      </c>
      <c r="E91">
        <v>0</v>
      </c>
      <c r="F91">
        <v>0</v>
      </c>
      <c r="G91">
        <v>0</v>
      </c>
    </row>
    <row r="92" spans="1:7">
      <c r="A92" t="s">
        <v>632</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695</v>
      </c>
      <c r="B97">
        <v>0</v>
      </c>
      <c r="D97">
        <v>0</v>
      </c>
      <c r="E97">
        <v>0</v>
      </c>
      <c r="F97">
        <v>0</v>
      </c>
      <c r="G97">
        <v>0</v>
      </c>
    </row>
    <row r="98" spans="1:7">
      <c r="A98" t="s">
        <v>700</v>
      </c>
      <c r="B98">
        <v>0</v>
      </c>
      <c r="D98">
        <v>0</v>
      </c>
      <c r="E98">
        <v>35</v>
      </c>
      <c r="F98">
        <v>0</v>
      </c>
      <c r="G98">
        <v>35</v>
      </c>
    </row>
    <row r="99" spans="1:7">
      <c r="A99" t="s">
        <v>705</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1097</v>
      </c>
      <c r="B102">
        <v>0</v>
      </c>
      <c r="D102">
        <v>0</v>
      </c>
      <c r="E102">
        <v>0</v>
      </c>
      <c r="F102">
        <v>0</v>
      </c>
      <c r="G102">
        <v>0</v>
      </c>
    </row>
    <row r="103" spans="1:7">
      <c r="A103" t="s">
        <v>840</v>
      </c>
      <c r="B103">
        <v>0</v>
      </c>
      <c r="D103">
        <v>372</v>
      </c>
      <c r="E103">
        <v>0</v>
      </c>
      <c r="F103">
        <v>0</v>
      </c>
      <c r="G103">
        <v>372</v>
      </c>
    </row>
    <row r="104" spans="1:7">
      <c r="A104" t="s">
        <v>1098</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687</v>
      </c>
      <c r="B108">
        <v>1454</v>
      </c>
      <c r="C108">
        <v>1360</v>
      </c>
      <c r="D108">
        <v>1263</v>
      </c>
      <c r="E108">
        <v>0</v>
      </c>
      <c r="F108">
        <v>0</v>
      </c>
      <c r="G108">
        <v>4077</v>
      </c>
    </row>
    <row r="109" spans="1:7">
      <c r="A109" t="s">
        <v>936</v>
      </c>
      <c r="B109">
        <v>2215</v>
      </c>
      <c r="C109">
        <v>0</v>
      </c>
      <c r="D109">
        <v>0</v>
      </c>
      <c r="E109">
        <v>0</v>
      </c>
      <c r="F109">
        <v>0</v>
      </c>
      <c r="G109">
        <v>2215</v>
      </c>
    </row>
    <row r="110" spans="1:7">
      <c r="A110" t="s">
        <v>1100</v>
      </c>
      <c r="C110">
        <v>285</v>
      </c>
      <c r="G110">
        <v>285</v>
      </c>
    </row>
    <row r="111" spans="1:7">
      <c r="A111" t="s">
        <v>666</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685</v>
      </c>
      <c r="E115">
        <v>1357</v>
      </c>
      <c r="F115">
        <v>0</v>
      </c>
      <c r="G115">
        <v>1357</v>
      </c>
    </row>
    <row r="116" spans="1:7">
      <c r="A116" t="s">
        <v>873</v>
      </c>
      <c r="E116">
        <v>874</v>
      </c>
      <c r="F116">
        <v>1602</v>
      </c>
      <c r="G116">
        <v>2476</v>
      </c>
    </row>
    <row r="117" spans="1:7">
      <c r="A117" t="s">
        <v>793</v>
      </c>
      <c r="F117">
        <v>20</v>
      </c>
      <c r="G117">
        <v>20</v>
      </c>
    </row>
    <row r="118" spans="1:7">
      <c r="A118" t="s">
        <v>707</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698</v>
      </c>
      <c r="B132">
        <v>0</v>
      </c>
      <c r="C132">
        <v>0</v>
      </c>
      <c r="D132">
        <v>0</v>
      </c>
      <c r="G132">
        <v>0</v>
      </c>
    </row>
    <row r="133" spans="1:7">
      <c r="A133" t="s">
        <v>702</v>
      </c>
      <c r="B133">
        <v>0</v>
      </c>
      <c r="C133">
        <v>0</v>
      </c>
      <c r="D133">
        <v>0</v>
      </c>
      <c r="G133">
        <v>0</v>
      </c>
    </row>
    <row r="134" spans="1:7">
      <c r="A134" t="s">
        <v>719</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683</v>
      </c>
      <c r="B138">
        <v>0</v>
      </c>
      <c r="C138">
        <v>0</v>
      </c>
      <c r="D138">
        <v>0</v>
      </c>
      <c r="E138">
        <v>0</v>
      </c>
      <c r="G138">
        <v>0</v>
      </c>
    </row>
    <row r="139" spans="1:7">
      <c r="A139" t="s">
        <v>632</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695</v>
      </c>
      <c r="B144">
        <v>0</v>
      </c>
      <c r="C144">
        <v>0</v>
      </c>
      <c r="D144">
        <v>0</v>
      </c>
      <c r="G144">
        <v>0</v>
      </c>
    </row>
    <row r="145" spans="1:7">
      <c r="A145" t="s">
        <v>700</v>
      </c>
      <c r="B145">
        <v>0</v>
      </c>
      <c r="C145">
        <v>0</v>
      </c>
      <c r="D145">
        <v>0</v>
      </c>
      <c r="G145">
        <v>0</v>
      </c>
    </row>
    <row r="146" spans="1:7">
      <c r="A146" t="s">
        <v>705</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1097</v>
      </c>
      <c r="B149">
        <v>0</v>
      </c>
      <c r="C149">
        <v>106</v>
      </c>
      <c r="D149">
        <v>0</v>
      </c>
      <c r="E149">
        <v>0</v>
      </c>
      <c r="F149">
        <v>0</v>
      </c>
      <c r="G149">
        <v>106</v>
      </c>
    </row>
    <row r="150" spans="1:7">
      <c r="A150" t="s">
        <v>840</v>
      </c>
      <c r="B150">
        <v>649</v>
      </c>
      <c r="C150">
        <v>528</v>
      </c>
      <c r="D150">
        <v>489</v>
      </c>
      <c r="E150">
        <v>534</v>
      </c>
      <c r="G150">
        <v>2200</v>
      </c>
    </row>
    <row r="151" spans="1:7">
      <c r="A151" t="s">
        <v>1098</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1099</v>
      </c>
      <c r="E154">
        <v>0</v>
      </c>
      <c r="F154">
        <v>0</v>
      </c>
      <c r="G154">
        <v>0</v>
      </c>
    </row>
    <row r="155" spans="1:7">
      <c r="A155" t="s">
        <v>939</v>
      </c>
      <c r="B155">
        <v>0</v>
      </c>
      <c r="C155">
        <v>0</v>
      </c>
      <c r="D155">
        <v>0</v>
      </c>
      <c r="E155">
        <v>0</v>
      </c>
      <c r="F155">
        <v>0</v>
      </c>
      <c r="G155">
        <v>0</v>
      </c>
    </row>
    <row r="156" spans="1:7">
      <c r="A156" t="s">
        <v>687</v>
      </c>
      <c r="B156">
        <v>0</v>
      </c>
      <c r="C156">
        <v>0</v>
      </c>
      <c r="D156">
        <v>0</v>
      </c>
      <c r="E156">
        <v>0</v>
      </c>
      <c r="F156">
        <v>0</v>
      </c>
      <c r="G156">
        <v>0</v>
      </c>
    </row>
    <row r="157" spans="1:7">
      <c r="A157" t="s">
        <v>936</v>
      </c>
      <c r="B157">
        <v>0</v>
      </c>
      <c r="C157">
        <v>0</v>
      </c>
      <c r="D157">
        <v>0</v>
      </c>
      <c r="E157">
        <v>0</v>
      </c>
      <c r="F157">
        <v>0</v>
      </c>
      <c r="G157">
        <v>0</v>
      </c>
    </row>
    <row r="158" spans="1:7">
      <c r="A158" t="s">
        <v>666</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685</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713</v>
      </c>
      <c r="C165">
        <v>1710</v>
      </c>
      <c r="D165">
        <v>1700</v>
      </c>
      <c r="E165">
        <v>0</v>
      </c>
      <c r="F165">
        <v>0</v>
      </c>
      <c r="G165">
        <v>3410</v>
      </c>
    </row>
    <row r="166" spans="1:7">
      <c r="A166" t="s">
        <v>953</v>
      </c>
      <c r="C166">
        <v>304</v>
      </c>
      <c r="D166">
        <v>205</v>
      </c>
      <c r="E166">
        <v>451</v>
      </c>
      <c r="F166">
        <v>0</v>
      </c>
      <c r="G166">
        <v>960</v>
      </c>
    </row>
    <row r="167" spans="1:7">
      <c r="A167" t="s">
        <v>1101</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1050</v>
      </c>
      <c r="D171">
        <v>2760</v>
      </c>
      <c r="E171">
        <v>945</v>
      </c>
      <c r="F171">
        <v>1073</v>
      </c>
      <c r="G171">
        <v>4778</v>
      </c>
    </row>
    <row r="172" spans="1:7">
      <c r="A172" t="s">
        <v>910</v>
      </c>
      <c r="D172">
        <v>1246</v>
      </c>
      <c r="E172">
        <v>664</v>
      </c>
      <c r="F172">
        <v>834</v>
      </c>
      <c r="G172">
        <v>2744</v>
      </c>
    </row>
    <row r="173" spans="1:7">
      <c r="A173" t="s">
        <v>707</v>
      </c>
      <c r="D173">
        <v>1353</v>
      </c>
      <c r="E173">
        <v>1123</v>
      </c>
      <c r="F173">
        <v>0</v>
      </c>
      <c r="G173">
        <v>2476</v>
      </c>
    </row>
    <row r="174" spans="1:7">
      <c r="A174" t="s">
        <v>844</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683</v>
      </c>
    </row>
    <row r="188" spans="1:7">
      <c r="A188" t="s">
        <v>632</v>
      </c>
    </row>
    <row r="189" spans="1:7">
      <c r="A189" t="s">
        <v>750</v>
      </c>
    </row>
    <row r="190" spans="1:7">
      <c r="A190" t="s">
        <v>820</v>
      </c>
      <c r="B190">
        <v>195</v>
      </c>
      <c r="D190">
        <v>187</v>
      </c>
      <c r="E190">
        <v>340</v>
      </c>
      <c r="F190">
        <v>270</v>
      </c>
      <c r="G190">
        <v>992</v>
      </c>
    </row>
    <row r="191" spans="1:7">
      <c r="A191" t="s">
        <v>1097</v>
      </c>
    </row>
    <row r="192" spans="1:7">
      <c r="A192" t="s">
        <v>941</v>
      </c>
      <c r="D192">
        <v>1409</v>
      </c>
      <c r="E192">
        <v>1016</v>
      </c>
      <c r="G192">
        <v>2425</v>
      </c>
    </row>
    <row r="193" spans="1:7">
      <c r="A193" t="s">
        <v>1099</v>
      </c>
    </row>
    <row r="194" spans="1:7">
      <c r="A194" t="s">
        <v>939</v>
      </c>
      <c r="C194">
        <v>1342</v>
      </c>
      <c r="G194">
        <v>1342</v>
      </c>
    </row>
    <row r="195" spans="1:7">
      <c r="A195" t="s">
        <v>687</v>
      </c>
    </row>
    <row r="196" spans="1:7">
      <c r="A196" t="s">
        <v>936</v>
      </c>
    </row>
    <row r="197" spans="1:7">
      <c r="A197" t="s">
        <v>666</v>
      </c>
      <c r="B197">
        <v>436</v>
      </c>
      <c r="E197">
        <v>6275</v>
      </c>
      <c r="G197">
        <v>6711</v>
      </c>
    </row>
    <row r="198" spans="1:7">
      <c r="A198" t="s">
        <v>945</v>
      </c>
      <c r="C198">
        <v>315</v>
      </c>
      <c r="G198">
        <v>315</v>
      </c>
    </row>
    <row r="199" spans="1:7">
      <c r="A199" t="s">
        <v>763</v>
      </c>
      <c r="C199">
        <v>1230</v>
      </c>
      <c r="D199">
        <v>200</v>
      </c>
      <c r="G199">
        <v>1430</v>
      </c>
    </row>
    <row r="200" spans="1:7">
      <c r="A200" t="s">
        <v>685</v>
      </c>
    </row>
    <row r="201" spans="1:7">
      <c r="A201" t="s">
        <v>873</v>
      </c>
      <c r="B201">
        <v>15</v>
      </c>
      <c r="G201">
        <v>15</v>
      </c>
    </row>
    <row r="202" spans="1:7">
      <c r="A202" t="s">
        <v>793</v>
      </c>
    </row>
    <row r="203" spans="1:7">
      <c r="A203" t="s">
        <v>713</v>
      </c>
    </row>
    <row r="204" spans="1:7">
      <c r="A204" t="s">
        <v>953</v>
      </c>
    </row>
    <row r="205" spans="1:7">
      <c r="A205" t="s">
        <v>1101</v>
      </c>
    </row>
    <row r="206" spans="1:7">
      <c r="A206" t="s">
        <v>943</v>
      </c>
      <c r="D206">
        <v>1460</v>
      </c>
      <c r="E206">
        <v>0</v>
      </c>
      <c r="F206">
        <v>420</v>
      </c>
      <c r="G206">
        <v>1880</v>
      </c>
    </row>
    <row r="207" spans="1:7">
      <c r="A207" t="s">
        <v>905</v>
      </c>
      <c r="B207">
        <v>919</v>
      </c>
      <c r="E207">
        <v>1672</v>
      </c>
      <c r="F207">
        <v>0</v>
      </c>
      <c r="G207">
        <v>2591</v>
      </c>
    </row>
    <row r="208" spans="1:7">
      <c r="A208" t="s">
        <v>1050</v>
      </c>
      <c r="B208">
        <v>2387</v>
      </c>
      <c r="C208">
        <v>841</v>
      </c>
      <c r="D208">
        <v>18</v>
      </c>
      <c r="E208">
        <v>0</v>
      </c>
      <c r="G208">
        <v>3246</v>
      </c>
    </row>
    <row r="209" spans="1:7">
      <c r="A209" t="s">
        <v>910</v>
      </c>
      <c r="B209">
        <v>1095</v>
      </c>
      <c r="C209">
        <v>65</v>
      </c>
      <c r="G209">
        <v>1160</v>
      </c>
    </row>
    <row r="210" spans="1:7">
      <c r="A210" t="s">
        <v>707</v>
      </c>
      <c r="B210">
        <v>1105</v>
      </c>
      <c r="G210">
        <v>1105</v>
      </c>
    </row>
    <row r="211" spans="1:7">
      <c r="A211" t="s">
        <v>844</v>
      </c>
      <c r="F211">
        <v>360</v>
      </c>
      <c r="G211">
        <v>360</v>
      </c>
    </row>
    <row r="212" spans="1:7">
      <c r="A212" t="s">
        <v>678</v>
      </c>
      <c r="B212">
        <v>920</v>
      </c>
      <c r="G212">
        <v>920</v>
      </c>
    </row>
    <row r="213" spans="1:7">
      <c r="A213" t="s">
        <v>815</v>
      </c>
      <c r="B213">
        <v>656</v>
      </c>
      <c r="D213">
        <v>728</v>
      </c>
      <c r="E213">
        <v>1400</v>
      </c>
      <c r="F213">
        <v>709</v>
      </c>
      <c r="G213">
        <v>3493</v>
      </c>
    </row>
    <row r="214" spans="1:7">
      <c r="A214" t="s">
        <v>1041</v>
      </c>
      <c r="C214">
        <v>977</v>
      </c>
      <c r="D214">
        <v>953</v>
      </c>
      <c r="E214">
        <v>2472</v>
      </c>
      <c r="F214">
        <v>399</v>
      </c>
      <c r="G214">
        <v>4801</v>
      </c>
    </row>
    <row r="215" spans="1:7">
      <c r="A215" t="s">
        <v>950</v>
      </c>
      <c r="C215">
        <v>803</v>
      </c>
      <c r="D215">
        <v>551</v>
      </c>
      <c r="E215">
        <v>0</v>
      </c>
      <c r="G215">
        <v>1354</v>
      </c>
    </row>
    <row r="216" spans="1:7">
      <c r="A216" t="s">
        <v>1102</v>
      </c>
    </row>
    <row r="217" spans="1:7">
      <c r="A217" t="s">
        <v>921</v>
      </c>
      <c r="D217">
        <v>1373</v>
      </c>
      <c r="E217">
        <v>3928</v>
      </c>
      <c r="F217">
        <v>1528</v>
      </c>
      <c r="G217">
        <v>6829</v>
      </c>
    </row>
    <row r="218" spans="1:7">
      <c r="A218" t="s">
        <v>1103</v>
      </c>
      <c r="E218">
        <v>1016</v>
      </c>
      <c r="G218">
        <v>1016</v>
      </c>
    </row>
    <row r="219" spans="1:7">
      <c r="A219" t="s">
        <v>518</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666</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1050</v>
      </c>
      <c r="C238">
        <v>0</v>
      </c>
      <c r="D238">
        <v>0</v>
      </c>
      <c r="E238">
        <v>0</v>
      </c>
      <c r="G238">
        <v>0</v>
      </c>
    </row>
    <row r="239" spans="1:7">
      <c r="A239" t="s">
        <v>815</v>
      </c>
      <c r="B239">
        <v>905</v>
      </c>
      <c r="C239">
        <v>630</v>
      </c>
      <c r="D239">
        <v>894</v>
      </c>
      <c r="G239">
        <v>2429</v>
      </c>
    </row>
    <row r="240" spans="1:7">
      <c r="A240" t="s">
        <v>1105</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1106</v>
      </c>
    </row>
    <row r="245" spans="1:7">
      <c r="A245" t="s">
        <v>1107</v>
      </c>
    </row>
    <row r="246" spans="1:7">
      <c r="A246" t="s">
        <v>1048</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977</v>
      </c>
      <c r="C250">
        <v>1740</v>
      </c>
      <c r="D250">
        <v>2934</v>
      </c>
      <c r="F250">
        <v>161</v>
      </c>
      <c r="G250">
        <v>4835</v>
      </c>
    </row>
    <row r="251" spans="1:7">
      <c r="A251" t="s">
        <v>361</v>
      </c>
      <c r="C251">
        <v>483</v>
      </c>
      <c r="D251">
        <v>1799</v>
      </c>
      <c r="F251">
        <v>0</v>
      </c>
      <c r="G251">
        <v>2282</v>
      </c>
    </row>
    <row r="252" spans="1:7">
      <c r="A252" t="s">
        <v>655</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668</v>
      </c>
      <c r="E255">
        <v>195</v>
      </c>
      <c r="G255">
        <v>195</v>
      </c>
    </row>
    <row r="256" spans="1:7">
      <c r="A256" t="s">
        <v>799</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666</v>
      </c>
    </row>
    <row r="268" spans="1:7">
      <c r="A268" t="s">
        <v>918</v>
      </c>
      <c r="D268">
        <v>0</v>
      </c>
      <c r="G268">
        <v>0</v>
      </c>
    </row>
    <row r="269" spans="1:7">
      <c r="A269" t="s">
        <v>905</v>
      </c>
      <c r="B269">
        <v>0</v>
      </c>
      <c r="G269">
        <v>0</v>
      </c>
    </row>
    <row r="270" spans="1:7">
      <c r="A270" t="s">
        <v>844</v>
      </c>
    </row>
    <row r="271" spans="1:7">
      <c r="A271" t="s">
        <v>815</v>
      </c>
    </row>
    <row r="272" spans="1:7">
      <c r="A272" t="s">
        <v>1041</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977</v>
      </c>
      <c r="B276">
        <v>418</v>
      </c>
      <c r="C276">
        <v>0</v>
      </c>
      <c r="D276">
        <v>0</v>
      </c>
      <c r="G276">
        <v>418</v>
      </c>
    </row>
    <row r="277" spans="1:7">
      <c r="A277" t="s">
        <v>361</v>
      </c>
      <c r="B277">
        <v>499</v>
      </c>
      <c r="C277">
        <v>0</v>
      </c>
      <c r="D277">
        <v>0</v>
      </c>
      <c r="G277">
        <v>499</v>
      </c>
    </row>
    <row r="278" spans="1:7">
      <c r="A278" t="s">
        <v>1046</v>
      </c>
      <c r="B278">
        <v>1089</v>
      </c>
      <c r="C278">
        <v>0</v>
      </c>
      <c r="D278">
        <v>0</v>
      </c>
      <c r="G278">
        <v>1089</v>
      </c>
    </row>
    <row r="279" spans="1:7">
      <c r="A279" t="s">
        <v>668</v>
      </c>
      <c r="B279">
        <v>453</v>
      </c>
      <c r="C279">
        <v>166</v>
      </c>
      <c r="D279">
        <v>166</v>
      </c>
      <c r="E279">
        <v>302</v>
      </c>
      <c r="G279">
        <v>1087</v>
      </c>
    </row>
    <row r="280" spans="1:7">
      <c r="A280" t="s">
        <v>799</v>
      </c>
      <c r="B280">
        <v>1880</v>
      </c>
      <c r="C280">
        <v>0</v>
      </c>
      <c r="D280">
        <v>0</v>
      </c>
      <c r="G280">
        <v>1880</v>
      </c>
    </row>
    <row r="281" spans="1:7">
      <c r="A281" t="s">
        <v>1110</v>
      </c>
      <c r="B281">
        <v>349</v>
      </c>
      <c r="C281">
        <v>952</v>
      </c>
      <c r="D281">
        <v>952</v>
      </c>
      <c r="E281">
        <v>1328</v>
      </c>
      <c r="F281">
        <v>397</v>
      </c>
      <c r="G281">
        <v>3978</v>
      </c>
    </row>
    <row r="282" spans="1:7">
      <c r="A282" t="s">
        <v>715</v>
      </c>
      <c r="B282">
        <v>1413</v>
      </c>
      <c r="C282">
        <v>0</v>
      </c>
      <c r="D282">
        <v>1394</v>
      </c>
      <c r="G282">
        <v>2807</v>
      </c>
    </row>
    <row r="283" spans="1:7">
      <c r="A283" t="s">
        <v>663</v>
      </c>
      <c r="B283">
        <v>1355</v>
      </c>
      <c r="D283">
        <v>0</v>
      </c>
      <c r="G283">
        <v>1355</v>
      </c>
    </row>
    <row r="284" spans="1:7">
      <c r="A284" t="s">
        <v>534</v>
      </c>
      <c r="B284">
        <v>2227</v>
      </c>
      <c r="G284">
        <v>2227</v>
      </c>
    </row>
    <row r="285" spans="1:7">
      <c r="A285" t="s">
        <v>854</v>
      </c>
      <c r="C285">
        <v>0</v>
      </c>
      <c r="D285">
        <v>0</v>
      </c>
      <c r="E285">
        <v>344</v>
      </c>
      <c r="G285">
        <v>344</v>
      </c>
    </row>
    <row r="286" spans="1:7">
      <c r="A286" t="s">
        <v>528</v>
      </c>
      <c r="C286">
        <v>1149</v>
      </c>
      <c r="D286">
        <v>1149</v>
      </c>
      <c r="G286">
        <v>2298</v>
      </c>
    </row>
    <row r="287" spans="1:7">
      <c r="A287" t="s">
        <v>948</v>
      </c>
      <c r="E287">
        <v>313</v>
      </c>
      <c r="G287">
        <v>313</v>
      </c>
    </row>
    <row r="288" spans="1:7">
      <c r="A288" t="s">
        <v>932</v>
      </c>
      <c r="E288">
        <v>1265</v>
      </c>
      <c r="G288">
        <v>1265</v>
      </c>
    </row>
    <row r="289" spans="1:7">
      <c r="A289" t="s">
        <v>717</v>
      </c>
      <c r="E289">
        <v>1334</v>
      </c>
      <c r="G289">
        <v>1334</v>
      </c>
    </row>
    <row r="290" spans="1:7">
      <c r="A290" t="s">
        <v>709</v>
      </c>
      <c r="E290">
        <v>1970</v>
      </c>
      <c r="G290">
        <v>1970</v>
      </c>
    </row>
    <row r="291" spans="1:7">
      <c r="A291" t="s">
        <v>659</v>
      </c>
    </row>
    <row r="292" spans="1:7">
      <c r="A292" t="s">
        <v>929</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v>550</v>
      </c>
      <c r="E298">
        <v>426</v>
      </c>
      <c r="G298">
        <v>976</v>
      </c>
    </row>
    <row r="299" spans="1:7">
      <c r="A299" t="s">
        <v>666</v>
      </c>
      <c r="C299">
        <v>45</v>
      </c>
      <c r="G299">
        <v>45</v>
      </c>
    </row>
    <row r="300" spans="1:7">
      <c r="A300" t="s">
        <v>763</v>
      </c>
      <c r="C300">
        <v>150</v>
      </c>
      <c r="D300">
        <v>295</v>
      </c>
      <c r="E300">
        <v>504</v>
      </c>
      <c r="G300">
        <v>949</v>
      </c>
    </row>
    <row r="301" spans="1:7">
      <c r="A301" t="s">
        <v>943</v>
      </c>
    </row>
    <row r="302" spans="1:7">
      <c r="A302" t="s">
        <v>1050</v>
      </c>
    </row>
    <row r="303" spans="1:7">
      <c r="A303" t="s">
        <v>815</v>
      </c>
      <c r="B303">
        <v>132</v>
      </c>
      <c r="G303">
        <v>132</v>
      </c>
    </row>
    <row r="304" spans="1:7">
      <c r="A304" t="s">
        <v>805</v>
      </c>
      <c r="B304">
        <v>367</v>
      </c>
      <c r="G304">
        <v>367</v>
      </c>
    </row>
    <row r="305" spans="1:7">
      <c r="A305" t="s">
        <v>802</v>
      </c>
      <c r="F305">
        <v>314</v>
      </c>
      <c r="G305">
        <v>314</v>
      </c>
    </row>
    <row r="306" spans="1:7">
      <c r="A306" t="s">
        <v>977</v>
      </c>
    </row>
    <row r="307" spans="1:7">
      <c r="A307" t="s">
        <v>668</v>
      </c>
      <c r="B307">
        <v>43</v>
      </c>
      <c r="G307">
        <v>43</v>
      </c>
    </row>
    <row r="308" spans="1:7">
      <c r="A308" t="s">
        <v>663</v>
      </c>
    </row>
    <row r="309" spans="1:7">
      <c r="A309" t="s">
        <v>854</v>
      </c>
    </row>
    <row r="310" spans="1:7">
      <c r="A310" t="s">
        <v>528</v>
      </c>
    </row>
    <row r="311" spans="1:7">
      <c r="A311" t="s">
        <v>932</v>
      </c>
    </row>
    <row r="312" spans="1:7">
      <c r="A312" t="s">
        <v>717</v>
      </c>
      <c r="B312">
        <v>618</v>
      </c>
      <c r="C312">
        <v>700</v>
      </c>
      <c r="G312">
        <v>1318</v>
      </c>
    </row>
    <row r="313" spans="1:7">
      <c r="A313" t="s">
        <v>709</v>
      </c>
    </row>
    <row r="314" spans="1:7">
      <c r="A314" t="s">
        <v>659</v>
      </c>
    </row>
    <row r="315" spans="1:7">
      <c r="A315" t="s">
        <v>929</v>
      </c>
      <c r="B315">
        <v>990</v>
      </c>
      <c r="C315">
        <v>1871</v>
      </c>
      <c r="D315">
        <v>1307</v>
      </c>
      <c r="G315">
        <v>4168</v>
      </c>
    </row>
    <row r="316" spans="1:7">
      <c r="A316" t="s">
        <v>508</v>
      </c>
      <c r="B316">
        <v>590</v>
      </c>
      <c r="C316">
        <v>343</v>
      </c>
      <c r="G316">
        <v>933</v>
      </c>
    </row>
    <row r="317" spans="1:7">
      <c r="A317" t="s">
        <v>642</v>
      </c>
      <c r="B317">
        <v>198</v>
      </c>
      <c r="G317">
        <v>198</v>
      </c>
    </row>
    <row r="318" spans="1:7">
      <c r="A318" t="s">
        <v>711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row>
    <row r="328" spans="1:7">
      <c r="A328" t="s">
        <v>916</v>
      </c>
    </row>
    <row r="329" spans="1:7">
      <c r="A329" t="s">
        <v>958</v>
      </c>
      <c r="C329">
        <v>561</v>
      </c>
      <c r="D329">
        <v>260</v>
      </c>
      <c r="E329">
        <v>40</v>
      </c>
      <c r="F329">
        <v>408</v>
      </c>
      <c r="G329">
        <v>1269</v>
      </c>
    </row>
    <row r="330" spans="1:7">
      <c r="A330" t="s">
        <v>666</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1106</v>
      </c>
      <c r="E336">
        <v>96</v>
      </c>
      <c r="G336">
        <v>96</v>
      </c>
    </row>
    <row r="337" spans="1:7">
      <c r="A337" t="s">
        <v>1046</v>
      </c>
      <c r="E337">
        <v>433</v>
      </c>
      <c r="G337">
        <v>433</v>
      </c>
    </row>
    <row r="338" spans="1:7">
      <c r="A338" t="s">
        <v>668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1043</v>
      </c>
      <c r="B344">
        <v>547</v>
      </c>
      <c r="C344">
        <v>845</v>
      </c>
      <c r="D344">
        <v>400</v>
      </c>
      <c r="E344">
        <v>906</v>
      </c>
      <c r="F344">
        <v>198</v>
      </c>
      <c r="G344">
        <v>2896</v>
      </c>
    </row>
    <row r="345" spans="1:7">
      <c r="A345" t="s">
        <v>691</v>
      </c>
      <c r="B345">
        <v>259</v>
      </c>
      <c r="C345">
        <v>243</v>
      </c>
      <c r="E345">
        <v>193</v>
      </c>
      <c r="G345">
        <v>695</v>
      </c>
    </row>
    <row r="346" spans="1:7">
      <c r="A346" t="s">
        <v>860</v>
      </c>
      <c r="C346">
        <v>1538</v>
      </c>
      <c r="D346">
        <v>2713</v>
      </c>
      <c r="E346">
        <v>862</v>
      </c>
      <c r="F346">
        <v>1507</v>
      </c>
      <c r="G346">
        <v>6620</v>
      </c>
    </row>
    <row r="347" spans="1:7">
      <c r="A347" t="s">
        <v>693</v>
      </c>
      <c r="E347">
        <v>647</v>
      </c>
      <c r="G347">
        <v>647</v>
      </c>
    </row>
    <row r="348" spans="1:7">
      <c r="A348" t="s">
        <v>877</v>
      </c>
      <c r="F348">
        <v>706</v>
      </c>
      <c r="G348">
        <v>706</v>
      </c>
    </row>
    <row r="349" spans="1:7">
      <c r="A349" t="s">
        <v>795</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C355">
        <v>205</v>
      </c>
      <c r="D355">
        <v>190</v>
      </c>
      <c r="E355">
        <v>48</v>
      </c>
      <c r="F355">
        <v>150</v>
      </c>
      <c r="G355">
        <v>593</v>
      </c>
    </row>
    <row r="356" spans="1:7">
      <c r="A356" t="s">
        <v>824</v>
      </c>
    </row>
    <row r="357" spans="1:7">
      <c r="A357" t="s">
        <v>666</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1043</v>
      </c>
      <c r="E367">
        <v>64</v>
      </c>
      <c r="F367">
        <v>21</v>
      </c>
      <c r="G367">
        <v>85</v>
      </c>
    </row>
    <row r="368" spans="1:7">
      <c r="A368" t="s">
        <v>691</v>
      </c>
      <c r="C368">
        <v>510</v>
      </c>
      <c r="D368">
        <v>275</v>
      </c>
      <c r="G368">
        <v>785</v>
      </c>
    </row>
    <row r="369" spans="1:7">
      <c r="A369" t="s">
        <v>693</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v>423</v>
      </c>
      <c r="G385">
        <v>423</v>
      </c>
    </row>
    <row r="386" spans="1:7">
      <c r="A386" t="s">
        <v>666</v>
      </c>
    </row>
    <row r="387" spans="1:7">
      <c r="A387" t="s">
        <v>948</v>
      </c>
      <c r="F387">
        <v>1367</v>
      </c>
      <c r="G387">
        <v>1367</v>
      </c>
    </row>
    <row r="388" spans="1:7">
      <c r="A388" t="s">
        <v>875</v>
      </c>
    </row>
    <row r="389" spans="1:7">
      <c r="A389" t="s">
        <v>1043</v>
      </c>
    </row>
    <row r="390" spans="1:7">
      <c r="A390" t="s">
        <v>691</v>
      </c>
      <c r="C390">
        <v>242</v>
      </c>
      <c r="D390">
        <v>310</v>
      </c>
      <c r="E390">
        <v>302</v>
      </c>
      <c r="G390">
        <v>854</v>
      </c>
    </row>
    <row r="391" spans="1:7">
      <c r="A391" t="s">
        <v>693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1111</v>
      </c>
      <c r="B399">
        <v>1216</v>
      </c>
      <c r="G399">
        <v>1216</v>
      </c>
    </row>
    <row r="400" spans="1:7">
      <c r="A400" t="s">
        <v>689</v>
      </c>
      <c r="C400">
        <v>1520</v>
      </c>
      <c r="D400">
        <v>1216</v>
      </c>
      <c r="E400">
        <v>1098</v>
      </c>
      <c r="G400">
        <v>3834</v>
      </c>
    </row>
    <row r="401" spans="1:7">
      <c r="A401" t="s">
        <v>743</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508</v>
      </c>
      <c r="E411">
        <v>468</v>
      </c>
      <c r="F411">
        <v>940</v>
      </c>
      <c r="G411">
        <v>1408</v>
      </c>
    </row>
    <row r="412" spans="1:7">
      <c r="A412" t="s">
        <v>875</v>
      </c>
    </row>
    <row r="413" spans="1:7">
      <c r="A413" t="s">
        <v>879</v>
      </c>
    </row>
    <row r="414" spans="1:7">
      <c r="A414" t="s">
        <v>691</v>
      </c>
      <c r="B414">
        <v>610</v>
      </c>
      <c r="C414">
        <v>451</v>
      </c>
      <c r="D414">
        <v>802</v>
      </c>
      <c r="E414">
        <v>75</v>
      </c>
      <c r="G414">
        <v>1938</v>
      </c>
    </row>
    <row r="415" spans="1:7">
      <c r="A415" t="s">
        <v>693</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1112</v>
      </c>
      <c r="B420">
        <v>640</v>
      </c>
      <c r="C420">
        <v>490</v>
      </c>
      <c r="D420">
        <v>127</v>
      </c>
      <c r="G420">
        <v>1257</v>
      </c>
    </row>
    <row r="421" spans="1:7">
      <c r="A421" t="s">
        <v>512</v>
      </c>
    </row>
    <row r="422" spans="1:7">
      <c r="A422" t="s">
        <v>745</v>
      </c>
      <c r="B422">
        <v>575</v>
      </c>
      <c r="C422">
        <v>1847</v>
      </c>
      <c r="D422">
        <v>1052</v>
      </c>
      <c r="E422">
        <v>1846</v>
      </c>
      <c r="G422">
        <v>5320</v>
      </c>
    </row>
    <row r="423" spans="1:7">
      <c r="A423" t="s">
        <v>741</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80</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row>
    <row r="434" spans="1:7">
      <c r="A434" t="s">
        <v>1116</v>
      </c>
    </row>
    <row r="435" spans="1:7">
      <c r="A435" t="s">
        <v>820</v>
      </c>
      <c r="C435">
        <v>55</v>
      </c>
      <c r="G435">
        <v>55</v>
      </c>
    </row>
    <row r="436" spans="1:7">
      <c r="A436" t="s">
        <v>763</v>
      </c>
      <c r="D436">
        <v>1190</v>
      </c>
      <c r="G436">
        <v>1190</v>
      </c>
    </row>
    <row r="437" spans="1:7">
      <c r="A437" t="s">
        <v>1106</v>
      </c>
      <c r="C437">
        <v>30</v>
      </c>
      <c r="G437">
        <v>30</v>
      </c>
    </row>
    <row r="438" spans="1:7">
      <c r="A438" t="s">
        <v>811</v>
      </c>
      <c r="F438">
        <v>887</v>
      </c>
      <c r="G438">
        <v>887</v>
      </c>
    </row>
    <row r="439" spans="1:7">
      <c r="A439" t="s">
        <v>663</v>
      </c>
      <c r="C439">
        <v>385</v>
      </c>
      <c r="D439">
        <v>678</v>
      </c>
      <c r="E439">
        <v>381</v>
      </c>
      <c r="G439">
        <v>1444</v>
      </c>
    </row>
    <row r="440" spans="1:7">
      <c r="A440" t="s">
        <v>691</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1114</v>
      </c>
    </row>
    <row r="445" spans="1:7">
      <c r="A445" t="s">
        <v>1115</v>
      </c>
      <c r="C445">
        <v>212</v>
      </c>
      <c r="E445">
        <v>1316</v>
      </c>
      <c r="F445">
        <v>1232</v>
      </c>
      <c r="G445">
        <v>2760</v>
      </c>
    </row>
    <row r="446" spans="1:7">
      <c r="A446" t="s">
        <v>515</v>
      </c>
      <c r="D446">
        <v>153</v>
      </c>
      <c r="G446">
        <v>153</v>
      </c>
    </row>
    <row r="447" spans="1:7">
      <c r="A447" t="s">
        <v>1117</v>
      </c>
    </row>
    <row r="448" spans="1:7">
      <c r="A448" t="s">
        <v>1118</v>
      </c>
    </row>
    <row r="449" spans="1:7">
      <c r="A449" t="s">
        <v>1119</v>
      </c>
      <c r="E449">
        <v>201</v>
      </c>
      <c r="F449">
        <v>30</v>
      </c>
      <c r="G449">
        <v>231</v>
      </c>
    </row>
    <row r="450" spans="1:7">
      <c r="A450" t="s">
        <v>675</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663</v>
      </c>
      <c r="B463">
        <v>605</v>
      </c>
      <c r="D463">
        <v>600</v>
      </c>
      <c r="E463">
        <v>772</v>
      </c>
      <c r="G463">
        <v>1977</v>
      </c>
    </row>
    <row r="464" spans="1:7">
      <c r="A464" t="s">
        <v>691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1115</v>
      </c>
      <c r="B468">
        <v>1156</v>
      </c>
      <c r="C468">
        <v>947</v>
      </c>
      <c r="G468">
        <v>2103</v>
      </c>
    </row>
    <row r="469" spans="1:7">
      <c r="A469" t="s">
        <v>675</v>
      </c>
      <c r="B469">
        <v>270</v>
      </c>
      <c r="E469">
        <v>948</v>
      </c>
      <c r="G469">
        <v>1218</v>
      </c>
    </row>
    <row r="470" spans="1:7">
      <c r="A470" t="s">
        <v>772</v>
      </c>
      <c r="B470">
        <v>644</v>
      </c>
      <c r="C470">
        <v>1430</v>
      </c>
      <c r="D470">
        <v>970</v>
      </c>
      <c r="G470">
        <v>3044</v>
      </c>
    </row>
    <row r="471" spans="1:7">
      <c r="A471" t="s">
        <v>537</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v>100</v>
      </c>
      <c r="F479">
        <v>100</v>
      </c>
    </row>
    <row r="480" spans="1:7">
      <c r="A480" t="s">
        <v>811</v>
      </c>
      <c r="B480">
        <v>224</v>
      </c>
      <c r="C480">
        <v>200</v>
      </c>
      <c r="F480">
        <v>424</v>
      </c>
    </row>
    <row r="481" spans="1:7">
      <c r="A481" t="s">
        <v>663</v>
      </c>
      <c r="B481">
        <v>757</v>
      </c>
      <c r="C481">
        <v>610</v>
      </c>
      <c r="D481">
        <v>959</v>
      </c>
      <c r="E481">
        <v>493</v>
      </c>
      <c r="F481">
        <v>2819</v>
      </c>
    </row>
    <row r="482" spans="1:7">
      <c r="A482" t="s">
        <v>948</v>
      </c>
      <c r="E482">
        <v>218</v>
      </c>
      <c r="F482">
        <v>218</v>
      </c>
    </row>
    <row r="483" spans="1:7">
      <c r="A483" t="s">
        <v>691</v>
      </c>
    </row>
    <row r="484" spans="1:7">
      <c r="A484" t="s">
        <v>675</v>
      </c>
      <c r="B484">
        <v>954</v>
      </c>
      <c r="C484">
        <v>2783</v>
      </c>
      <c r="D484">
        <v>2248</v>
      </c>
      <c r="F484">
        <v>5985</v>
      </c>
    </row>
    <row r="485" spans="1:7">
      <c r="A485" t="s">
        <v>772</v>
      </c>
      <c r="B485">
        <v>948</v>
      </c>
      <c r="D485">
        <v>736</v>
      </c>
      <c r="F485">
        <v>1684</v>
      </c>
    </row>
    <row r="486" spans="1:7">
      <c r="A486" t="s">
        <v>991</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row>
    <row r="498" spans="1:7">
      <c r="A498" t="s">
        <v>707</v>
      </c>
    </row>
    <row r="499" spans="1:7">
      <c r="A499" t="s">
        <v>802</v>
      </c>
      <c r="C499">
        <v>1483</v>
      </c>
      <c r="D499">
        <v>83</v>
      </c>
      <c r="G499">
        <v>1566</v>
      </c>
    </row>
    <row r="500" spans="1:7">
      <c r="A500" t="s">
        <v>663</v>
      </c>
      <c r="B500">
        <v>720</v>
      </c>
      <c r="C500">
        <v>948</v>
      </c>
      <c r="E500">
        <v>1101</v>
      </c>
      <c r="F500">
        <v>437</v>
      </c>
      <c r="G500">
        <v>3206</v>
      </c>
    </row>
    <row r="501" spans="1:7">
      <c r="A501" t="s">
        <v>508</v>
      </c>
      <c r="E501">
        <v>341</v>
      </c>
      <c r="G501">
        <v>341</v>
      </c>
    </row>
    <row r="502" spans="1:7">
      <c r="A502" t="s">
        <v>1120</v>
      </c>
    </row>
    <row r="503" spans="1:7">
      <c r="A503" t="s">
        <v>772</v>
      </c>
      <c r="B503">
        <v>1957</v>
      </c>
      <c r="G503">
        <v>1957</v>
      </c>
    </row>
    <row r="504" spans="1:7">
      <c r="A504" t="s">
        <v>991</v>
      </c>
      <c r="B504">
        <v>275</v>
      </c>
      <c r="C504">
        <v>280</v>
      </c>
      <c r="D504">
        <v>310</v>
      </c>
      <c r="G504">
        <v>865</v>
      </c>
    </row>
    <row r="505" spans="1:7">
      <c r="A505" t="s">
        <v>983</v>
      </c>
      <c r="B505">
        <v>800</v>
      </c>
      <c r="C505">
        <v>631</v>
      </c>
      <c r="D505">
        <v>1401</v>
      </c>
      <c r="G505">
        <v>2832</v>
      </c>
    </row>
    <row r="506" spans="1:7">
      <c r="A506" t="s">
        <v>1128</v>
      </c>
      <c r="B506">
        <v>6</v>
      </c>
      <c r="G506">
        <v>6</v>
      </c>
    </row>
    <row r="507" spans="1:7">
      <c r="A507" t="s">
        <v>1129</v>
      </c>
    </row>
    <row r="508" spans="1:7">
      <c r="A508" t="s">
        <v>1130</v>
      </c>
    </row>
    <row r="509" spans="1:7">
      <c r="A509" t="s">
        <v>747</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row>
    <row r="517" spans="1:7">
      <c r="A517" t="s">
        <v>663</v>
      </c>
      <c r="B517">
        <v>730</v>
      </c>
      <c r="C517">
        <v>583</v>
      </c>
      <c r="G517">
        <v>1313</v>
      </c>
    </row>
    <row r="518" spans="1:7">
      <c r="A518" t="s">
        <v>795</v>
      </c>
      <c r="B518">
        <v>115</v>
      </c>
      <c r="G518">
        <v>115</v>
      </c>
    </row>
    <row r="519" spans="1:7">
      <c r="A519" t="s">
        <v>675</v>
      </c>
      <c r="D519">
        <v>370</v>
      </c>
      <c r="G519">
        <v>370</v>
      </c>
    </row>
    <row r="520" spans="1:7">
      <c r="A520" t="s">
        <v>991</v>
      </c>
      <c r="B520">
        <v>263</v>
      </c>
      <c r="C520">
        <v>270</v>
      </c>
      <c r="E520">
        <v>395</v>
      </c>
      <c r="G520">
        <v>928</v>
      </c>
    </row>
    <row r="521" spans="1:7">
      <c r="A521" t="s">
        <v>983</v>
      </c>
      <c r="B521">
        <v>1100</v>
      </c>
      <c r="D521">
        <v>1975</v>
      </c>
      <c r="E521">
        <v>1395</v>
      </c>
      <c r="G521">
        <v>4470</v>
      </c>
    </row>
    <row r="522" spans="1:7">
      <c r="A522" t="s">
        <v>747</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row>
    <row r="531" spans="1:7">
      <c r="A531" t="s">
        <v>1046</v>
      </c>
    </row>
    <row r="532" spans="1:7">
      <c r="A532" t="s">
        <v>799</v>
      </c>
      <c r="B532">
        <v>1394</v>
      </c>
      <c r="C532">
        <v>1756</v>
      </c>
      <c r="D532">
        <v>846</v>
      </c>
      <c r="G532">
        <v>3996</v>
      </c>
    </row>
    <row r="533" spans="1:7">
      <c r="A533" t="s">
        <v>663</v>
      </c>
      <c r="B533">
        <v>465</v>
      </c>
      <c r="C533">
        <v>218</v>
      </c>
      <c r="D533">
        <v>729</v>
      </c>
      <c r="E533">
        <v>464</v>
      </c>
      <c r="G533">
        <v>1876</v>
      </c>
    </row>
    <row r="534" spans="1:7">
      <c r="A534" t="s">
        <v>528</v>
      </c>
      <c r="E534">
        <v>977</v>
      </c>
      <c r="G534">
        <v>977</v>
      </c>
    </row>
    <row r="535" spans="1:7">
      <c r="A535" t="s">
        <v>1119</v>
      </c>
      <c r="D535">
        <v>81</v>
      </c>
      <c r="F535">
        <v>114</v>
      </c>
      <c r="G535">
        <v>195</v>
      </c>
    </row>
    <row r="536" spans="1:7">
      <c r="A536" t="s">
        <v>675</v>
      </c>
    </row>
    <row r="537" spans="1:7">
      <c r="A537" t="s">
        <v>772</v>
      </c>
    </row>
    <row r="538" spans="1:7">
      <c r="A538" t="s">
        <v>991</v>
      </c>
      <c r="B538">
        <v>280</v>
      </c>
      <c r="C538">
        <v>70</v>
      </c>
      <c r="D538">
        <v>594</v>
      </c>
      <c r="F538">
        <v>52</v>
      </c>
      <c r="G538">
        <v>996</v>
      </c>
    </row>
    <row r="539" spans="1:7">
      <c r="A539" t="s">
        <v>983</v>
      </c>
      <c r="B539">
        <v>450</v>
      </c>
      <c r="C539">
        <v>1246</v>
      </c>
      <c r="G539">
        <v>1696</v>
      </c>
    </row>
    <row r="540" spans="1:7">
      <c r="A540" t="s">
        <v>672</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row>
    <row r="547" spans="1:7">
      <c r="A547" t="s">
        <v>799</v>
      </c>
      <c r="C547">
        <v>1946</v>
      </c>
      <c r="G547">
        <v>1946</v>
      </c>
    </row>
    <row r="548" spans="1:7">
      <c r="A548" t="s">
        <v>663</v>
      </c>
      <c r="E548">
        <v>112</v>
      </c>
      <c r="G548">
        <v>112</v>
      </c>
    </row>
    <row r="549" spans="1:7">
      <c r="A549" t="s">
        <v>528</v>
      </c>
      <c r="E549">
        <v>676</v>
      </c>
      <c r="F549">
        <v>430</v>
      </c>
      <c r="G549">
        <v>1106</v>
      </c>
    </row>
    <row r="550" spans="1:7">
      <c r="A550" t="s">
        <v>508</v>
      </c>
      <c r="D550">
        <v>649</v>
      </c>
      <c r="G550">
        <v>649</v>
      </c>
    </row>
    <row r="551" spans="1:7">
      <c r="A551" t="s">
        <v>1119</v>
      </c>
      <c r="B551">
        <v>237</v>
      </c>
      <c r="C551">
        <v>322</v>
      </c>
      <c r="D551">
        <v>245</v>
      </c>
      <c r="E551">
        <v>1091</v>
      </c>
      <c r="F551">
        <v>303</v>
      </c>
      <c r="G551">
        <v>2198</v>
      </c>
    </row>
    <row r="552" spans="1:7">
      <c r="A552" t="s">
        <v>991</v>
      </c>
      <c r="B552">
        <v>68</v>
      </c>
      <c r="C552">
        <v>50</v>
      </c>
      <c r="G552">
        <v>118</v>
      </c>
    </row>
    <row r="553" spans="1:7">
      <c r="A553" t="s">
        <v>672</v>
      </c>
      <c r="B553">
        <v>1269</v>
      </c>
      <c r="C553">
        <v>1141</v>
      </c>
      <c r="D553">
        <v>1308</v>
      </c>
      <c r="E553">
        <v>1296</v>
      </c>
      <c r="G553">
        <v>5014</v>
      </c>
    </row>
    <row r="554" spans="1:7">
      <c r="A554" t="s">
        <v>966</v>
      </c>
      <c r="B554">
        <v>65</v>
      </c>
      <c r="G554">
        <v>65</v>
      </c>
    </row>
    <row r="555" spans="1:7">
      <c r="A555" t="s">
        <v>753</v>
      </c>
      <c r="B555">
        <v>924</v>
      </c>
      <c r="G555">
        <v>924</v>
      </c>
    </row>
    <row r="556" spans="1:7">
      <c r="A556" t="s">
        <v>996</v>
      </c>
      <c r="C556">
        <v>1044</v>
      </c>
      <c r="D556">
        <v>1100</v>
      </c>
      <c r="E556">
        <v>1050</v>
      </c>
      <c r="G556">
        <v>3194</v>
      </c>
    </row>
    <row r="557" spans="1:7">
      <c r="A557" t="s">
        <v>789</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663</v>
      </c>
      <c r="C564">
        <v>282</v>
      </c>
      <c r="G564">
        <v>282</v>
      </c>
    </row>
    <row r="565" spans="1:7">
      <c r="A565" t="s">
        <v>528</v>
      </c>
      <c r="B565">
        <v>885</v>
      </c>
      <c r="C565">
        <v>478</v>
      </c>
      <c r="D565">
        <v>490</v>
      </c>
      <c r="E565">
        <v>372</v>
      </c>
      <c r="G565">
        <v>2225</v>
      </c>
    </row>
    <row r="566" spans="1:7">
      <c r="A566" t="s">
        <v>1112</v>
      </c>
    </row>
    <row r="567" spans="1:7">
      <c r="A567" t="s">
        <v>1119</v>
      </c>
      <c r="B567">
        <v>360</v>
      </c>
      <c r="G567">
        <v>360</v>
      </c>
    </row>
    <row r="568" spans="1:7">
      <c r="A568" t="s">
        <v>772</v>
      </c>
    </row>
    <row r="569" spans="1:7">
      <c r="A569" t="s">
        <v>672</v>
      </c>
    </row>
    <row r="570" spans="1:7">
      <c r="A570" t="s">
        <v>753</v>
      </c>
      <c r="B570">
        <v>120</v>
      </c>
      <c r="G570">
        <v>120</v>
      </c>
    </row>
    <row r="571" spans="1:7">
      <c r="A571" t="s">
        <v>789</v>
      </c>
      <c r="C571">
        <v>120</v>
      </c>
      <c r="D571">
        <v>71</v>
      </c>
      <c r="G571">
        <v>191</v>
      </c>
    </row>
    <row r="572" spans="1:7">
      <c r="A572" t="s">
        <v>732</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F578">
        <v>198</v>
      </c>
      <c r="G578">
        <v>198</v>
      </c>
    </row>
    <row r="579" spans="1:7">
      <c r="A579" t="s">
        <v>528</v>
      </c>
    </row>
    <row r="580" spans="1:7">
      <c r="A580" t="s">
        <v>659</v>
      </c>
    </row>
    <row r="581" spans="1:7">
      <c r="A581" t="s">
        <v>1114</v>
      </c>
      <c r="E581">
        <v>400</v>
      </c>
      <c r="G581">
        <v>400</v>
      </c>
    </row>
    <row r="582" spans="1:7">
      <c r="A582" t="s">
        <v>732</v>
      </c>
      <c r="B582">
        <v>846</v>
      </c>
      <c r="C582">
        <v>827</v>
      </c>
      <c r="G582">
        <v>1673</v>
      </c>
    </row>
    <row r="583" spans="1:7">
      <c r="A583" t="s">
        <v>778</v>
      </c>
      <c r="C583">
        <v>465</v>
      </c>
      <c r="D583">
        <v>321</v>
      </c>
      <c r="G583">
        <v>786</v>
      </c>
    </row>
    <row r="584" spans="1:7">
      <c r="A584" t="s">
        <v>680</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C590">
        <v>403</v>
      </c>
      <c r="D590">
        <v>39</v>
      </c>
      <c r="G590">
        <v>442</v>
      </c>
    </row>
    <row r="591" spans="1:7">
      <c r="A591" t="s">
        <v>534</v>
      </c>
      <c r="B591">
        <v>862</v>
      </c>
      <c r="G591">
        <v>862</v>
      </c>
    </row>
    <row r="592" spans="1:7">
      <c r="A592" t="s">
        <v>1114</v>
      </c>
      <c r="C592">
        <v>203</v>
      </c>
      <c r="D592">
        <v>170</v>
      </c>
      <c r="E592">
        <v>106</v>
      </c>
      <c r="G592">
        <v>479</v>
      </c>
    </row>
    <row r="593" spans="1:7">
      <c r="A593" t="s">
        <v>991</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C604">
        <v>318</v>
      </c>
      <c r="G604">
        <v>318</v>
      </c>
    </row>
    <row r="605" spans="1:7">
      <c r="A605" t="s">
        <v>534</v>
      </c>
      <c r="D605">
        <v>461</v>
      </c>
      <c r="E605">
        <v>880</v>
      </c>
      <c r="F605">
        <v>585</v>
      </c>
      <c r="G605">
        <v>1926</v>
      </c>
    </row>
    <row r="606" spans="1:7">
      <c r="A606" t="s">
        <v>659</v>
      </c>
      <c r="E606">
        <v>868</v>
      </c>
      <c r="G606">
        <v>868</v>
      </c>
    </row>
    <row r="607" spans="1:7">
      <c r="A607" t="s">
        <v>1114</v>
      </c>
      <c r="D607">
        <v>272</v>
      </c>
      <c r="E607">
        <v>79</v>
      </c>
      <c r="G607">
        <v>351</v>
      </c>
    </row>
    <row r="608" spans="1:7">
      <c r="A608" t="s">
        <v>991</v>
      </c>
      <c r="B608">
        <v>936</v>
      </c>
      <c r="C608">
        <v>1723</v>
      </c>
      <c r="D608">
        <v>130</v>
      </c>
      <c r="E608">
        <v>420</v>
      </c>
      <c r="G608">
        <v>3209</v>
      </c>
    </row>
    <row r="609" spans="1:7">
      <c r="A609" t="s">
        <v>983</v>
      </c>
      <c r="D609">
        <v>853</v>
      </c>
      <c r="E609">
        <v>1279</v>
      </c>
      <c r="G609">
        <v>2132</v>
      </c>
    </row>
    <row r="610" spans="1:7">
      <c r="A610" t="s">
        <v>732</v>
      </c>
    </row>
    <row r="611" spans="1:7">
      <c r="A611" t="s">
        <v>680</v>
      </c>
      <c r="D611">
        <v>579</v>
      </c>
      <c r="E611">
        <v>619</v>
      </c>
      <c r="G611">
        <v>1198</v>
      </c>
    </row>
    <row r="612" spans="1:7">
      <c r="A612" t="s">
        <v>735</v>
      </c>
    </row>
    <row r="613" spans="1:7">
      <c r="A613" t="s">
        <v>726</v>
      </c>
      <c r="B613">
        <v>1843</v>
      </c>
      <c r="C613">
        <v>1714</v>
      </c>
      <c r="D613">
        <v>678</v>
      </c>
      <c r="G613">
        <v>4235</v>
      </c>
    </row>
    <row r="614" spans="1:7">
      <c r="A614" t="s">
        <v>721</v>
      </c>
      <c r="B614">
        <v>1070</v>
      </c>
      <c r="C614">
        <v>1224</v>
      </c>
      <c r="D614">
        <v>235</v>
      </c>
      <c r="G614">
        <v>2529</v>
      </c>
    </row>
    <row r="615" spans="1:7">
      <c r="A615" t="s">
        <v>1134</v>
      </c>
      <c r="C615">
        <v>605</v>
      </c>
      <c r="G615">
        <v>605</v>
      </c>
    </row>
    <row r="616" spans="1:7">
      <c r="A616" t="s">
        <v>729</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F623">
        <v>318</v>
      </c>
      <c r="G623">
        <v>318</v>
      </c>
    </row>
    <row r="624" spans="1:7">
      <c r="A624" t="s">
        <v>831</v>
      </c>
      <c r="F624">
        <v>183</v>
      </c>
      <c r="G624">
        <v>183</v>
      </c>
    </row>
    <row r="625" spans="1:7">
      <c r="A625" t="s">
        <v>534</v>
      </c>
      <c r="B625">
        <v>345</v>
      </c>
      <c r="G625">
        <v>345</v>
      </c>
    </row>
    <row r="626" spans="1:7">
      <c r="A626" t="s">
        <v>991</v>
      </c>
      <c r="B626">
        <v>420</v>
      </c>
      <c r="G626">
        <v>420</v>
      </c>
    </row>
    <row r="627" spans="1:7">
      <c r="A627" t="s">
        <v>983</v>
      </c>
      <c r="B627">
        <v>817</v>
      </c>
      <c r="D627">
        <v>1385</v>
      </c>
      <c r="G627">
        <v>2202</v>
      </c>
    </row>
    <row r="628" spans="1:7">
      <c r="A628" t="s">
        <v>680</v>
      </c>
      <c r="B628">
        <v>1181</v>
      </c>
      <c r="C628">
        <v>1933</v>
      </c>
      <c r="D628">
        <v>2853</v>
      </c>
      <c r="E628">
        <v>1587</v>
      </c>
      <c r="G628">
        <v>7554</v>
      </c>
    </row>
    <row r="629" spans="1:7">
      <c r="A629" t="s">
        <v>726</v>
      </c>
    </row>
    <row r="630" spans="1:7">
      <c r="A630" t="s">
        <v>729</v>
      </c>
      <c r="B630">
        <v>1430</v>
      </c>
      <c r="C630">
        <v>1004</v>
      </c>
      <c r="G630">
        <v>2434</v>
      </c>
    </row>
    <row r="631" spans="1:7">
      <c r="A631" t="s">
        <v>1033</v>
      </c>
      <c r="C631">
        <v>581</v>
      </c>
      <c r="G631">
        <v>581</v>
      </c>
    </row>
    <row r="632" spans="1:7">
      <c r="A632" t="s">
        <v>525</v>
      </c>
      <c r="D632">
        <v>314</v>
      </c>
      <c r="G632">
        <v>314</v>
      </c>
    </row>
    <row r="633" spans="1:7">
      <c r="A633" t="s">
        <v>539</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680</v>
      </c>
    </row>
    <row r="641" spans="1:7">
      <c r="A641" t="s">
        <v>525</v>
      </c>
    </row>
    <row r="642" spans="1:7">
      <c r="A642" t="s">
        <v>539</v>
      </c>
      <c r="C642">
        <v>190</v>
      </c>
      <c r="D642">
        <v>840</v>
      </c>
      <c r="E642">
        <v>531</v>
      </c>
      <c r="F642">
        <v>718</v>
      </c>
      <c r="G642">
        <v>2279</v>
      </c>
    </row>
    <row r="643" spans="1:7">
      <c r="A643" t="s">
        <v>760</v>
      </c>
      <c r="B643">
        <v>918</v>
      </c>
      <c r="G643">
        <v>918</v>
      </c>
    </row>
    <row r="644" spans="1:7">
      <c r="A644" t="s">
        <v>988</v>
      </c>
      <c r="C644">
        <v>2675</v>
      </c>
      <c r="D644">
        <v>1964</v>
      </c>
      <c r="E644">
        <v>377</v>
      </c>
      <c r="G644">
        <v>5016</v>
      </c>
    </row>
    <row r="645" spans="1:7">
      <c r="A645" t="s">
        <v>766</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C651">
        <v>319</v>
      </c>
      <c r="G651">
        <v>319</v>
      </c>
    </row>
    <row r="652" spans="1:7">
      <c r="A652" t="s">
        <v>1114</v>
      </c>
      <c r="B652">
        <v>376</v>
      </c>
      <c r="C652">
        <v>35</v>
      </c>
      <c r="D652">
        <v>48</v>
      </c>
      <c r="E652">
        <v>144</v>
      </c>
      <c r="F652">
        <v>64</v>
      </c>
      <c r="G652">
        <v>667</v>
      </c>
    </row>
    <row r="653" spans="1:7">
      <c r="A653" t="s">
        <v>539</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982</v>
      </c>
      <c r="C657">
        <v>406</v>
      </c>
      <c r="D657">
        <v>1031</v>
      </c>
      <c r="G657">
        <v>1437</v>
      </c>
    </row>
    <row r="658" spans="1:7">
      <c r="A658" t="s">
        <v>1135</v>
      </c>
    </row>
    <row r="659" spans="1:7">
      <c r="A659" t="s">
        <v>241</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D665">
        <v>499</v>
      </c>
      <c r="E665">
        <v>231</v>
      </c>
      <c r="F665">
        <v>316</v>
      </c>
      <c r="G665">
        <v>1046</v>
      </c>
    </row>
    <row r="666" spans="1:7">
      <c r="A666" t="s">
        <v>508</v>
      </c>
    </row>
    <row r="667" spans="1:7">
      <c r="A667" t="s">
        <v>1114</v>
      </c>
      <c r="B667">
        <v>141</v>
      </c>
      <c r="D667">
        <v>181</v>
      </c>
      <c r="E667">
        <v>82</v>
      </c>
      <c r="F667">
        <v>96</v>
      </c>
      <c r="G667">
        <v>500</v>
      </c>
    </row>
    <row r="668" spans="1:7">
      <c r="A668" t="s">
        <v>789</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760</v>
      </c>
    </row>
    <row r="672" spans="1:7">
      <c r="A672" t="s">
        <v>766</v>
      </c>
    </row>
    <row r="673" spans="1:7">
      <c r="A673" t="s">
        <v>241</v>
      </c>
      <c r="B673">
        <v>396</v>
      </c>
      <c r="G673">
        <v>396</v>
      </c>
    </row>
    <row r="674" spans="1:7">
      <c r="A674" t="s">
        <v>769</v>
      </c>
      <c r="B674">
        <v>1109</v>
      </c>
      <c r="G674">
        <v>1109</v>
      </c>
    </row>
    <row r="675" spans="1:7">
      <c r="A675" t="s">
        <v>1136</v>
      </c>
      <c r="C675">
        <v>205</v>
      </c>
      <c r="G675">
        <v>205</v>
      </c>
    </row>
    <row r="676" spans="1:7">
      <c r="A676" t="s">
        <v>1137</v>
      </c>
      <c r="C676">
        <v>1456</v>
      </c>
      <c r="D676">
        <v>1420</v>
      </c>
      <c r="E676">
        <v>1170</v>
      </c>
      <c r="F676">
        <v>1081</v>
      </c>
      <c r="G676">
        <v>5127</v>
      </c>
    </row>
    <row r="677" spans="1:7">
      <c r="A677" t="s">
        <v>999</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D684">
        <v>358</v>
      </c>
      <c r="G684">
        <v>358</v>
      </c>
    </row>
    <row r="685" spans="1:7">
      <c r="A685" t="s">
        <v>534</v>
      </c>
      <c r="D685">
        <v>1241</v>
      </c>
      <c r="G685">
        <v>1241</v>
      </c>
    </row>
    <row r="686" spans="1:7">
      <c r="A686" t="s">
        <v>659</v>
      </c>
      <c r="B686">
        <v>503</v>
      </c>
      <c r="C686">
        <v>295</v>
      </c>
      <c r="F686">
        <v>6</v>
      </c>
      <c r="G686">
        <v>804</v>
      </c>
    </row>
    <row r="687" spans="1:7">
      <c r="A687" t="s">
        <v>508</v>
      </c>
      <c r="C687">
        <v>1009</v>
      </c>
      <c r="G687">
        <v>1009</v>
      </c>
    </row>
    <row r="688" spans="1:7">
      <c r="A688" t="s">
        <v>1114</v>
      </c>
      <c r="B688">
        <v>20</v>
      </c>
      <c r="E688">
        <v>250</v>
      </c>
      <c r="F688">
        <v>177</v>
      </c>
      <c r="G688">
        <v>447</v>
      </c>
    </row>
    <row r="689" spans="1:7">
      <c r="A689" t="s">
        <v>539</v>
      </c>
      <c r="B689">
        <v>639</v>
      </c>
      <c r="G689">
        <v>639</v>
      </c>
    </row>
    <row r="690" spans="1:7">
      <c r="A690" t="s">
        <v>241</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1002</v>
      </c>
      <c r="B694">
        <v>735</v>
      </c>
      <c r="E694">
        <v>1453</v>
      </c>
      <c r="G694">
        <v>2188</v>
      </c>
    </row>
    <row r="695" spans="1:7">
      <c r="A695" t="s">
        <v>786</v>
      </c>
      <c r="C695">
        <v>260</v>
      </c>
      <c r="E695">
        <v>315</v>
      </c>
      <c r="G695">
        <v>575</v>
      </c>
    </row>
    <row r="696" spans="1:7">
      <c r="A696" t="s">
        <v>1139</v>
      </c>
      <c r="C696">
        <v>390</v>
      </c>
      <c r="G696">
        <v>390</v>
      </c>
    </row>
    <row r="697" spans="1:7">
      <c r="A697" t="s">
        <v>1012</v>
      </c>
      <c r="C697">
        <v>558</v>
      </c>
      <c r="D697">
        <v>1248</v>
      </c>
      <c r="E697">
        <v>1260</v>
      </c>
      <c r="G697">
        <v>3066</v>
      </c>
    </row>
    <row r="698" spans="1:7">
      <c r="A698" t="s">
        <v>738</v>
      </c>
      <c r="C698">
        <v>1224</v>
      </c>
      <c r="D698">
        <v>967</v>
      </c>
      <c r="G698">
        <v>2191</v>
      </c>
    </row>
    <row r="699" spans="1:7">
      <c r="A699" t="s">
        <v>1009</v>
      </c>
      <c r="D699">
        <v>1017</v>
      </c>
      <c r="G699">
        <v>1017</v>
      </c>
    </row>
    <row r="700" spans="1:7">
      <c r="A700" t="s">
        <v>994</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361</v>
      </c>
      <c r="E706">
        <v>99</v>
      </c>
      <c r="G706">
        <v>99</v>
      </c>
    </row>
    <row r="707" spans="1:7">
      <c r="A707" t="s">
        <v>534</v>
      </c>
    </row>
    <row r="708" spans="1:7">
      <c r="A708" t="s">
        <v>932</v>
      </c>
    </row>
    <row r="709" spans="1:7">
      <c r="A709" t="s">
        <v>659</v>
      </c>
      <c r="C709">
        <v>15</v>
      </c>
      <c r="D709">
        <v>65</v>
      </c>
      <c r="E709">
        <v>6</v>
      </c>
      <c r="G709">
        <v>86</v>
      </c>
    </row>
    <row r="710" spans="1:7">
      <c r="A710" t="s">
        <v>1114</v>
      </c>
    </row>
    <row r="711" spans="1:7">
      <c r="A711" t="s">
        <v>1119</v>
      </c>
      <c r="F711">
        <v>125</v>
      </c>
      <c r="G711">
        <v>125</v>
      </c>
    </row>
    <row r="712" spans="1:7">
      <c r="A712" t="s">
        <v>721</v>
      </c>
      <c r="D712">
        <v>130</v>
      </c>
      <c r="G712">
        <v>130</v>
      </c>
    </row>
    <row r="713" spans="1:7">
      <c r="A713" t="s">
        <v>999</v>
      </c>
      <c r="F713">
        <v>128</v>
      </c>
      <c r="G713">
        <v>128</v>
      </c>
    </row>
    <row r="714" spans="1:7">
      <c r="A714" t="s">
        <v>1002</v>
      </c>
      <c r="D714">
        <v>2472</v>
      </c>
      <c r="G714">
        <v>2472</v>
      </c>
    </row>
    <row r="715" spans="1:7">
      <c r="A715" t="s">
        <v>1012</v>
      </c>
      <c r="C715">
        <v>977</v>
      </c>
      <c r="G715">
        <v>977</v>
      </c>
    </row>
    <row r="716" spans="1:7">
      <c r="A716" t="s">
        <v>1009</v>
      </c>
      <c r="D716">
        <v>2819</v>
      </c>
      <c r="G716">
        <v>2819</v>
      </c>
    </row>
    <row r="717" spans="1:7">
      <c r="A717" t="s">
        <v>994</v>
      </c>
      <c r="D717">
        <v>1491</v>
      </c>
      <c r="E717">
        <v>1549</v>
      </c>
      <c r="G717">
        <v>3040</v>
      </c>
    </row>
    <row r="718" spans="1:7">
      <c r="A718" t="s">
        <v>1140</v>
      </c>
    </row>
    <row r="719" spans="1:7">
      <c r="A719" t="s">
        <v>551</v>
      </c>
      <c r="E719">
        <v>903</v>
      </c>
      <c r="G719">
        <v>903</v>
      </c>
    </row>
    <row r="720" spans="1:7">
      <c r="A720" t="s">
        <v>541</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994</v>
      </c>
      <c r="B730">
        <v>918</v>
      </c>
      <c r="G730">
        <v>918</v>
      </c>
    </row>
    <row r="731" spans="1:7">
      <c r="A731" t="s">
        <v>551</v>
      </c>
      <c r="B731">
        <v>254</v>
      </c>
      <c r="C731">
        <v>1686</v>
      </c>
      <c r="D731">
        <v>611</v>
      </c>
      <c r="G731">
        <v>2551</v>
      </c>
    </row>
    <row r="732" spans="1:7">
      <c r="A732" t="s">
        <v>541</v>
      </c>
      <c r="E732">
        <v>82</v>
      </c>
      <c r="G732">
        <v>82</v>
      </c>
    </row>
    <row r="733" spans="1:7">
      <c r="A733" t="s">
        <v>781</v>
      </c>
      <c r="C733">
        <v>329</v>
      </c>
      <c r="D733">
        <v>333</v>
      </c>
      <c r="G733">
        <v>662</v>
      </c>
    </row>
    <row r="734" spans="1:7">
      <c r="A734" t="s">
        <v>1015</v>
      </c>
      <c r="D734">
        <v>740</v>
      </c>
      <c r="G734">
        <v>740</v>
      </c>
    </row>
    <row r="735" spans="1:7">
      <c r="A735" t="s">
        <v>1026</v>
      </c>
      <c r="E735">
        <v>267</v>
      </c>
      <c r="G735">
        <v>267</v>
      </c>
    </row>
    <row r="736" spans="1:7">
      <c r="A736" t="s">
        <v>342</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row>
    <row r="743" spans="1:7">
      <c r="A743" t="s">
        <v>534</v>
      </c>
      <c r="D743">
        <v>139</v>
      </c>
      <c r="G743">
        <v>139</v>
      </c>
    </row>
    <row r="744" spans="1:7">
      <c r="A744" t="s">
        <v>659</v>
      </c>
    </row>
    <row r="745" spans="1:7">
      <c r="A745" t="s">
        <v>515</v>
      </c>
      <c r="E745">
        <v>97</v>
      </c>
      <c r="G745">
        <v>97</v>
      </c>
    </row>
    <row r="746" spans="1:7">
      <c r="A746" t="s">
        <v>1119</v>
      </c>
      <c r="B746">
        <v>42</v>
      </c>
      <c r="C746">
        <v>219</v>
      </c>
      <c r="F746">
        <v>70</v>
      </c>
      <c r="G746">
        <v>331</v>
      </c>
    </row>
    <row r="747" spans="1:7">
      <c r="A747" t="s">
        <v>1137</v>
      </c>
    </row>
    <row r="748" spans="1:7">
      <c r="A748" t="s">
        <v>551</v>
      </c>
      <c r="D748">
        <v>250</v>
      </c>
      <c r="G748">
        <v>250</v>
      </c>
    </row>
    <row r="749" spans="1:7">
      <c r="A749" t="s">
        <v>1015</v>
      </c>
      <c r="B749">
        <v>1238</v>
      </c>
      <c r="C749">
        <v>1531</v>
      </c>
      <c r="D749">
        <v>1250</v>
      </c>
      <c r="E749">
        <v>361</v>
      </c>
      <c r="G749">
        <v>4380</v>
      </c>
    </row>
    <row r="750" spans="1:7">
      <c r="A750" t="s">
        <v>1026</v>
      </c>
      <c r="B750">
        <v>711</v>
      </c>
      <c r="G750">
        <v>711</v>
      </c>
    </row>
    <row r="751" spans="1:7">
      <c r="A751" t="s">
        <v>1141</v>
      </c>
      <c r="D751">
        <v>75</v>
      </c>
      <c r="G751">
        <v>75</v>
      </c>
    </row>
    <row r="752" spans="1:7">
      <c r="A752" t="s">
        <v>1005</v>
      </c>
      <c r="C752">
        <v>1808</v>
      </c>
      <c r="E752">
        <v>1204</v>
      </c>
      <c r="G752">
        <v>3012</v>
      </c>
    </row>
    <row r="753" spans="1:7">
      <c r="A753" t="s">
        <v>364</v>
      </c>
      <c r="C753">
        <v>251</v>
      </c>
      <c r="D753">
        <v>253</v>
      </c>
      <c r="E753">
        <v>1076</v>
      </c>
      <c r="G753">
        <v>1580</v>
      </c>
    </row>
    <row r="754" spans="1:7">
      <c r="A754" t="s">
        <v>342</v>
      </c>
      <c r="B754">
        <v>829</v>
      </c>
      <c r="D754">
        <v>863</v>
      </c>
      <c r="E754">
        <v>499</v>
      </c>
      <c r="F754">
        <v>475</v>
      </c>
      <c r="G754">
        <v>2666</v>
      </c>
    </row>
    <row r="755" spans="1:7">
      <c r="A755" t="s">
        <v>1007</v>
      </c>
      <c r="E755">
        <v>754</v>
      </c>
      <c r="G755">
        <v>754</v>
      </c>
    </row>
    <row r="756" spans="1:7">
      <c r="A756" t="s">
        <v>553</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row>
    <row r="763" spans="1:7">
      <c r="A763" t="s">
        <v>534</v>
      </c>
      <c r="B763">
        <v>60</v>
      </c>
      <c r="G763">
        <v>60</v>
      </c>
    </row>
    <row r="764" spans="1:7">
      <c r="A764" t="s">
        <v>512</v>
      </c>
      <c r="E764">
        <v>175</v>
      </c>
      <c r="G764">
        <v>175</v>
      </c>
    </row>
    <row r="765" spans="1:7">
      <c r="A765" t="s">
        <v>1119</v>
      </c>
      <c r="C765">
        <v>224</v>
      </c>
      <c r="G765">
        <v>224</v>
      </c>
    </row>
    <row r="766" spans="1:7">
      <c r="A766" t="s">
        <v>525</v>
      </c>
      <c r="D766">
        <v>406</v>
      </c>
      <c r="G766">
        <v>406</v>
      </c>
    </row>
    <row r="767" spans="1:7">
      <c r="A767" t="s">
        <v>241</v>
      </c>
      <c r="D767">
        <v>362</v>
      </c>
      <c r="E767">
        <v>399</v>
      </c>
      <c r="G767">
        <v>761</v>
      </c>
    </row>
    <row r="768" spans="1:7">
      <c r="A768" t="s">
        <v>1015</v>
      </c>
    </row>
    <row r="769" spans="1:7">
      <c r="A769" t="s">
        <v>1005</v>
      </c>
    </row>
    <row r="770" spans="1:7">
      <c r="A770" t="s">
        <v>364</v>
      </c>
      <c r="C770">
        <v>120</v>
      </c>
      <c r="D770">
        <v>190</v>
      </c>
      <c r="G770">
        <v>310</v>
      </c>
    </row>
    <row r="771" spans="1:7">
      <c r="A771" t="s">
        <v>342</v>
      </c>
      <c r="B771">
        <v>839</v>
      </c>
      <c r="D771">
        <v>616</v>
      </c>
      <c r="E771">
        <v>969</v>
      </c>
      <c r="F771">
        <v>552</v>
      </c>
      <c r="G771">
        <v>2976</v>
      </c>
    </row>
    <row r="772" spans="1:7">
      <c r="A772" t="s">
        <v>1007</v>
      </c>
      <c r="B772">
        <v>1285</v>
      </c>
      <c r="G772">
        <v>1285</v>
      </c>
    </row>
    <row r="773" spans="1:7">
      <c r="A773" t="s">
        <v>553</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758</v>
      </c>
      <c r="B776">
        <v>335</v>
      </c>
      <c r="G776">
        <v>335</v>
      </c>
    </row>
    <row r="777" spans="1:7">
      <c r="A777" t="s">
        <v>1143</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986</v>
      </c>
      <c r="D780">
        <v>240</v>
      </c>
      <c r="E780">
        <v>504</v>
      </c>
      <c r="G780">
        <v>744</v>
      </c>
    </row>
    <row r="781" spans="1:7">
      <c r="A781" t="s">
        <v>1144</v>
      </c>
      <c r="F781">
        <v>4135</v>
      </c>
      <c r="G781">
        <v>4135</v>
      </c>
    </row>
    <row r="782" spans="1:7">
      <c r="A782" t="s">
        <v>367</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row>
    <row r="790" spans="1:7">
      <c r="A790" t="s">
        <v>512</v>
      </c>
      <c r="B790">
        <v>229</v>
      </c>
      <c r="G790">
        <v>229</v>
      </c>
    </row>
    <row r="791" spans="1:7">
      <c r="A791" t="s">
        <v>515</v>
      </c>
      <c r="C791">
        <v>134</v>
      </c>
      <c r="E791">
        <v>450</v>
      </c>
      <c r="F791">
        <v>352</v>
      </c>
      <c r="G791">
        <v>936</v>
      </c>
    </row>
    <row r="792" spans="1:7">
      <c r="A792" t="s">
        <v>1119</v>
      </c>
      <c r="D792">
        <v>201</v>
      </c>
      <c r="F792">
        <v>352</v>
      </c>
      <c r="G792">
        <v>553</v>
      </c>
    </row>
    <row r="793" spans="1:7">
      <c r="A793" t="s">
        <v>525</v>
      </c>
      <c r="C793">
        <v>665</v>
      </c>
      <c r="D793">
        <v>753</v>
      </c>
      <c r="E793">
        <v>305</v>
      </c>
      <c r="G793">
        <v>1723</v>
      </c>
    </row>
    <row r="794" spans="1:7">
      <c r="A794" t="s">
        <v>364</v>
      </c>
      <c r="B794">
        <v>479</v>
      </c>
      <c r="E794">
        <v>170</v>
      </c>
      <c r="G794">
        <v>649</v>
      </c>
    </row>
    <row r="795" spans="1:7">
      <c r="A795" t="s">
        <v>342</v>
      </c>
      <c r="B795">
        <v>1375</v>
      </c>
      <c r="C795">
        <v>1016</v>
      </c>
      <c r="D795">
        <v>312</v>
      </c>
      <c r="E795">
        <v>1304</v>
      </c>
      <c r="F795">
        <v>617</v>
      </c>
      <c r="G795">
        <v>4624</v>
      </c>
    </row>
    <row r="796" spans="1:7">
      <c r="A796" t="s">
        <v>1007</v>
      </c>
    </row>
    <row r="797" spans="1:7">
      <c r="A797" t="s">
        <v>1143</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986</v>
      </c>
      <c r="B800">
        <v>80</v>
      </c>
      <c r="G800">
        <v>80</v>
      </c>
    </row>
    <row r="801" spans="1:7">
      <c r="A801" t="s">
        <v>1144</v>
      </c>
      <c r="B801">
        <v>2251</v>
      </c>
      <c r="C801">
        <v>2014</v>
      </c>
      <c r="D801">
        <v>1868</v>
      </c>
      <c r="E801">
        <v>2157</v>
      </c>
      <c r="F801">
        <v>2953</v>
      </c>
      <c r="G801">
        <v>11243</v>
      </c>
    </row>
    <row r="802" spans="1:7">
      <c r="A802" t="s">
        <v>367</v>
      </c>
      <c r="B802">
        <v>454</v>
      </c>
      <c r="C802">
        <v>251</v>
      </c>
      <c r="D802">
        <v>224</v>
      </c>
      <c r="E802">
        <v>789</v>
      </c>
      <c r="G802">
        <v>1718</v>
      </c>
    </row>
    <row r="803" spans="1:7">
      <c r="A803" t="s">
        <v>637</v>
      </c>
      <c r="C803">
        <v>1253</v>
      </c>
      <c r="D803">
        <v>1351</v>
      </c>
      <c r="E803">
        <v>443</v>
      </c>
      <c r="G803">
        <v>3047</v>
      </c>
    </row>
    <row r="804" spans="1:7">
      <c r="A804" t="s">
        <v>723</v>
      </c>
      <c r="C804">
        <v>1850</v>
      </c>
      <c r="D804">
        <v>1276</v>
      </c>
      <c r="E804">
        <v>1479</v>
      </c>
      <c r="G804">
        <v>4605</v>
      </c>
    </row>
    <row r="805" spans="1:7">
      <c r="A805" t="s">
        <v>579</v>
      </c>
      <c r="D805">
        <v>1118</v>
      </c>
      <c r="E805">
        <v>1472</v>
      </c>
      <c r="G805">
        <v>2590</v>
      </c>
    </row>
    <row r="806" spans="1:7">
      <c r="A806" t="s">
        <v>1020</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E813">
        <v>270</v>
      </c>
      <c r="F813">
        <v>268</v>
      </c>
      <c r="G813">
        <v>538</v>
      </c>
    </row>
    <row r="814" spans="1:7">
      <c r="A814" t="s">
        <v>1113</v>
      </c>
      <c r="D814">
        <v>126</v>
      </c>
      <c r="E814">
        <v>229</v>
      </c>
      <c r="G814">
        <v>355</v>
      </c>
    </row>
    <row r="815" spans="1:7">
      <c r="A815" t="s">
        <v>515</v>
      </c>
      <c r="B815">
        <v>175</v>
      </c>
      <c r="C815">
        <v>270</v>
      </c>
      <c r="G815">
        <v>445</v>
      </c>
    </row>
    <row r="816" spans="1:7">
      <c r="A816" t="s">
        <v>1119</v>
      </c>
      <c r="B816">
        <v>65</v>
      </c>
      <c r="C816">
        <v>55</v>
      </c>
      <c r="G816">
        <v>120</v>
      </c>
    </row>
    <row r="817" spans="1:7">
      <c r="A817" t="s">
        <v>525</v>
      </c>
    </row>
    <row r="818" spans="1:7">
      <c r="A818" t="s">
        <v>364</v>
      </c>
      <c r="E818">
        <v>725</v>
      </c>
      <c r="G818">
        <v>725</v>
      </c>
    </row>
    <row r="819" spans="1:7">
      <c r="A819" t="s">
        <v>342</v>
      </c>
      <c r="B819">
        <v>768</v>
      </c>
      <c r="C819">
        <v>1014</v>
      </c>
      <c r="G819">
        <v>1782</v>
      </c>
    </row>
    <row r="820" spans="1:7">
      <c r="A820" t="s">
        <v>1143</v>
      </c>
      <c r="B820">
        <v>225</v>
      </c>
      <c r="C820">
        <v>1287</v>
      </c>
      <c r="D820">
        <v>1185</v>
      </c>
      <c r="E820">
        <v>508</v>
      </c>
      <c r="G820">
        <v>3205</v>
      </c>
    </row>
    <row r="821" spans="1:7">
      <c r="A821" t="s">
        <v>562</v>
      </c>
      <c r="D821">
        <v>334</v>
      </c>
      <c r="G821">
        <v>334</v>
      </c>
    </row>
    <row r="822" spans="1:7">
      <c r="A822" t="s">
        <v>1144</v>
      </c>
      <c r="C822">
        <v>216</v>
      </c>
      <c r="G822">
        <v>216</v>
      </c>
    </row>
    <row r="823" spans="1:7">
      <c r="A823" t="s">
        <v>367</v>
      </c>
      <c r="B823">
        <v>1088</v>
      </c>
      <c r="C823">
        <v>557</v>
      </c>
      <c r="D823">
        <v>512</v>
      </c>
      <c r="E823">
        <v>369</v>
      </c>
      <c r="G823">
        <v>2526</v>
      </c>
    </row>
    <row r="824" spans="1:7">
      <c r="A824" t="s">
        <v>637</v>
      </c>
      <c r="B824">
        <v>192</v>
      </c>
      <c r="G824">
        <v>192</v>
      </c>
    </row>
    <row r="825" spans="1:7">
      <c r="A825" t="s">
        <v>579</v>
      </c>
      <c r="B825">
        <v>1174</v>
      </c>
      <c r="C825">
        <v>1597</v>
      </c>
      <c r="D825">
        <v>308</v>
      </c>
      <c r="G825">
        <v>3079</v>
      </c>
    </row>
    <row r="826" spans="1:7">
      <c r="A826" t="s">
        <v>1020</v>
      </c>
      <c r="B826">
        <v>1545</v>
      </c>
      <c r="C826">
        <v>995</v>
      </c>
      <c r="G826">
        <v>2540</v>
      </c>
    </row>
    <row r="827" spans="1:7">
      <c r="A827" t="s">
        <v>546</v>
      </c>
      <c r="D827">
        <v>333</v>
      </c>
      <c r="G827">
        <v>333</v>
      </c>
    </row>
    <row r="828" spans="1:7">
      <c r="A828" t="s">
        <v>1146</v>
      </c>
      <c r="D828">
        <v>160</v>
      </c>
      <c r="G828">
        <v>160</v>
      </c>
    </row>
    <row r="829" spans="1:7">
      <c r="A829" t="s">
        <v>138</v>
      </c>
      <c r="D829">
        <v>1282</v>
      </c>
      <c r="E829">
        <v>980</v>
      </c>
      <c r="G829">
        <v>2262</v>
      </c>
    </row>
    <row r="830" spans="1:7">
      <c r="A830" t="s">
        <v>347</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241</v>
      </c>
      <c r="E838">
        <v>170</v>
      </c>
      <c r="G838">
        <v>170</v>
      </c>
    </row>
    <row r="839" spans="1:7">
      <c r="A839" t="s">
        <v>342</v>
      </c>
      <c r="D839">
        <v>986</v>
      </c>
      <c r="G839">
        <v>986</v>
      </c>
    </row>
    <row r="840" spans="1:7">
      <c r="A840" t="s">
        <v>1143</v>
      </c>
      <c r="B840">
        <v>916</v>
      </c>
      <c r="C840">
        <v>144</v>
      </c>
      <c r="G840">
        <v>1060</v>
      </c>
    </row>
    <row r="841" spans="1:7">
      <c r="A841" t="s">
        <v>579</v>
      </c>
    </row>
    <row r="842" spans="1:7">
      <c r="A842" t="s">
        <v>1020</v>
      </c>
    </row>
    <row r="843" spans="1:7">
      <c r="A843" t="s">
        <v>138</v>
      </c>
      <c r="B843">
        <v>828</v>
      </c>
      <c r="C843">
        <v>150</v>
      </c>
      <c r="E843">
        <v>688</v>
      </c>
      <c r="G843">
        <v>1666</v>
      </c>
    </row>
    <row r="844" spans="1:7">
      <c r="A844" t="s">
        <v>1147</v>
      </c>
      <c r="B844">
        <v>233</v>
      </c>
      <c r="G844">
        <v>233</v>
      </c>
    </row>
    <row r="845" spans="1:7">
      <c r="A845" t="s">
        <v>581</v>
      </c>
      <c r="B845">
        <v>1768</v>
      </c>
      <c r="C845">
        <v>510</v>
      </c>
      <c r="G845">
        <v>2278</v>
      </c>
    </row>
    <row r="846" spans="1:7">
      <c r="A846" t="s">
        <v>644</v>
      </c>
      <c r="B846">
        <v>220</v>
      </c>
      <c r="C846">
        <v>435</v>
      </c>
      <c r="D846">
        <v>227</v>
      </c>
      <c r="E846">
        <v>487</v>
      </c>
      <c r="F846">
        <v>123</v>
      </c>
      <c r="G846">
        <v>1492</v>
      </c>
    </row>
    <row r="847" spans="1:7">
      <c r="A847" t="s">
        <v>350</v>
      </c>
      <c r="B847">
        <v>60</v>
      </c>
      <c r="C847">
        <v>219</v>
      </c>
      <c r="G847">
        <v>279</v>
      </c>
    </row>
    <row r="848" spans="1:7">
      <c r="A848" t="s">
        <v>1036</v>
      </c>
      <c r="D848">
        <v>240</v>
      </c>
      <c r="G848">
        <v>240</v>
      </c>
    </row>
    <row r="849" spans="1:7">
      <c r="A849" t="s">
        <v>1148</v>
      </c>
      <c r="C849">
        <v>1603</v>
      </c>
      <c r="D849">
        <v>791</v>
      </c>
      <c r="E849">
        <v>2803</v>
      </c>
      <c r="G849">
        <v>5197</v>
      </c>
    </row>
    <row r="850" spans="1:7">
      <c r="A850" t="s">
        <v>357</v>
      </c>
      <c r="C850">
        <v>927</v>
      </c>
      <c r="D850">
        <v>1221</v>
      </c>
      <c r="E850">
        <v>1023</v>
      </c>
      <c r="G850">
        <v>3171</v>
      </c>
    </row>
    <row r="851" spans="1:7">
      <c r="A851" t="s">
        <v>585</v>
      </c>
      <c r="C851">
        <v>974</v>
      </c>
      <c r="D851">
        <v>1312</v>
      </c>
      <c r="E851">
        <v>359</v>
      </c>
      <c r="G851">
        <v>2645</v>
      </c>
    </row>
    <row r="852" spans="1:7">
      <c r="A852" t="s">
        <v>1022</v>
      </c>
      <c r="D852">
        <v>1239</v>
      </c>
      <c r="E852">
        <v>1220</v>
      </c>
      <c r="G852">
        <v>2459</v>
      </c>
    </row>
    <row r="853" spans="1:7">
      <c r="A853" t="s">
        <v>360</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515</v>
      </c>
      <c r="B860">
        <v>153</v>
      </c>
      <c r="C860">
        <v>244</v>
      </c>
      <c r="E860">
        <v>237</v>
      </c>
      <c r="G860">
        <v>634</v>
      </c>
    </row>
    <row r="861" spans="1:7">
      <c r="A861" t="s">
        <v>1119</v>
      </c>
      <c r="B861">
        <v>455</v>
      </c>
      <c r="G861">
        <v>455</v>
      </c>
    </row>
    <row r="862" spans="1:7">
      <c r="A862" t="s">
        <v>525</v>
      </c>
      <c r="B862">
        <v>151</v>
      </c>
      <c r="C862">
        <v>149</v>
      </c>
      <c r="G862">
        <v>300</v>
      </c>
    </row>
    <row r="863" spans="1:7">
      <c r="A863" t="s">
        <v>72</v>
      </c>
      <c r="D863">
        <v>168</v>
      </c>
      <c r="F863">
        <v>34</v>
      </c>
      <c r="G863">
        <v>202</v>
      </c>
    </row>
    <row r="864" spans="1:7">
      <c r="A864" t="s">
        <v>546</v>
      </c>
    </row>
    <row r="865" spans="1:7">
      <c r="A865" t="s">
        <v>644</v>
      </c>
      <c r="C865">
        <v>413</v>
      </c>
      <c r="D865">
        <v>190</v>
      </c>
      <c r="E865">
        <v>1194</v>
      </c>
      <c r="F865">
        <v>306</v>
      </c>
      <c r="G865">
        <v>2103</v>
      </c>
    </row>
    <row r="866" spans="1:7">
      <c r="A866" t="s">
        <v>1148</v>
      </c>
      <c r="B866">
        <v>3343</v>
      </c>
      <c r="C866">
        <v>714</v>
      </c>
      <c r="D866">
        <v>2013</v>
      </c>
      <c r="E866">
        <v>1500</v>
      </c>
      <c r="F866">
        <v>1933</v>
      </c>
      <c r="G866">
        <v>9503</v>
      </c>
    </row>
    <row r="867" spans="1:7">
      <c r="A867" t="s">
        <v>357</v>
      </c>
      <c r="B867">
        <v>1100</v>
      </c>
      <c r="C867">
        <v>527</v>
      </c>
      <c r="D867">
        <v>553</v>
      </c>
      <c r="G867">
        <v>2180</v>
      </c>
    </row>
    <row r="868" spans="1:7">
      <c r="A868" t="s">
        <v>585</v>
      </c>
      <c r="C868">
        <v>230</v>
      </c>
      <c r="G868">
        <v>230</v>
      </c>
    </row>
    <row r="869" spans="1:7">
      <c r="A869" t="s">
        <v>1022</v>
      </c>
      <c r="B869">
        <v>853</v>
      </c>
      <c r="G869">
        <v>853</v>
      </c>
    </row>
    <row r="870" spans="1:7">
      <c r="A870" t="s">
        <v>360</v>
      </c>
      <c r="B870">
        <v>1186</v>
      </c>
      <c r="C870">
        <v>1564</v>
      </c>
      <c r="D870">
        <v>1012</v>
      </c>
      <c r="E870">
        <v>588</v>
      </c>
      <c r="G870">
        <v>4350</v>
      </c>
    </row>
    <row r="871" spans="1:7">
      <c r="A871" t="s">
        <v>1024</v>
      </c>
      <c r="C871">
        <v>1007</v>
      </c>
      <c r="D871">
        <v>1672</v>
      </c>
      <c r="E871">
        <v>1544</v>
      </c>
      <c r="G871">
        <v>4223</v>
      </c>
    </row>
    <row r="872" spans="1:7">
      <c r="A872" t="s">
        <v>591</v>
      </c>
      <c r="C872">
        <v>1182</v>
      </c>
      <c r="D872">
        <v>1604</v>
      </c>
      <c r="E872">
        <v>1268</v>
      </c>
      <c r="G872">
        <v>4054</v>
      </c>
    </row>
    <row r="873" spans="1:7">
      <c r="A873" t="s">
        <v>980</v>
      </c>
      <c r="D873">
        <v>1624</v>
      </c>
      <c r="E873">
        <v>551</v>
      </c>
      <c r="G873">
        <v>2175</v>
      </c>
    </row>
    <row r="874" spans="1:7">
      <c r="A874" t="s">
        <v>358</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D880">
        <v>171</v>
      </c>
      <c r="G880">
        <v>171</v>
      </c>
    </row>
    <row r="881" spans="1:7">
      <c r="A881" t="s">
        <v>1113</v>
      </c>
      <c r="B881">
        <v>567</v>
      </c>
      <c r="G881">
        <v>567</v>
      </c>
    </row>
    <row r="882" spans="1:7">
      <c r="A882" t="s">
        <v>525</v>
      </c>
    </row>
    <row r="883" spans="1:7">
      <c r="A883" t="s">
        <v>539</v>
      </c>
      <c r="F883">
        <v>60</v>
      </c>
      <c r="G883">
        <v>60</v>
      </c>
    </row>
    <row r="884" spans="1:7">
      <c r="A884" t="s">
        <v>241</v>
      </c>
    </row>
    <row r="885" spans="1:7">
      <c r="A885" t="s">
        <v>342</v>
      </c>
    </row>
    <row r="886" spans="1:7">
      <c r="A886" t="s">
        <v>72</v>
      </c>
      <c r="B886">
        <v>188</v>
      </c>
      <c r="C886">
        <v>140</v>
      </c>
      <c r="G886">
        <v>328</v>
      </c>
    </row>
    <row r="887" spans="1:7">
      <c r="A887" t="s">
        <v>546</v>
      </c>
      <c r="B887">
        <v>270</v>
      </c>
      <c r="C887">
        <v>60</v>
      </c>
      <c r="G887">
        <v>330</v>
      </c>
    </row>
    <row r="888" spans="1:7">
      <c r="A888" t="s">
        <v>581</v>
      </c>
    </row>
    <row r="889" spans="1:7">
      <c r="A889" t="s">
        <v>644</v>
      </c>
      <c r="B889">
        <v>203</v>
      </c>
      <c r="C889">
        <v>996</v>
      </c>
      <c r="D889">
        <v>1147</v>
      </c>
      <c r="E889">
        <v>1053</v>
      </c>
      <c r="F889">
        <v>955</v>
      </c>
      <c r="G889">
        <v>4354</v>
      </c>
    </row>
    <row r="890" spans="1:7">
      <c r="A890" t="s">
        <v>1148</v>
      </c>
      <c r="B890">
        <v>820</v>
      </c>
      <c r="C890">
        <v>2077</v>
      </c>
      <c r="D890">
        <v>1096</v>
      </c>
      <c r="G890">
        <v>3993</v>
      </c>
    </row>
    <row r="891" spans="1:7">
      <c r="A891" t="s">
        <v>357</v>
      </c>
      <c r="C891">
        <v>1647</v>
      </c>
      <c r="D891">
        <v>343</v>
      </c>
      <c r="G891">
        <v>1990</v>
      </c>
    </row>
    <row r="892" spans="1:7">
      <c r="A892" t="s">
        <v>1024</v>
      </c>
      <c r="B892">
        <v>587</v>
      </c>
      <c r="C892">
        <v>115</v>
      </c>
      <c r="G892">
        <v>702</v>
      </c>
    </row>
    <row r="893" spans="1:7">
      <c r="A893" t="s">
        <v>583</v>
      </c>
      <c r="C893">
        <v>1509</v>
      </c>
      <c r="D893">
        <v>1087</v>
      </c>
      <c r="E893">
        <v>777</v>
      </c>
      <c r="G893">
        <v>3373</v>
      </c>
    </row>
    <row r="894" spans="1:7">
      <c r="A894" t="s">
        <v>591</v>
      </c>
      <c r="B894">
        <v>1310</v>
      </c>
      <c r="G894">
        <v>1310</v>
      </c>
    </row>
    <row r="895" spans="1:7">
      <c r="A895" t="s">
        <v>980</v>
      </c>
      <c r="F895">
        <v>168</v>
      </c>
      <c r="G895">
        <v>168</v>
      </c>
    </row>
    <row r="896" spans="1:7">
      <c r="A896" t="s">
        <v>358</v>
      </c>
      <c r="B896">
        <v>1323</v>
      </c>
      <c r="C896">
        <v>1516</v>
      </c>
      <c r="D896">
        <v>790</v>
      </c>
      <c r="E896">
        <v>930</v>
      </c>
      <c r="F896">
        <v>408</v>
      </c>
      <c r="G896">
        <v>4967</v>
      </c>
    </row>
    <row r="897" spans="1:7">
      <c r="A897" t="s">
        <v>1149</v>
      </c>
      <c r="B897">
        <v>1224</v>
      </c>
      <c r="C897">
        <v>988</v>
      </c>
      <c r="D897">
        <v>2316</v>
      </c>
      <c r="E897">
        <v>2066</v>
      </c>
      <c r="G897">
        <v>6594</v>
      </c>
    </row>
    <row r="898" spans="1:7">
      <c r="A898" t="s">
        <v>577</v>
      </c>
      <c r="C898">
        <v>1678</v>
      </c>
      <c r="E898">
        <v>394</v>
      </c>
      <c r="G898">
        <v>2072</v>
      </c>
    </row>
    <row r="899" spans="1:7">
      <c r="A899" t="s">
        <v>353</v>
      </c>
      <c r="D899">
        <v>3179</v>
      </c>
      <c r="G899">
        <v>3179</v>
      </c>
    </row>
    <row r="900" spans="1:7">
      <c r="A900" t="s">
        <v>616</v>
      </c>
      <c r="E900">
        <v>978</v>
      </c>
      <c r="G900">
        <v>978</v>
      </c>
    </row>
    <row r="901" spans="1:7">
      <c r="A901" t="s">
        <v>418</v>
      </c>
      <c r="E901">
        <v>502</v>
      </c>
      <c r="G901">
        <v>502</v>
      </c>
    </row>
    <row r="902" spans="1:7">
      <c r="A902" t="s">
        <v>205</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541</v>
      </c>
    </row>
    <row r="910" spans="1:7">
      <c r="A910" t="s">
        <v>342</v>
      </c>
    </row>
    <row r="911" spans="1:7">
      <c r="A911" t="s">
        <v>367</v>
      </c>
      <c r="F911">
        <v>569</v>
      </c>
      <c r="G911">
        <v>569</v>
      </c>
    </row>
    <row r="912" spans="1:7">
      <c r="A912" t="s">
        <v>644</v>
      </c>
    </row>
    <row r="913" spans="1:7">
      <c r="A913" t="s">
        <v>350</v>
      </c>
      <c r="D913">
        <v>150</v>
      </c>
      <c r="G913">
        <v>150</v>
      </c>
    </row>
    <row r="914" spans="1:7">
      <c r="A914" t="s">
        <v>360</v>
      </c>
    </row>
    <row r="915" spans="1:7">
      <c r="A915" t="s">
        <v>591</v>
      </c>
      <c r="B915">
        <v>701</v>
      </c>
      <c r="G915">
        <v>701</v>
      </c>
    </row>
    <row r="916" spans="1:7">
      <c r="A916" t="s">
        <v>980</v>
      </c>
      <c r="B916">
        <v>463</v>
      </c>
      <c r="C916">
        <v>633</v>
      </c>
      <c r="D916">
        <v>625</v>
      </c>
      <c r="G916">
        <v>1721</v>
      </c>
    </row>
    <row r="917" spans="1:7">
      <c r="A917" t="s">
        <v>358</v>
      </c>
    </row>
    <row r="918" spans="1:7">
      <c r="A918" t="s">
        <v>353</v>
      </c>
      <c r="B918">
        <v>882</v>
      </c>
      <c r="C918">
        <v>1072</v>
      </c>
      <c r="D918">
        <v>1034</v>
      </c>
      <c r="E918">
        <v>209</v>
      </c>
      <c r="G918">
        <v>3197</v>
      </c>
    </row>
    <row r="919" spans="1:7">
      <c r="A919" t="s">
        <v>616</v>
      </c>
      <c r="B919">
        <v>1420</v>
      </c>
      <c r="C919">
        <v>990</v>
      </c>
      <c r="D919">
        <v>549</v>
      </c>
      <c r="G919">
        <v>2959</v>
      </c>
    </row>
    <row r="920" spans="1:7">
      <c r="A920" t="s">
        <v>418</v>
      </c>
      <c r="B920">
        <v>259</v>
      </c>
      <c r="C920">
        <v>1087</v>
      </c>
      <c r="D920">
        <v>2206</v>
      </c>
      <c r="E920">
        <v>453</v>
      </c>
      <c r="G920">
        <v>4005</v>
      </c>
    </row>
    <row r="921" spans="1:7">
      <c r="A921" t="s">
        <v>205</v>
      </c>
      <c r="C921">
        <v>379</v>
      </c>
      <c r="D921">
        <v>208</v>
      </c>
      <c r="G921">
        <v>587</v>
      </c>
    </row>
    <row r="922" spans="1:7">
      <c r="A922" t="s">
        <v>589</v>
      </c>
      <c r="B922">
        <v>579</v>
      </c>
      <c r="C922">
        <v>1120</v>
      </c>
      <c r="D922">
        <v>1488</v>
      </c>
      <c r="E922">
        <v>954</v>
      </c>
      <c r="G922">
        <v>4141</v>
      </c>
    </row>
    <row r="923" spans="1:7">
      <c r="A923" t="s">
        <v>1150</v>
      </c>
      <c r="B923">
        <v>365</v>
      </c>
      <c r="G923">
        <v>365</v>
      </c>
    </row>
    <row r="924" spans="1:7">
      <c r="A924" t="s">
        <v>371</v>
      </c>
      <c r="B924">
        <v>207</v>
      </c>
      <c r="G924">
        <v>207</v>
      </c>
    </row>
    <row r="925" spans="1:7">
      <c r="A925" t="s">
        <v>648</v>
      </c>
      <c r="C925">
        <v>1691</v>
      </c>
      <c r="D925">
        <v>1998</v>
      </c>
      <c r="E925">
        <v>760</v>
      </c>
      <c r="F925">
        <v>3975</v>
      </c>
      <c r="G925">
        <v>8424</v>
      </c>
    </row>
    <row r="926" spans="1:7">
      <c r="A926" t="s">
        <v>619</v>
      </c>
      <c r="D926">
        <v>1031</v>
      </c>
      <c r="G926">
        <v>1031</v>
      </c>
    </row>
    <row r="927" spans="1:7">
      <c r="A927" t="s">
        <v>369</v>
      </c>
      <c r="E927">
        <v>1063</v>
      </c>
      <c r="F927">
        <v>1263</v>
      </c>
      <c r="G927">
        <v>2326</v>
      </c>
    </row>
    <row r="928" spans="1:7">
      <c r="A928" t="s">
        <v>646</v>
      </c>
      <c r="F928">
        <v>451</v>
      </c>
      <c r="G928">
        <v>451</v>
      </c>
    </row>
    <row r="929" spans="1:7">
      <c r="A929" t="s">
        <v>441</v>
      </c>
      <c r="B929">
        <v>3266</v>
      </c>
      <c r="C929">
        <v>3910</v>
      </c>
      <c r="D929">
        <v>346</v>
      </c>
      <c r="G929">
        <v>7522</v>
      </c>
    </row>
    <row r="930" spans="1:7">
      <c r="A930" t="s">
        <v>292</v>
      </c>
      <c r="C930">
        <v>372</v>
      </c>
      <c r="D930">
        <v>656</v>
      </c>
      <c r="G930">
        <v>1028</v>
      </c>
    </row>
    <row r="931" spans="1:7">
      <c r="A931" t="s">
        <v>436</v>
      </c>
      <c r="D931">
        <v>2985</v>
      </c>
      <c r="E931">
        <v>2373</v>
      </c>
      <c r="G931">
        <v>5358</v>
      </c>
    </row>
    <row r="932" spans="1:7">
      <c r="A932" t="s">
        <v>458</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row>
    <row r="939" spans="1:7">
      <c r="A939" t="s">
        <v>347</v>
      </c>
    </row>
    <row r="940" spans="1:7">
      <c r="A940" t="s">
        <v>644</v>
      </c>
      <c r="B940">
        <v>560</v>
      </c>
      <c r="G940">
        <v>560</v>
      </c>
    </row>
    <row r="941" spans="1:7">
      <c r="A941" t="s">
        <v>360</v>
      </c>
    </row>
    <row r="942" spans="1:7">
      <c r="A942" t="s">
        <v>591</v>
      </c>
      <c r="B942">
        <v>138</v>
      </c>
      <c r="G942">
        <v>138</v>
      </c>
    </row>
    <row r="943" spans="1:7">
      <c r="A943" t="s">
        <v>358</v>
      </c>
    </row>
    <row r="944" spans="1:7">
      <c r="A944" t="s">
        <v>353</v>
      </c>
      <c r="B944">
        <v>96</v>
      </c>
      <c r="G944">
        <v>96</v>
      </c>
    </row>
    <row r="945" spans="1:7">
      <c r="A945" t="s">
        <v>616</v>
      </c>
      <c r="B945">
        <v>632</v>
      </c>
      <c r="G945">
        <v>632</v>
      </c>
    </row>
    <row r="946" spans="1:7">
      <c r="A946" t="s">
        <v>418</v>
      </c>
      <c r="B946">
        <v>558</v>
      </c>
      <c r="G946">
        <v>558</v>
      </c>
    </row>
    <row r="947" spans="1:7">
      <c r="A947" t="s">
        <v>205</v>
      </c>
      <c r="B947">
        <v>562</v>
      </c>
      <c r="D947">
        <v>474</v>
      </c>
      <c r="E947">
        <v>606</v>
      </c>
      <c r="F947">
        <v>322</v>
      </c>
      <c r="G947">
        <v>1964</v>
      </c>
    </row>
    <row r="948" spans="1:7">
      <c r="A948" t="s">
        <v>619</v>
      </c>
      <c r="B948">
        <v>1351</v>
      </c>
      <c r="D948">
        <v>890</v>
      </c>
      <c r="G948">
        <v>2241</v>
      </c>
    </row>
    <row r="949" spans="1:7">
      <c r="A949" t="s">
        <v>458</v>
      </c>
      <c r="B949">
        <v>4084</v>
      </c>
      <c r="D949">
        <v>242</v>
      </c>
      <c r="G949">
        <v>4326</v>
      </c>
    </row>
    <row r="950" spans="1:7">
      <c r="A950" t="s">
        <v>1151</v>
      </c>
      <c r="B950">
        <v>748</v>
      </c>
      <c r="C950">
        <v>1062</v>
      </c>
      <c r="G950">
        <v>1810</v>
      </c>
    </row>
    <row r="951" spans="1:7">
      <c r="A951" t="s">
        <v>355</v>
      </c>
      <c r="B951">
        <v>435</v>
      </c>
      <c r="E951">
        <v>1123</v>
      </c>
      <c r="G951">
        <v>1558</v>
      </c>
    </row>
    <row r="952" spans="1:7">
      <c r="A952" t="s">
        <v>397</v>
      </c>
      <c r="D952">
        <v>1580</v>
      </c>
      <c r="E952">
        <v>1258</v>
      </c>
      <c r="G952">
        <v>2838</v>
      </c>
    </row>
    <row r="953" spans="1:7">
      <c r="A953" t="s">
        <v>587</v>
      </c>
      <c r="D953">
        <v>877</v>
      </c>
      <c r="E953">
        <v>814</v>
      </c>
      <c r="G953">
        <v>1691</v>
      </c>
    </row>
    <row r="954" spans="1:7">
      <c r="A954" t="s">
        <v>191</v>
      </c>
      <c r="D954">
        <v>711</v>
      </c>
      <c r="E954">
        <v>325</v>
      </c>
      <c r="F954">
        <v>430</v>
      </c>
      <c r="G954">
        <v>1466</v>
      </c>
    </row>
    <row r="955" spans="1:7">
      <c r="A955" t="s">
        <v>390</v>
      </c>
      <c r="D955">
        <v>1486</v>
      </c>
      <c r="E955">
        <v>2912</v>
      </c>
      <c r="F955">
        <v>2125</v>
      </c>
      <c r="G955">
        <v>6523</v>
      </c>
    </row>
    <row r="956" spans="1:7">
      <c r="A956" t="s">
        <v>450</v>
      </c>
      <c r="D956">
        <v>1264</v>
      </c>
      <c r="E956">
        <v>1281</v>
      </c>
      <c r="G956">
        <v>2545</v>
      </c>
    </row>
    <row r="957" spans="1:7">
      <c r="A957" t="s">
        <v>1152</v>
      </c>
    </row>
    <row r="958" spans="1:7">
      <c r="A958" t="s">
        <v>463</v>
      </c>
      <c r="D958">
        <v>3678</v>
      </c>
      <c r="E958">
        <v>3382</v>
      </c>
      <c r="G958">
        <v>7060</v>
      </c>
    </row>
    <row r="959" spans="1:7">
      <c r="A959" t="s">
        <v>1153</v>
      </c>
      <c r="F959">
        <v>1505</v>
      </c>
      <c r="G959">
        <v>1505</v>
      </c>
    </row>
    <row r="960" spans="1:7">
      <c r="A960" t="s">
        <v>499</v>
      </c>
      <c r="E960">
        <v>424</v>
      </c>
      <c r="G960">
        <v>424</v>
      </c>
    </row>
    <row r="961" spans="1:7">
      <c r="A961" t="s">
        <v>465</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E968">
        <v>170</v>
      </c>
      <c r="F968">
        <v>271</v>
      </c>
      <c r="G968">
        <v>441</v>
      </c>
    </row>
    <row r="969" spans="1:7">
      <c r="A969" t="s">
        <v>241</v>
      </c>
      <c r="B969">
        <v>446</v>
      </c>
      <c r="C969">
        <v>120</v>
      </c>
      <c r="D969">
        <v>550</v>
      </c>
      <c r="G969">
        <v>1116</v>
      </c>
    </row>
    <row r="970" spans="1:7">
      <c r="A970" t="s">
        <v>644</v>
      </c>
      <c r="C970">
        <v>17</v>
      </c>
      <c r="G970">
        <v>17</v>
      </c>
    </row>
    <row r="971" spans="1:7">
      <c r="A971" t="s">
        <v>591</v>
      </c>
    </row>
    <row r="972" spans="1:7">
      <c r="A972" t="s">
        <v>418</v>
      </c>
      <c r="B972">
        <v>127</v>
      </c>
      <c r="G972">
        <v>127</v>
      </c>
    </row>
    <row r="973" spans="1:7">
      <c r="A973" t="s">
        <v>205</v>
      </c>
      <c r="B973">
        <v>420</v>
      </c>
      <c r="G973">
        <v>420</v>
      </c>
    </row>
    <row r="974" spans="1:7">
      <c r="A974" t="s">
        <v>619</v>
      </c>
    </row>
    <row r="975" spans="1:7">
      <c r="A975" t="s">
        <v>355</v>
      </c>
      <c r="C975">
        <v>1917</v>
      </c>
      <c r="E975">
        <v>272</v>
      </c>
      <c r="G975">
        <v>2189</v>
      </c>
    </row>
    <row r="976" spans="1:7">
      <c r="A976" t="s">
        <v>587</v>
      </c>
      <c r="B976">
        <v>956</v>
      </c>
      <c r="G976">
        <v>956</v>
      </c>
    </row>
    <row r="977" spans="1:7">
      <c r="A977" t="s">
        <v>191</v>
      </c>
      <c r="E977">
        <v>195</v>
      </c>
      <c r="G977">
        <v>195</v>
      </c>
    </row>
    <row r="978" spans="1:7">
      <c r="A978" t="s">
        <v>390</v>
      </c>
      <c r="B978">
        <v>1449</v>
      </c>
      <c r="G978">
        <v>1449</v>
      </c>
    </row>
    <row r="979" spans="1:7">
      <c r="A979" t="s">
        <v>450</v>
      </c>
      <c r="B979">
        <v>1662</v>
      </c>
      <c r="C979">
        <v>2684</v>
      </c>
      <c r="F979">
        <v>51</v>
      </c>
      <c r="G979">
        <v>4397</v>
      </c>
    </row>
    <row r="980" spans="1:7">
      <c r="A980" t="s">
        <v>460</v>
      </c>
      <c r="B980">
        <v>5466</v>
      </c>
      <c r="E980">
        <v>2252</v>
      </c>
      <c r="G980">
        <v>7718</v>
      </c>
    </row>
    <row r="981" spans="1:7">
      <c r="A981" t="s">
        <v>1153</v>
      </c>
      <c r="B981">
        <v>907</v>
      </c>
      <c r="G981">
        <v>907</v>
      </c>
    </row>
    <row r="982" spans="1:7">
      <c r="A982" t="s">
        <v>499</v>
      </c>
      <c r="E982">
        <v>313</v>
      </c>
      <c r="F982">
        <v>3007</v>
      </c>
      <c r="G982">
        <v>3320</v>
      </c>
    </row>
    <row r="983" spans="1:7">
      <c r="A983" t="s">
        <v>465</v>
      </c>
      <c r="B983">
        <v>1498</v>
      </c>
      <c r="C983">
        <v>3613</v>
      </c>
      <c r="E983">
        <v>1027</v>
      </c>
      <c r="F983">
        <v>490</v>
      </c>
      <c r="G983">
        <v>6628</v>
      </c>
    </row>
    <row r="984" spans="1:7">
      <c r="A984" t="s">
        <v>1154</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405</v>
      </c>
      <c r="C987">
        <v>1679</v>
      </c>
      <c r="D987">
        <v>1429</v>
      </c>
      <c r="E987">
        <v>1624</v>
      </c>
      <c r="G987">
        <v>4732</v>
      </c>
    </row>
    <row r="988" spans="1:7">
      <c r="A988" t="s">
        <v>391</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969</v>
      </c>
    </row>
    <row r="992" spans="1:7">
      <c r="A992" t="s">
        <v>971</v>
      </c>
    </row>
    <row r="993" spans="1:7">
      <c r="A993" t="s">
        <v>531</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393</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518</v>
      </c>
    </row>
    <row r="1005" spans="1:7">
      <c r="A1005" t="s">
        <v>512</v>
      </c>
      <c r="C1005">
        <v>68</v>
      </c>
      <c r="G1005">
        <v>68</v>
      </c>
    </row>
    <row r="1006" spans="1:7">
      <c r="A1006" t="s">
        <v>1138</v>
      </c>
    </row>
    <row r="1007" spans="1:7">
      <c r="A1007" t="s">
        <v>347</v>
      </c>
    </row>
    <row r="1008" spans="1:7">
      <c r="A1008" t="s">
        <v>980</v>
      </c>
    </row>
    <row r="1009" spans="1:7">
      <c r="A1009" t="s">
        <v>358</v>
      </c>
    </row>
    <row r="1010" spans="1:7">
      <c r="A1010" t="s">
        <v>353</v>
      </c>
    </row>
    <row r="1011" spans="1:7">
      <c r="A1011" t="s">
        <v>205</v>
      </c>
      <c r="D1011">
        <v>426</v>
      </c>
      <c r="G1011">
        <v>426</v>
      </c>
    </row>
    <row r="1012" spans="1:7">
      <c r="A1012" t="s">
        <v>369</v>
      </c>
    </row>
    <row r="1013" spans="1:7">
      <c r="A1013" t="s">
        <v>441</v>
      </c>
    </row>
    <row r="1014" spans="1:7">
      <c r="A1014" t="s">
        <v>292</v>
      </c>
      <c r="C1014">
        <v>1175</v>
      </c>
      <c r="G1014">
        <v>1175</v>
      </c>
    </row>
    <row r="1015" spans="1:7">
      <c r="A1015" t="s">
        <v>436</v>
      </c>
      <c r="C1015">
        <v>996</v>
      </c>
      <c r="G1015">
        <v>996</v>
      </c>
    </row>
    <row r="1016" spans="1:7">
      <c r="A1016" t="s">
        <v>355</v>
      </c>
      <c r="B1016">
        <v>900</v>
      </c>
      <c r="G1016">
        <v>900</v>
      </c>
    </row>
    <row r="1017" spans="1:7">
      <c r="A1017" t="s">
        <v>397</v>
      </c>
    </row>
    <row r="1018" spans="1:7">
      <c r="A1018" t="s">
        <v>587</v>
      </c>
    </row>
    <row r="1019" spans="1:7">
      <c r="A1019" t="s">
        <v>1154</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405</v>
      </c>
      <c r="B1022">
        <v>572</v>
      </c>
      <c r="G1022">
        <v>572</v>
      </c>
    </row>
    <row r="1023" spans="1:7">
      <c r="A1023" t="s">
        <v>1156</v>
      </c>
      <c r="B1023">
        <v>1718</v>
      </c>
      <c r="C1023">
        <v>2478</v>
      </c>
      <c r="D1023">
        <v>1567</v>
      </c>
      <c r="G1023">
        <v>5763</v>
      </c>
    </row>
    <row r="1024" spans="1:7">
      <c r="A1024" t="s">
        <v>468</v>
      </c>
      <c r="C1024">
        <v>3411</v>
      </c>
      <c r="G1024">
        <v>3411</v>
      </c>
    </row>
    <row r="1025" spans="1:7">
      <c r="A1025" t="s">
        <v>180</v>
      </c>
      <c r="B1025">
        <v>82</v>
      </c>
      <c r="G1025">
        <v>82</v>
      </c>
    </row>
    <row r="1026" spans="1:7">
      <c r="A1026" t="s">
        <v>471</v>
      </c>
      <c r="C1026">
        <v>3311</v>
      </c>
      <c r="G1026">
        <v>3311</v>
      </c>
    </row>
    <row r="1027" spans="1:7">
      <c r="A1027" t="s">
        <v>439</v>
      </c>
    </row>
    <row r="1028" spans="1:7">
      <c r="A1028" t="s">
        <v>393</v>
      </c>
      <c r="C1028">
        <v>2568</v>
      </c>
      <c r="G1028">
        <v>2568</v>
      </c>
    </row>
    <row r="1029" spans="1:7">
      <c r="A1029" t="s">
        <v>608</v>
      </c>
      <c r="B1029">
        <v>286</v>
      </c>
      <c r="C1029">
        <v>357</v>
      </c>
      <c r="D1029">
        <v>331</v>
      </c>
      <c r="G1029">
        <v>974</v>
      </c>
    </row>
    <row r="1030" spans="1:7">
      <c r="A1030" t="s">
        <v>384</v>
      </c>
      <c r="B1030">
        <v>1655</v>
      </c>
      <c r="C1030">
        <v>2537</v>
      </c>
      <c r="G1030">
        <v>4192</v>
      </c>
    </row>
    <row r="1031" spans="1:7">
      <c r="A1031" t="s">
        <v>452</v>
      </c>
      <c r="C1031">
        <v>2382</v>
      </c>
      <c r="G1031">
        <v>2382</v>
      </c>
    </row>
    <row r="1032" spans="1:7">
      <c r="A1032" t="s">
        <v>599</v>
      </c>
      <c r="C1032">
        <v>1100</v>
      </c>
      <c r="D1032">
        <v>855</v>
      </c>
      <c r="G1032">
        <v>1955</v>
      </c>
    </row>
    <row r="1033" spans="1:7">
      <c r="A1033" t="s">
        <v>1157</v>
      </c>
      <c r="C1033">
        <v>486</v>
      </c>
      <c r="G1033">
        <v>486</v>
      </c>
    </row>
    <row r="1034" spans="1:7">
      <c r="A1034" t="s">
        <v>474</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973</v>
      </c>
    </row>
    <row r="1040" spans="1:7">
      <c r="A1040" t="s">
        <v>1057</v>
      </c>
    </row>
    <row r="1041" spans="1:7">
      <c r="A1041" t="s">
        <v>1060</v>
      </c>
    </row>
    <row r="1042" spans="1:7">
      <c r="A1042" t="s">
        <v>444</v>
      </c>
    </row>
    <row r="1043" spans="1:7">
      <c r="A1043" t="s">
        <v>446</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589</v>
      </c>
      <c r="C1051">
        <v>175</v>
      </c>
      <c r="G1051">
        <v>175</v>
      </c>
    </row>
    <row r="1052" spans="1:7">
      <c r="A1052" t="s">
        <v>648</v>
      </c>
      <c r="B1052">
        <v>602</v>
      </c>
      <c r="C1052">
        <v>1069</v>
      </c>
      <c r="D1052">
        <v>1129</v>
      </c>
      <c r="E1052">
        <v>1041</v>
      </c>
      <c r="F1052">
        <v>1824</v>
      </c>
      <c r="G1052">
        <v>5665</v>
      </c>
    </row>
    <row r="1053" spans="1:7">
      <c r="A1053" t="s">
        <v>292</v>
      </c>
      <c r="B1053">
        <v>1515</v>
      </c>
      <c r="G1053">
        <v>1515</v>
      </c>
    </row>
    <row r="1054" spans="1:7">
      <c r="A1054" t="s">
        <v>460</v>
      </c>
      <c r="E1054">
        <v>64</v>
      </c>
      <c r="G1054">
        <v>64</v>
      </c>
    </row>
    <row r="1055" spans="1:7">
      <c r="A1055" t="s">
        <v>463</v>
      </c>
    </row>
    <row r="1056" spans="1:7">
      <c r="A1056" t="s">
        <v>596</v>
      </c>
      <c r="B1056">
        <v>1610</v>
      </c>
      <c r="G1056">
        <v>1610</v>
      </c>
    </row>
    <row r="1057" spans="1:7">
      <c r="A1057" t="s">
        <v>593</v>
      </c>
    </row>
    <row r="1058" spans="1:7">
      <c r="A1058" t="s">
        <v>468</v>
      </c>
      <c r="E1058">
        <v>52</v>
      </c>
      <c r="G1058">
        <v>52</v>
      </c>
    </row>
    <row r="1059" spans="1:7">
      <c r="A1059" t="s">
        <v>393</v>
      </c>
      <c r="E1059">
        <v>489</v>
      </c>
      <c r="F1059">
        <v>2020</v>
      </c>
      <c r="G1059">
        <v>2509</v>
      </c>
    </row>
    <row r="1060" spans="1:7">
      <c r="A1060" t="s">
        <v>384</v>
      </c>
      <c r="B1060">
        <v>2113</v>
      </c>
      <c r="D1060">
        <v>1677</v>
      </c>
      <c r="E1060">
        <v>1316</v>
      </c>
      <c r="G1060">
        <v>5106</v>
      </c>
    </row>
    <row r="1061" spans="1:7">
      <c r="A1061" t="s">
        <v>452</v>
      </c>
      <c r="B1061">
        <v>3084</v>
      </c>
      <c r="G1061">
        <v>3084</v>
      </c>
    </row>
    <row r="1062" spans="1:7">
      <c r="A1062" t="s">
        <v>599</v>
      </c>
      <c r="B1062">
        <v>1622</v>
      </c>
      <c r="C1062">
        <v>1131</v>
      </c>
      <c r="G1062">
        <v>2753</v>
      </c>
    </row>
    <row r="1063" spans="1:7">
      <c r="A1063" t="s">
        <v>1157</v>
      </c>
      <c r="B1063">
        <v>600</v>
      </c>
      <c r="C1063">
        <v>610</v>
      </c>
      <c r="D1063">
        <v>974</v>
      </c>
      <c r="G1063">
        <v>2184</v>
      </c>
    </row>
    <row r="1064" spans="1:7">
      <c r="A1064" t="s">
        <v>474</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496</v>
      </c>
      <c r="B1067">
        <v>1829</v>
      </c>
      <c r="C1067">
        <v>2302</v>
      </c>
      <c r="D1067">
        <v>694</v>
      </c>
      <c r="G1067">
        <v>4825</v>
      </c>
    </row>
    <row r="1068" spans="1:7">
      <c r="A1068" t="s">
        <v>455</v>
      </c>
      <c r="B1068">
        <v>1391</v>
      </c>
      <c r="C1068">
        <v>2916</v>
      </c>
      <c r="D1068">
        <v>2430</v>
      </c>
      <c r="G1068">
        <v>6737</v>
      </c>
    </row>
    <row r="1069" spans="1:7">
      <c r="A1069" t="s">
        <v>568</v>
      </c>
      <c r="D1069">
        <v>466</v>
      </c>
      <c r="E1069">
        <v>345</v>
      </c>
      <c r="G1069">
        <v>811</v>
      </c>
    </row>
    <row r="1070" spans="1:7">
      <c r="A1070" t="s">
        <v>408</v>
      </c>
      <c r="E1070">
        <v>1431</v>
      </c>
      <c r="G1070">
        <v>1431</v>
      </c>
    </row>
    <row r="1071" spans="1:7">
      <c r="A1071" t="s">
        <v>574</v>
      </c>
      <c r="D1071">
        <v>1379</v>
      </c>
      <c r="E1071">
        <v>1154</v>
      </c>
      <c r="G1071">
        <v>2533</v>
      </c>
    </row>
    <row r="1072" spans="1:7">
      <c r="A1072" t="s">
        <v>447</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648</v>
      </c>
      <c r="B1081">
        <v>1283</v>
      </c>
      <c r="C1081">
        <v>442</v>
      </c>
      <c r="F1081">
        <v>706</v>
      </c>
      <c r="G1081">
        <v>2431</v>
      </c>
    </row>
    <row r="1082" spans="1:7">
      <c r="A1082" t="s">
        <v>436</v>
      </c>
      <c r="C1082">
        <v>2203</v>
      </c>
      <c r="G1082">
        <v>2203</v>
      </c>
    </row>
    <row r="1083" spans="1:7">
      <c r="A1083" t="s">
        <v>465</v>
      </c>
      <c r="E1083">
        <v>242</v>
      </c>
      <c r="G1083">
        <v>242</v>
      </c>
    </row>
    <row r="1084" spans="1:7">
      <c r="A1084" t="s">
        <v>596</v>
      </c>
    </row>
    <row r="1085" spans="1:7">
      <c r="A1085" t="s">
        <v>393</v>
      </c>
      <c r="B1085">
        <v>428</v>
      </c>
      <c r="G1085">
        <v>428</v>
      </c>
    </row>
    <row r="1086" spans="1:7">
      <c r="A1086" t="s">
        <v>1158</v>
      </c>
    </row>
    <row r="1087" spans="1:7">
      <c r="A1087" t="s">
        <v>1160</v>
      </c>
      <c r="C1087">
        <v>265</v>
      </c>
      <c r="D1087">
        <v>542</v>
      </c>
      <c r="E1087">
        <v>739</v>
      </c>
      <c r="G1087">
        <v>1546</v>
      </c>
    </row>
    <row r="1088" spans="1:7">
      <c r="A1088" t="s">
        <v>496</v>
      </c>
      <c r="D1088">
        <v>91</v>
      </c>
      <c r="G1088">
        <v>91</v>
      </c>
    </row>
    <row r="1089" spans="1:7">
      <c r="A1089" t="s">
        <v>568</v>
      </c>
      <c r="B1089">
        <v>1172</v>
      </c>
      <c r="G1089">
        <v>1172</v>
      </c>
    </row>
    <row r="1090" spans="1:7">
      <c r="A1090" t="s">
        <v>408</v>
      </c>
      <c r="B1090">
        <v>1583</v>
      </c>
      <c r="C1090">
        <v>1325</v>
      </c>
      <c r="D1090">
        <v>621</v>
      </c>
      <c r="G1090">
        <v>3529</v>
      </c>
    </row>
    <row r="1091" spans="1:7">
      <c r="A1091" t="s">
        <v>574</v>
      </c>
    </row>
    <row r="1092" spans="1:7">
      <c r="A1092" t="s">
        <v>1161</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1163</v>
      </c>
    </row>
    <row r="1096" spans="1:7">
      <c r="A1096" t="s">
        <v>378</v>
      </c>
      <c r="C1096">
        <v>1640</v>
      </c>
      <c r="D1096">
        <v>1177</v>
      </c>
      <c r="G1096">
        <v>2817</v>
      </c>
    </row>
    <row r="1097" spans="1:7">
      <c r="A1097" t="s">
        <v>477</v>
      </c>
      <c r="C1097">
        <v>1980</v>
      </c>
      <c r="D1097">
        <v>1251</v>
      </c>
      <c r="E1097">
        <v>3172</v>
      </c>
      <c r="G1097">
        <v>6403</v>
      </c>
    </row>
    <row r="1098" spans="1:7">
      <c r="A1098" t="s">
        <v>297</v>
      </c>
      <c r="C1098">
        <v>1111</v>
      </c>
      <c r="D1098">
        <v>1373</v>
      </c>
      <c r="E1098">
        <v>1090</v>
      </c>
      <c r="F1098">
        <v>1204</v>
      </c>
      <c r="G1098">
        <v>4778</v>
      </c>
    </row>
    <row r="1099" spans="1:7">
      <c r="A1099" t="s">
        <v>565</v>
      </c>
      <c r="C1099">
        <v>1500</v>
      </c>
      <c r="D1099">
        <v>1084</v>
      </c>
      <c r="G1099">
        <v>2584</v>
      </c>
    </row>
    <row r="1100" spans="1:7">
      <c r="A1100" t="s">
        <v>381</v>
      </c>
      <c r="D1100">
        <v>817</v>
      </c>
      <c r="E1100">
        <v>1820</v>
      </c>
      <c r="G1100">
        <v>2637</v>
      </c>
    </row>
    <row r="1101" spans="1:7">
      <c r="A1101" t="s">
        <v>559</v>
      </c>
      <c r="E1101">
        <v>1351</v>
      </c>
      <c r="G1101">
        <v>1351</v>
      </c>
    </row>
    <row r="1102" spans="1:7">
      <c r="A1102" t="s">
        <v>273</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648</v>
      </c>
      <c r="B1109">
        <v>735</v>
      </c>
      <c r="G1109">
        <v>735</v>
      </c>
    </row>
    <row r="1110" spans="1:7">
      <c r="A1110" t="s">
        <v>441</v>
      </c>
    </row>
    <row r="1111" spans="1:7">
      <c r="A1111" t="s">
        <v>463</v>
      </c>
    </row>
    <row r="1112" spans="1:7">
      <c r="A1112" t="s">
        <v>499</v>
      </c>
      <c r="E1112">
        <v>396</v>
      </c>
      <c r="G1112">
        <v>396</v>
      </c>
    </row>
    <row r="1113" spans="1:7">
      <c r="A1113" t="s">
        <v>465</v>
      </c>
    </row>
    <row r="1114" spans="1:7">
      <c r="A1114" t="s">
        <v>596</v>
      </c>
    </row>
    <row r="1115" spans="1:7">
      <c r="A1115" t="s">
        <v>471</v>
      </c>
      <c r="B1115">
        <v>87</v>
      </c>
      <c r="G1115">
        <v>87</v>
      </c>
    </row>
    <row r="1116" spans="1:7">
      <c r="A1116" t="s">
        <v>1160</v>
      </c>
      <c r="B1116">
        <v>671</v>
      </c>
      <c r="C1116">
        <v>1204</v>
      </c>
      <c r="D1116">
        <v>1210</v>
      </c>
      <c r="E1116">
        <v>292</v>
      </c>
      <c r="G1116">
        <v>3377</v>
      </c>
    </row>
    <row r="1117" spans="1:7">
      <c r="A1117" t="s">
        <v>496</v>
      </c>
      <c r="D1117">
        <v>320</v>
      </c>
      <c r="E1117">
        <v>652</v>
      </c>
      <c r="F1117">
        <v>780</v>
      </c>
      <c r="G1117">
        <v>1752</v>
      </c>
    </row>
    <row r="1118" spans="1:7">
      <c r="A1118" t="s">
        <v>568</v>
      </c>
      <c r="D1118">
        <v>163</v>
      </c>
      <c r="G1118">
        <v>163</v>
      </c>
    </row>
    <row r="1119" spans="1:7">
      <c r="A1119" t="s">
        <v>447</v>
      </c>
      <c r="D1119">
        <v>372</v>
      </c>
      <c r="F1119">
        <v>582</v>
      </c>
      <c r="G1119">
        <v>954</v>
      </c>
    </row>
    <row r="1120" spans="1:7">
      <c r="A1120" t="s">
        <v>1161</v>
      </c>
      <c r="B1120">
        <v>752</v>
      </c>
      <c r="C1120">
        <v>1249</v>
      </c>
      <c r="D1120">
        <v>235</v>
      </c>
      <c r="E1120">
        <v>563</v>
      </c>
      <c r="F1120">
        <v>483</v>
      </c>
      <c r="G1120">
        <v>3282</v>
      </c>
    </row>
    <row r="1121" spans="1:7">
      <c r="A1121" t="s">
        <v>486</v>
      </c>
      <c r="D1121">
        <v>1049</v>
      </c>
      <c r="G1121">
        <v>1049</v>
      </c>
    </row>
    <row r="1122" spans="1:7">
      <c r="A1122" t="s">
        <v>477</v>
      </c>
      <c r="B1122">
        <v>29</v>
      </c>
      <c r="G1122">
        <v>29</v>
      </c>
    </row>
    <row r="1123" spans="1:7">
      <c r="A1123" t="s">
        <v>297</v>
      </c>
      <c r="F1123">
        <v>1235</v>
      </c>
      <c r="G1123">
        <v>1235</v>
      </c>
    </row>
    <row r="1124" spans="1:7">
      <c r="A1124" t="s">
        <v>565</v>
      </c>
    </row>
    <row r="1125" spans="1:7">
      <c r="A1125" t="s">
        <v>559</v>
      </c>
      <c r="B1125">
        <v>689</v>
      </c>
      <c r="C1125">
        <v>586</v>
      </c>
      <c r="D1125">
        <v>199</v>
      </c>
      <c r="G1125">
        <v>1474</v>
      </c>
    </row>
    <row r="1126" spans="1:7">
      <c r="A1126" t="s">
        <v>273</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197</v>
      </c>
      <c r="C1129">
        <v>890</v>
      </c>
      <c r="D1129">
        <v>1810</v>
      </c>
      <c r="E1129">
        <v>967</v>
      </c>
      <c r="G1129">
        <v>3667</v>
      </c>
    </row>
    <row r="1130" spans="1:7">
      <c r="A1130" t="s">
        <v>395</v>
      </c>
      <c r="B1130">
        <v>1511</v>
      </c>
      <c r="C1130">
        <v>1887</v>
      </c>
      <c r="D1130">
        <v>916</v>
      </c>
      <c r="E1130">
        <v>1704</v>
      </c>
      <c r="F1130">
        <v>974</v>
      </c>
      <c r="G1130">
        <v>6992</v>
      </c>
    </row>
    <row r="1131" spans="1:7">
      <c r="A1131" t="s">
        <v>480</v>
      </c>
      <c r="C1131">
        <v>1617</v>
      </c>
      <c r="D1131">
        <v>1083</v>
      </c>
      <c r="E1131">
        <v>1905</v>
      </c>
      <c r="F1131">
        <v>2064</v>
      </c>
      <c r="G1131">
        <v>6669</v>
      </c>
    </row>
    <row r="1132" spans="1:7">
      <c r="A1132" t="s">
        <v>303</v>
      </c>
      <c r="D1132">
        <v>95</v>
      </c>
      <c r="E1132">
        <v>881</v>
      </c>
      <c r="G1132">
        <v>976</v>
      </c>
    </row>
    <row r="1133" spans="1:7">
      <c r="A1133" t="s">
        <v>300</v>
      </c>
      <c r="E1133">
        <v>3028</v>
      </c>
      <c r="F1133">
        <v>1683</v>
      </c>
      <c r="G1133">
        <v>4711</v>
      </c>
    </row>
    <row r="1134" spans="1:7">
      <c r="A1134" t="s">
        <v>611</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496</v>
      </c>
      <c r="B1144">
        <v>870</v>
      </c>
      <c r="G1144">
        <v>870</v>
      </c>
    </row>
    <row r="1145" spans="1:7">
      <c r="A1145" t="s">
        <v>447</v>
      </c>
      <c r="B1145">
        <v>551</v>
      </c>
      <c r="G1145">
        <v>551</v>
      </c>
    </row>
    <row r="1146" spans="1:7">
      <c r="A1146" t="s">
        <v>1161</v>
      </c>
    </row>
    <row r="1147" spans="1:7">
      <c r="A1147" t="s">
        <v>273</v>
      </c>
      <c r="B1147">
        <v>154</v>
      </c>
      <c r="G1147">
        <v>154</v>
      </c>
    </row>
    <row r="1148" spans="1:7">
      <c r="A1148" t="s">
        <v>571</v>
      </c>
      <c r="B1148">
        <v>342</v>
      </c>
      <c r="G1148">
        <v>342</v>
      </c>
    </row>
    <row r="1149" spans="1:7">
      <c r="A1149" t="s">
        <v>480</v>
      </c>
    </row>
    <row r="1150" spans="1:7">
      <c r="A1150" t="s">
        <v>303</v>
      </c>
      <c r="B1150">
        <v>3523</v>
      </c>
      <c r="C1150">
        <v>2384</v>
      </c>
      <c r="G1150">
        <v>5907</v>
      </c>
    </row>
    <row r="1151" spans="1:7">
      <c r="A1151" t="s">
        <v>300</v>
      </c>
      <c r="B1151">
        <v>362</v>
      </c>
      <c r="G1151">
        <v>362</v>
      </c>
    </row>
    <row r="1152" spans="1:7">
      <c r="A1152" t="s">
        <v>611</v>
      </c>
      <c r="B1152">
        <v>380</v>
      </c>
      <c r="G1152">
        <v>380</v>
      </c>
    </row>
    <row r="1153" spans="1:7">
      <c r="A1153" t="s">
        <v>614</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408</v>
      </c>
    </row>
    <row r="1166" spans="1:7">
      <c r="A1166" t="s">
        <v>447</v>
      </c>
      <c r="B1166">
        <v>738</v>
      </c>
      <c r="C1166">
        <v>466</v>
      </c>
      <c r="G1166">
        <v>1204</v>
      </c>
    </row>
    <row r="1167" spans="1:7">
      <c r="A1167" t="s">
        <v>486</v>
      </c>
      <c r="B1167">
        <v>0</v>
      </c>
      <c r="G1167">
        <v>0</v>
      </c>
    </row>
    <row r="1168" spans="1:7">
      <c r="A1168" t="s">
        <v>273</v>
      </c>
      <c r="D1168">
        <v>173</v>
      </c>
      <c r="G1168">
        <v>173</v>
      </c>
    </row>
    <row r="1169" spans="1:7">
      <c r="A1169" t="s">
        <v>300</v>
      </c>
      <c r="B1169">
        <v>1297</v>
      </c>
      <c r="G1169">
        <v>1297</v>
      </c>
    </row>
    <row r="1170" spans="1:7">
      <c r="A1170" t="s">
        <v>611</v>
      </c>
      <c r="B1170">
        <v>100</v>
      </c>
      <c r="G1170">
        <v>100</v>
      </c>
    </row>
    <row r="1171" spans="1:7">
      <c r="A1171" t="s">
        <v>490</v>
      </c>
      <c r="B1171">
        <v>2583</v>
      </c>
      <c r="C1171">
        <v>3099</v>
      </c>
      <c r="G1171">
        <v>5682</v>
      </c>
    </row>
    <row r="1172" spans="1:7">
      <c r="A1172" t="s">
        <v>602</v>
      </c>
      <c r="B1172">
        <v>1188</v>
      </c>
      <c r="C1172">
        <v>0</v>
      </c>
      <c r="G1172">
        <v>1188</v>
      </c>
    </row>
    <row r="1173" spans="1:7">
      <c r="A1173" t="s">
        <v>605</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C1179">
        <v>152</v>
      </c>
      <c r="E1179">
        <v>85</v>
      </c>
      <c r="G1179">
        <v>237</v>
      </c>
    </row>
    <row r="1180" spans="1:7">
      <c r="A1180" t="s">
        <v>1130</v>
      </c>
      <c r="B1180">
        <v>248</v>
      </c>
      <c r="D1180">
        <v>366</v>
      </c>
      <c r="E1180">
        <v>113</v>
      </c>
      <c r="G1180">
        <v>727</v>
      </c>
    </row>
    <row r="1181" spans="1:7">
      <c r="A1181" t="s">
        <v>369</v>
      </c>
      <c r="F1181">
        <v>0</v>
      </c>
      <c r="G1181">
        <v>0</v>
      </c>
    </row>
    <row r="1182" spans="1:7">
      <c r="A1182" t="s">
        <v>436</v>
      </c>
      <c r="C1182">
        <v>0</v>
      </c>
      <c r="G1182">
        <v>0</v>
      </c>
    </row>
    <row r="1183" spans="1:7">
      <c r="A1183" t="s">
        <v>474</v>
      </c>
    </row>
    <row r="1184" spans="1:7">
      <c r="A1184" t="s">
        <v>447</v>
      </c>
      <c r="B1184">
        <v>3728</v>
      </c>
      <c r="C1184">
        <v>1789</v>
      </c>
      <c r="G1184">
        <v>5517</v>
      </c>
    </row>
    <row r="1185" spans="1:7">
      <c r="A1185" t="s">
        <v>483</v>
      </c>
      <c r="D1185">
        <v>0</v>
      </c>
      <c r="G1185">
        <v>0</v>
      </c>
    </row>
    <row r="1186" spans="1:7">
      <c r="A1186" t="s">
        <v>297</v>
      </c>
    </row>
    <row r="1187" spans="1:7">
      <c r="A1187" t="s">
        <v>480</v>
      </c>
      <c r="D1187">
        <v>0</v>
      </c>
      <c r="F1187">
        <v>104</v>
      </c>
      <c r="G1187">
        <v>104</v>
      </c>
    </row>
    <row r="1188" spans="1:7">
      <c r="A1188" t="s">
        <v>490</v>
      </c>
      <c r="B1188">
        <v>568</v>
      </c>
      <c r="G1188">
        <v>568</v>
      </c>
    </row>
    <row r="1189" spans="1:7">
      <c r="A1189" t="s">
        <v>245</v>
      </c>
      <c r="B1189">
        <v>1105</v>
      </c>
      <c r="C1189">
        <v>942</v>
      </c>
      <c r="D1189">
        <v>2151</v>
      </c>
      <c r="E1189">
        <v>1926</v>
      </c>
      <c r="F1189">
        <v>1000</v>
      </c>
      <c r="G1189">
        <v>7124</v>
      </c>
    </row>
    <row r="1190" spans="1:7">
      <c r="A1190" t="s">
        <v>413</v>
      </c>
      <c r="B1190">
        <v>1353</v>
      </c>
      <c r="C1190">
        <v>1153</v>
      </c>
      <c r="G1190">
        <v>2506</v>
      </c>
    </row>
    <row r="1191" spans="1:7">
      <c r="A1191" t="s">
        <v>493</v>
      </c>
      <c r="C1191">
        <v>2362</v>
      </c>
      <c r="D1191">
        <v>3079</v>
      </c>
      <c r="G1191">
        <v>5441</v>
      </c>
    </row>
    <row r="1192" spans="1:7">
      <c r="A1192" t="s">
        <v>1017</v>
      </c>
      <c r="C1192">
        <v>1534</v>
      </c>
      <c r="D1192">
        <v>180</v>
      </c>
      <c r="G1192">
        <v>1714</v>
      </c>
    </row>
    <row r="1193" spans="1:7">
      <c r="A1193" t="s">
        <v>399</v>
      </c>
      <c r="D1193">
        <v>1687</v>
      </c>
      <c r="E1193">
        <v>1053</v>
      </c>
      <c r="G1193">
        <v>2740</v>
      </c>
    </row>
    <row r="1194" spans="1:7">
      <c r="A1194" t="s">
        <v>402</v>
      </c>
      <c r="D1194">
        <v>1056</v>
      </c>
      <c r="G1194">
        <v>1056</v>
      </c>
    </row>
    <row r="1195" spans="1:7">
      <c r="A1195" t="s">
        <v>306</v>
      </c>
      <c r="E1195">
        <v>2367</v>
      </c>
      <c r="F1195">
        <v>447</v>
      </c>
      <c r="G1195">
        <v>2814</v>
      </c>
    </row>
    <row r="1196" spans="1:7">
      <c r="A1196" t="s">
        <v>260</v>
      </c>
      <c r="F1196">
        <v>0</v>
      </c>
      <c r="G1196">
        <v>0</v>
      </c>
    </row>
    <row r="1197" spans="1:7">
      <c r="A1197" t="s">
        <v>387</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F1203">
        <v>50</v>
      </c>
      <c r="G1203">
        <v>50</v>
      </c>
    </row>
    <row r="1204" spans="1:7">
      <c r="A1204" t="s">
        <v>518</v>
      </c>
      <c r="C1204">
        <v>312</v>
      </c>
      <c r="G1204">
        <v>312</v>
      </c>
    </row>
    <row r="1205" spans="1:7">
      <c r="A1205" t="s">
        <v>1113</v>
      </c>
      <c r="E1205">
        <v>142</v>
      </c>
      <c r="G1205">
        <v>142</v>
      </c>
    </row>
    <row r="1206" spans="1:7">
      <c r="A1206" t="s">
        <v>241</v>
      </c>
      <c r="D1206">
        <v>1200</v>
      </c>
      <c r="E1206">
        <v>445</v>
      </c>
      <c r="F1206">
        <v>686</v>
      </c>
      <c r="G1206">
        <v>2331</v>
      </c>
    </row>
    <row r="1207" spans="1:7">
      <c r="A1207" t="s">
        <v>541</v>
      </c>
    </row>
    <row r="1208" spans="1:7">
      <c r="A1208" t="s">
        <v>347</v>
      </c>
    </row>
    <row r="1209" spans="1:7">
      <c r="A1209" t="s">
        <v>371</v>
      </c>
    </row>
    <row r="1210" spans="1:7">
      <c r="A1210" t="s">
        <v>297</v>
      </c>
    </row>
    <row r="1211" spans="1:7">
      <c r="A1211" t="s">
        <v>245</v>
      </c>
      <c r="B1211">
        <v>1812</v>
      </c>
      <c r="C1211">
        <v>1838</v>
      </c>
      <c r="E1211">
        <v>0</v>
      </c>
      <c r="G1211">
        <v>3650</v>
      </c>
    </row>
    <row r="1212" spans="1:7">
      <c r="A1212" t="s">
        <v>413</v>
      </c>
      <c r="B1212">
        <v>1314</v>
      </c>
      <c r="G1212">
        <v>1314</v>
      </c>
    </row>
    <row r="1213" spans="1:7">
      <c r="A1213" t="s">
        <v>1017</v>
      </c>
      <c r="D1213">
        <v>0</v>
      </c>
      <c r="G1213">
        <v>0</v>
      </c>
    </row>
    <row r="1214" spans="1:7">
      <c r="A1214" t="s">
        <v>399</v>
      </c>
      <c r="B1214">
        <v>0</v>
      </c>
      <c r="G1214">
        <v>0</v>
      </c>
    </row>
    <row r="1215" spans="1:7">
      <c r="A1215" t="s">
        <v>402</v>
      </c>
      <c r="B1215">
        <v>1356</v>
      </c>
      <c r="C1215">
        <v>1435</v>
      </c>
      <c r="D1215">
        <v>1295</v>
      </c>
      <c r="G1215">
        <v>4086</v>
      </c>
    </row>
    <row r="1216" spans="1:7">
      <c r="A1216" t="s">
        <v>306</v>
      </c>
      <c r="B1216">
        <v>858</v>
      </c>
      <c r="G1216">
        <v>858</v>
      </c>
    </row>
    <row r="1217" spans="1:7">
      <c r="A1217" t="s">
        <v>387</v>
      </c>
      <c r="B1217">
        <v>926</v>
      </c>
      <c r="C1217">
        <v>1128</v>
      </c>
      <c r="D1217">
        <v>1082</v>
      </c>
      <c r="E1217">
        <v>1325</v>
      </c>
      <c r="F1217">
        <v>441</v>
      </c>
      <c r="G1217">
        <v>4902</v>
      </c>
    </row>
    <row r="1218" spans="1:7">
      <c r="A1218" t="s">
        <v>75</v>
      </c>
      <c r="B1218">
        <v>205</v>
      </c>
      <c r="F1218">
        <v>107</v>
      </c>
      <c r="G1218">
        <v>312</v>
      </c>
    </row>
    <row r="1219" spans="1:7">
      <c r="A1219" t="s">
        <v>428</v>
      </c>
      <c r="B1219">
        <v>4915</v>
      </c>
      <c r="C1219">
        <v>914</v>
      </c>
      <c r="D1219">
        <v>0</v>
      </c>
      <c r="G1219">
        <v>5829</v>
      </c>
    </row>
    <row r="1220" spans="1:7">
      <c r="A1220" t="s">
        <v>309</v>
      </c>
      <c r="B1220">
        <v>813</v>
      </c>
      <c r="C1220">
        <v>1491</v>
      </c>
      <c r="D1220">
        <v>1062</v>
      </c>
      <c r="E1220">
        <v>527</v>
      </c>
      <c r="G1220">
        <v>3893</v>
      </c>
    </row>
    <row r="1221" spans="1:7">
      <c r="A1221" t="s">
        <v>424</v>
      </c>
    </row>
    <row r="1222" spans="1:7">
      <c r="A1222" t="s">
        <v>411</v>
      </c>
    </row>
    <row r="1223" spans="1:7">
      <c r="A1223" t="s">
        <v>430</v>
      </c>
      <c r="C1223">
        <v>6092</v>
      </c>
      <c r="D1223">
        <v>0</v>
      </c>
      <c r="E1223">
        <v>0</v>
      </c>
      <c r="G1223">
        <v>6092</v>
      </c>
    </row>
    <row r="1224" spans="1:7">
      <c r="A1224" t="s">
        <v>312</v>
      </c>
      <c r="C1224">
        <v>822</v>
      </c>
      <c r="D1224">
        <v>2611</v>
      </c>
      <c r="G1224">
        <v>3433</v>
      </c>
    </row>
    <row r="1225" spans="1:7">
      <c r="A1225" t="s">
        <v>314</v>
      </c>
      <c r="D1225">
        <v>544</v>
      </c>
      <c r="E1225">
        <v>2832</v>
      </c>
      <c r="F1225">
        <v>457</v>
      </c>
      <c r="G1225">
        <v>3833</v>
      </c>
    </row>
    <row r="1226" spans="1:7">
      <c r="A1226" t="s">
        <v>432</v>
      </c>
      <c r="D1226">
        <v>1728</v>
      </c>
      <c r="F1226">
        <v>3082</v>
      </c>
      <c r="G1226">
        <v>4810</v>
      </c>
    </row>
    <row r="1227" spans="1:7">
      <c r="A1227" t="s">
        <v>316</v>
      </c>
      <c r="E1227">
        <v>1562</v>
      </c>
      <c r="F1227">
        <v>1798</v>
      </c>
      <c r="G1227">
        <v>3360</v>
      </c>
    </row>
    <row r="1228" spans="1:7">
      <c r="A1228" t="s">
        <v>318</v>
      </c>
      <c r="E1228">
        <v>1639</v>
      </c>
      <c r="F1228">
        <v>987</v>
      </c>
      <c r="G1228">
        <v>2626</v>
      </c>
    </row>
    <row r="1229" spans="1:7">
      <c r="A1229" t="s">
        <v>271</v>
      </c>
      <c r="B1229">
        <v>607</v>
      </c>
      <c r="C1229">
        <v>662</v>
      </c>
      <c r="D1229">
        <v>877</v>
      </c>
      <c r="E1229">
        <v>499</v>
      </c>
      <c r="F1229">
        <v>186</v>
      </c>
      <c r="G1229">
        <v>2831</v>
      </c>
    </row>
    <row r="1230" spans="1:7">
      <c r="A1230" t="s">
        <v>1086</v>
      </c>
      <c r="B1230">
        <v>12806</v>
      </c>
      <c r="C1230">
        <v>14694</v>
      </c>
      <c r="D1230">
        <v>10399</v>
      </c>
      <c r="E1230">
        <v>8971</v>
      </c>
      <c r="F1230">
        <v>7794</v>
      </c>
      <c r="G1230">
        <v>54664</v>
      </c>
    </row>
    <row r="1233" spans="1:5">
      <c r="A1233" s="44" t="s">
        <v>1084</v>
      </c>
      <c r="B1233" s="44" t="s">
        <v>1082</v>
      </c>
    </row>
    <row r="1234" spans="1:5">
      <c r="A1234" s="44" t="s">
        <v>1085</v>
      </c>
      <c r="B1234" s="111">
        <v>46041</v>
      </c>
      <c r="C1234" s="111">
        <v>46042</v>
      </c>
      <c r="D1234" s="111">
        <v>46043</v>
      </c>
      <c r="E1234" t="s">
        <v>1086</v>
      </c>
    </row>
    <row r="1235" spans="1:5">
      <c r="A1235" t="s">
        <v>1116</v>
      </c>
    </row>
    <row r="1236" spans="1:5">
      <c r="A1236" t="s">
        <v>241</v>
      </c>
    </row>
    <row r="1237" spans="1:5">
      <c r="A1237" t="s">
        <v>72</v>
      </c>
    </row>
    <row r="1238" spans="1:5">
      <c r="A1238" t="s">
        <v>413</v>
      </c>
    </row>
    <row r="1239" spans="1:5">
      <c r="A1239" t="s">
        <v>402</v>
      </c>
      <c r="C1239">
        <v>0</v>
      </c>
      <c r="E1239">
        <v>0</v>
      </c>
    </row>
    <row r="1240" spans="1:5">
      <c r="A1240" t="s">
        <v>75</v>
      </c>
      <c r="C1240">
        <v>183</v>
      </c>
      <c r="E1240">
        <v>183</v>
      </c>
    </row>
    <row r="1241" spans="1:5">
      <c r="A1241" t="s">
        <v>314</v>
      </c>
      <c r="C1241">
        <v>506</v>
      </c>
      <c r="E1241">
        <v>506</v>
      </c>
    </row>
    <row r="1242" spans="1:5">
      <c r="A1242" t="s">
        <v>316</v>
      </c>
    </row>
    <row r="1243" spans="1:5">
      <c r="A1243" t="s">
        <v>318</v>
      </c>
    </row>
    <row r="1244" spans="1:5">
      <c r="A1244" t="s">
        <v>175</v>
      </c>
      <c r="C1244">
        <v>1344</v>
      </c>
      <c r="E1244">
        <v>1344</v>
      </c>
    </row>
    <row r="1245" spans="1:5">
      <c r="A1245" t="s">
        <v>1165</v>
      </c>
      <c r="C1245">
        <v>660</v>
      </c>
      <c r="E1245">
        <v>660</v>
      </c>
    </row>
    <row r="1246" spans="1:5">
      <c r="A1246" t="s">
        <v>1166</v>
      </c>
      <c r="C1246">
        <v>1382</v>
      </c>
      <c r="E1246">
        <v>1382</v>
      </c>
    </row>
    <row r="1247" spans="1:5">
      <c r="A1247" t="s">
        <v>277</v>
      </c>
      <c r="C1247">
        <v>2719</v>
      </c>
      <c r="E1247">
        <v>2719</v>
      </c>
    </row>
    <row r="1248" spans="1:5">
      <c r="A1248" t="s">
        <v>434</v>
      </c>
      <c r="C1248">
        <v>1277</v>
      </c>
      <c r="E1248">
        <v>1277</v>
      </c>
    </row>
    <row r="1249" spans="1:5">
      <c r="A1249" t="s">
        <v>127</v>
      </c>
    </row>
    <row r="1250" spans="1:5">
      <c r="A1250" t="s">
        <v>122</v>
      </c>
    </row>
    <row r="1251" spans="1:5">
      <c r="A1251" t="s">
        <v>284</v>
      </c>
    </row>
    <row r="1252" spans="1:5">
      <c r="A1252" t="s">
        <v>1086</v>
      </c>
      <c r="C1252">
        <v>8071</v>
      </c>
      <c r="E1252">
        <v>8071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4" activePane="bottomLeft" state="frozen"/>
      <selection pane="bottomLeft" activeCell="E2546" sqref="E254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139</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139</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139</v>
      </c>
      <c r="C18" s="152">
        <v>45702</v>
      </c>
      <c r="D18" s="143">
        <v>23</v>
      </c>
      <c r="E18" s="143"/>
      <c r="F18" s="143"/>
      <c r="G18" t="str">
        <f t="shared" si="0"/>
        <v>February</v>
      </c>
    </row>
    <row r="19" spans="1:7" ht="15.75">
      <c r="A19" s="117" t="s">
        <v>834</v>
      </c>
      <c r="B19" s="243" t="s">
        <v>123</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139</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123</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139</v>
      </c>
      <c r="C48" s="153">
        <v>45709</v>
      </c>
      <c r="D48" s="117">
        <v>823</v>
      </c>
      <c r="E48" s="117"/>
      <c r="F48" s="118" t="s">
        <v>1178</v>
      </c>
      <c r="G48" t="str">
        <f t="shared" si="0"/>
        <v>February</v>
      </c>
    </row>
    <row r="49" spans="1:7">
      <c r="A49" s="117" t="s">
        <v>834</v>
      </c>
      <c r="B49" s="243" t="s">
        <v>123</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139</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139</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139</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139</v>
      </c>
      <c r="C71" s="153">
        <v>45713</v>
      </c>
      <c r="D71" s="117"/>
      <c r="E71" s="117"/>
      <c r="F71" s="118"/>
      <c r="G71" t="str">
        <f t="shared" si="1"/>
        <v>February</v>
      </c>
    </row>
    <row r="72" spans="1:7">
      <c r="A72" s="117" t="s">
        <v>834</v>
      </c>
      <c r="B72" s="243" t="s">
        <v>123</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139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139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139</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139</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139</v>
      </c>
      <c r="C96" s="153">
        <v>45714</v>
      </c>
      <c r="D96" s="117"/>
      <c r="E96" s="117"/>
      <c r="F96" s="118"/>
      <c r="G96" t="str">
        <f t="shared" si="1"/>
        <v>February</v>
      </c>
    </row>
    <row r="97" spans="1:7">
      <c r="A97" s="117" t="s">
        <v>834</v>
      </c>
      <c r="B97" s="243" t="s">
        <v>123</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139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139</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139</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139</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139</v>
      </c>
      <c r="C127" s="122">
        <v>45715</v>
      </c>
      <c r="D127" s="118">
        <v>1422</v>
      </c>
      <c r="E127" s="118"/>
      <c r="F127" s="134" t="s">
        <v>1186</v>
      </c>
      <c r="G127" t="str">
        <f t="shared" si="1"/>
        <v>February</v>
      </c>
    </row>
    <row r="128" spans="1:7">
      <c r="A128" s="117" t="s">
        <v>834</v>
      </c>
      <c r="B128" s="243" t="s">
        <v>123</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139</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139</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139</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139</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139</v>
      </c>
      <c r="C158" s="122">
        <v>45716</v>
      </c>
      <c r="D158" s="123">
        <v>946</v>
      </c>
      <c r="E158" s="123"/>
      <c r="F158" s="109" t="s">
        <v>1178</v>
      </c>
      <c r="G158" t="str">
        <f t="shared" si="2"/>
        <v>February</v>
      </c>
    </row>
    <row r="159" spans="1:7">
      <c r="A159" s="117" t="s">
        <v>834</v>
      </c>
      <c r="B159" s="243" t="s">
        <v>123</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139</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139</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139</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139</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139</v>
      </c>
      <c r="C189" s="122">
        <v>45719</v>
      </c>
      <c r="D189" s="123" t="s">
        <v>1197</v>
      </c>
      <c r="E189" s="123"/>
      <c r="F189" s="118"/>
      <c r="G189" t="str">
        <f t="shared" si="2"/>
        <v>March</v>
      </c>
    </row>
    <row r="190" spans="1:7">
      <c r="A190" s="117" t="s">
        <v>834</v>
      </c>
      <c r="B190" s="243" t="s">
        <v>123</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139</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139</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139</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123</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139</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139</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139</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139</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139</v>
      </c>
      <c r="C238" s="122">
        <v>45721</v>
      </c>
      <c r="D238" s="123">
        <v>0</v>
      </c>
      <c r="E238" s="123"/>
      <c r="F238" s="118"/>
      <c r="G238" t="str">
        <f t="shared" si="3"/>
        <v>March</v>
      </c>
    </row>
    <row r="239" spans="1:7">
      <c r="A239" s="117" t="s">
        <v>834</v>
      </c>
      <c r="B239" s="243" t="s">
        <v>123</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139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139</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139</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139</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139</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139</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139</v>
      </c>
      <c r="C275" s="122">
        <v>45722</v>
      </c>
      <c r="D275" s="134">
        <v>0</v>
      </c>
      <c r="E275" s="134"/>
      <c r="F275" s="118"/>
      <c r="G275" t="str">
        <f t="shared" si="4"/>
        <v>March</v>
      </c>
    </row>
    <row r="276" spans="1:7">
      <c r="A276" s="117" t="s">
        <v>834</v>
      </c>
      <c r="B276" s="243" t="s">
        <v>123</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139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139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139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139</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139</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139</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139</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139</v>
      </c>
      <c r="C315" s="56">
        <v>45723</v>
      </c>
      <c r="D315" s="134">
        <v>0</v>
      </c>
      <c r="E315" s="134"/>
      <c r="G315" t="str">
        <f t="shared" si="4"/>
        <v>March</v>
      </c>
    </row>
    <row r="316" spans="1:7">
      <c r="A316" s="117" t="s">
        <v>834</v>
      </c>
      <c r="B316" s="243" t="s">
        <v>123</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139</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139</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139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139</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139</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139</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139</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139</v>
      </c>
      <c r="C356" s="56">
        <v>45726</v>
      </c>
      <c r="D356" s="134">
        <v>0</v>
      </c>
      <c r="E356" s="134"/>
      <c r="G356" t="str">
        <f t="shared" si="5"/>
        <v>March</v>
      </c>
    </row>
    <row r="357" spans="1:7">
      <c r="A357" s="117" t="s">
        <v>834</v>
      </c>
      <c r="B357" s="243" t="s">
        <v>123</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139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139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139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139</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139</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139</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139</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139</v>
      </c>
      <c r="C397" s="56">
        <v>45727</v>
      </c>
      <c r="D397" s="123">
        <v>0</v>
      </c>
      <c r="E397" s="123"/>
      <c r="G397" t="str">
        <f t="shared" si="6"/>
        <v>March</v>
      </c>
    </row>
    <row r="398" spans="1:7">
      <c r="A398" s="117" t="s">
        <v>834</v>
      </c>
      <c r="B398" s="243" t="s">
        <v>123</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139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139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139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139</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139</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139</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139</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139</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139</v>
      </c>
      <c r="C443" s="56">
        <v>45728</v>
      </c>
      <c r="D443" s="123" t="s">
        <v>1197</v>
      </c>
      <c r="E443" s="123"/>
      <c r="G443" t="str">
        <f t="shared" si="6"/>
        <v>March</v>
      </c>
    </row>
    <row r="444" spans="1:7">
      <c r="A444" s="117" t="s">
        <v>834</v>
      </c>
      <c r="B444" s="243" t="s">
        <v>123</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139</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139</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139</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139</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139</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139</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123</v>
      </c>
      <c r="C478" s="56">
        <v>45728</v>
      </c>
      <c r="D478" s="150">
        <v>1246</v>
      </c>
      <c r="E478" s="150"/>
      <c r="F478" s="109" t="s">
        <v>1233</v>
      </c>
      <c r="G478" t="str">
        <f t="shared" si="7"/>
        <v>March</v>
      </c>
    </row>
    <row r="479" spans="1:7" ht="15.75">
      <c r="A479" s="118" t="s">
        <v>707</v>
      </c>
      <c r="B479" s="242" t="s">
        <v>139</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139</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139</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139</v>
      </c>
      <c r="C493" s="56">
        <v>45729</v>
      </c>
      <c r="D493" s="123"/>
      <c r="E493" s="123"/>
      <c r="G493" t="str">
        <f t="shared" si="7"/>
        <v>March</v>
      </c>
    </row>
    <row r="494" spans="1:7">
      <c r="A494" s="117" t="s">
        <v>834</v>
      </c>
      <c r="B494" s="243" t="s">
        <v>123</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139</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139</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139</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139</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139</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139</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123</v>
      </c>
      <c r="C528" s="56">
        <v>45729</v>
      </c>
      <c r="D528" s="123">
        <v>664</v>
      </c>
      <c r="E528" s="123"/>
      <c r="F528" s="43" t="s">
        <v>1195</v>
      </c>
      <c r="G528" t="str">
        <f t="shared" si="8"/>
        <v>March</v>
      </c>
    </row>
    <row r="529" spans="1:7" ht="15.75">
      <c r="A529" s="118" t="s">
        <v>707</v>
      </c>
      <c r="B529" s="242" t="s">
        <v>139</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139</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139</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139</v>
      </c>
      <c r="C544" s="56">
        <v>45730</v>
      </c>
      <c r="D544" s="123"/>
      <c r="E544" s="123"/>
      <c r="F544" s="123" t="s">
        <v>1197</v>
      </c>
      <c r="G544" t="str">
        <f t="shared" si="8"/>
        <v>March</v>
      </c>
    </row>
    <row r="545" spans="1:7">
      <c r="A545" s="117" t="s">
        <v>834</v>
      </c>
      <c r="B545" s="243" t="s">
        <v>123</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139</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139</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139</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139</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139</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139</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123</v>
      </c>
      <c r="C579" s="56">
        <v>45730</v>
      </c>
      <c r="D579" s="123">
        <v>834</v>
      </c>
      <c r="E579" s="123"/>
      <c r="F579" s="109" t="s">
        <v>1248</v>
      </c>
      <c r="G579" t="str">
        <f t="shared" ref="G579:G642" si="9">TEXT(C579,"mmmm")</f>
        <v>March</v>
      </c>
    </row>
    <row r="580" spans="1:7" ht="15.75">
      <c r="A580" s="118" t="s">
        <v>707</v>
      </c>
      <c r="B580" s="242" t="s">
        <v>139</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139</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139</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139</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139</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139</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123</v>
      </c>
      <c r="C612" s="56">
        <v>45733</v>
      </c>
      <c r="D612" s="43">
        <v>1095</v>
      </c>
      <c r="E612" s="43"/>
      <c r="F612" s="123" t="s">
        <v>1252</v>
      </c>
      <c r="G612" t="str">
        <f t="shared" si="9"/>
        <v>March</v>
      </c>
    </row>
    <row r="613" spans="1:7" ht="15.75">
      <c r="A613" s="118" t="s">
        <v>707</v>
      </c>
      <c r="B613" s="242" t="s">
        <v>139</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139</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139</v>
      </c>
      <c r="C621" s="56">
        <v>45734</v>
      </c>
      <c r="E621" s="43"/>
      <c r="F621" s="134" t="s">
        <v>1255</v>
      </c>
      <c r="G621" t="str">
        <f t="shared" si="9"/>
        <v>March</v>
      </c>
    </row>
    <row r="622" spans="1:7" ht="15.75">
      <c r="A622" s="118" t="s">
        <v>945</v>
      </c>
      <c r="B622" s="242" t="s">
        <v>139</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123</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123</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123</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123</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123</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123</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123</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139</v>
      </c>
      <c r="C677" s="56">
        <v>45740</v>
      </c>
      <c r="D677" s="142">
        <v>1430</v>
      </c>
      <c r="E677" s="109" t="s">
        <v>1176</v>
      </c>
      <c r="F677" s="109" t="s">
        <v>1285</v>
      </c>
      <c r="G677" t="str">
        <f t="shared" si="10"/>
        <v>March</v>
      </c>
    </row>
    <row r="678" spans="1:7" ht="15.75">
      <c r="A678" s="141" t="s">
        <v>818</v>
      </c>
      <c r="B678" s="242" t="s">
        <v>139</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123</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139</v>
      </c>
      <c r="C690" s="56">
        <v>45741</v>
      </c>
      <c r="D690" s="142">
        <v>1383</v>
      </c>
      <c r="E690" s="109" t="s">
        <v>1293</v>
      </c>
      <c r="F690" s="109" t="s">
        <v>1294</v>
      </c>
      <c r="G690" t="str">
        <f t="shared" si="10"/>
        <v>March</v>
      </c>
    </row>
    <row r="691" spans="1:7" ht="15.75">
      <c r="A691" s="141" t="s">
        <v>818</v>
      </c>
      <c r="B691" s="242" t="s">
        <v>139</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139</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123</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139</v>
      </c>
      <c r="C713" s="56">
        <v>45742</v>
      </c>
      <c r="D713" s="209">
        <v>1334</v>
      </c>
      <c r="E713" s="109" t="s">
        <v>1215</v>
      </c>
      <c r="F713" s="109" t="s">
        <v>1176</v>
      </c>
      <c r="G713" t="str">
        <f t="shared" si="11"/>
        <v>March</v>
      </c>
    </row>
    <row r="714" spans="1:7" ht="15.75">
      <c r="A714" s="141" t="s">
        <v>818</v>
      </c>
      <c r="B714" s="242" t="s">
        <v>139</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139</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139</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139</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139</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139</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139</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139</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139</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139</v>
      </c>
      <c r="C789" s="56">
        <v>45748</v>
      </c>
      <c r="D789" s="141" t="s">
        <v>1335</v>
      </c>
      <c r="E789" s="43"/>
      <c r="G789" t="str">
        <f t="shared" si="12"/>
        <v>April</v>
      </c>
      <c r="H789" s="164"/>
      <c r="I789" s="164"/>
      <c r="J789" s="164"/>
      <c r="K789" s="164"/>
    </row>
    <row r="790" spans="1:11" ht="15.75">
      <c r="A790" s="141" t="s">
        <v>663</v>
      </c>
      <c r="B790" s="242" t="s">
        <v>139</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139</v>
      </c>
      <c r="C803" s="56">
        <v>45749</v>
      </c>
      <c r="D803" s="142">
        <v>1394</v>
      </c>
      <c r="E803" s="43"/>
      <c r="F803" s="43" t="s">
        <v>1175</v>
      </c>
      <c r="G803" t="str">
        <f t="shared" si="12"/>
        <v>April</v>
      </c>
    </row>
    <row r="804" spans="1:11" ht="15.75">
      <c r="A804" s="141" t="s">
        <v>663</v>
      </c>
      <c r="B804" s="242" t="s">
        <v>139</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123</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139</v>
      </c>
      <c r="C816" s="56">
        <v>45750</v>
      </c>
      <c r="D816" s="155">
        <v>1334</v>
      </c>
      <c r="E816" s="43"/>
      <c r="F816" s="43" t="s">
        <v>1344</v>
      </c>
      <c r="G816" t="str">
        <f t="shared" si="12"/>
        <v>April</v>
      </c>
    </row>
    <row r="817" spans="1:7" ht="15.75">
      <c r="A817" s="141" t="s">
        <v>709</v>
      </c>
      <c r="B817" s="242" t="s">
        <v>139</v>
      </c>
      <c r="C817" s="56">
        <v>45750</v>
      </c>
      <c r="D817" s="155">
        <v>1970</v>
      </c>
      <c r="E817" s="43"/>
      <c r="F817" s="43" t="s">
        <v>1345</v>
      </c>
      <c r="G817" t="str">
        <f t="shared" si="12"/>
        <v>April</v>
      </c>
    </row>
    <row r="818" spans="1:7" ht="15.75">
      <c r="A818" s="141" t="s">
        <v>663</v>
      </c>
      <c r="B818" s="242" t="s">
        <v>139</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123</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139</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139</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139</v>
      </c>
      <c r="C845" s="56">
        <v>45754</v>
      </c>
      <c r="D845" s="43">
        <v>618</v>
      </c>
      <c r="E845" s="43"/>
      <c r="F845" s="43" t="s">
        <v>1356</v>
      </c>
      <c r="G845" t="str">
        <f t="shared" si="13"/>
        <v>April</v>
      </c>
    </row>
    <row r="846" spans="1:7" ht="15.75">
      <c r="A846" s="141" t="s">
        <v>711</v>
      </c>
      <c r="B846" s="242" t="s">
        <v>139</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139</v>
      </c>
      <c r="C851" s="56">
        <v>45755</v>
      </c>
      <c r="D851" s="43">
        <v>700</v>
      </c>
      <c r="E851" s="43"/>
      <c r="F851" s="43" t="s">
        <v>1180</v>
      </c>
      <c r="G851" t="str">
        <f t="shared" si="13"/>
        <v>April</v>
      </c>
    </row>
    <row r="852" spans="1:7" ht="15.75">
      <c r="A852" s="141" t="s">
        <v>711</v>
      </c>
      <c r="B852" s="242" t="s">
        <v>139</v>
      </c>
      <c r="C852" s="56">
        <v>45755</v>
      </c>
      <c r="D852" s="155">
        <v>1520</v>
      </c>
      <c r="E852" s="43"/>
      <c r="F852" s="43" t="s">
        <v>1261</v>
      </c>
      <c r="G852" t="str">
        <f t="shared" si="13"/>
        <v>April</v>
      </c>
    </row>
    <row r="853" spans="1:7" ht="15.75">
      <c r="A853" s="141" t="s">
        <v>763</v>
      </c>
      <c r="B853" s="242" t="s">
        <v>139</v>
      </c>
      <c r="C853" s="56">
        <v>45755</v>
      </c>
      <c r="D853" s="43">
        <v>150</v>
      </c>
      <c r="E853" s="43"/>
      <c r="G853" t="str">
        <f t="shared" si="13"/>
        <v>April</v>
      </c>
    </row>
    <row r="854" spans="1:7" ht="15.75">
      <c r="A854" s="141" t="s">
        <v>663</v>
      </c>
      <c r="B854" s="242" t="s">
        <v>139</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139</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139</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123</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139</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123</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139</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139</v>
      </c>
      <c r="C890" s="56">
        <v>45761</v>
      </c>
      <c r="D890" s="155">
        <v>1335</v>
      </c>
      <c r="E890" s="43"/>
      <c r="F890" s="43" t="s">
        <v>1175</v>
      </c>
      <c r="G890" t="str">
        <f t="shared" si="13"/>
        <v>April</v>
      </c>
    </row>
    <row r="891" spans="1:7" ht="15.75">
      <c r="A891" s="141" t="s">
        <v>899</v>
      </c>
      <c r="B891" s="242" t="s">
        <v>139</v>
      </c>
      <c r="C891" s="56">
        <v>45761</v>
      </c>
      <c r="E891" s="43"/>
      <c r="G891" t="str">
        <f t="shared" si="13"/>
        <v>April</v>
      </c>
    </row>
    <row r="892" spans="1:7">
      <c r="A892" s="141" t="s">
        <v>901</v>
      </c>
      <c r="B892" s="243" t="s">
        <v>123</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139</v>
      </c>
      <c r="C900" s="56">
        <v>45762</v>
      </c>
      <c r="D900" s="155">
        <v>1133</v>
      </c>
      <c r="E900" s="43"/>
      <c r="F900" s="43" t="s">
        <v>1376</v>
      </c>
      <c r="G900" t="str">
        <f t="shared" si="14"/>
        <v>April</v>
      </c>
    </row>
    <row r="901" spans="1:7" ht="15.75">
      <c r="A901" s="141" t="s">
        <v>899</v>
      </c>
      <c r="B901" s="242" t="s">
        <v>139</v>
      </c>
      <c r="C901" s="56">
        <v>45762</v>
      </c>
      <c r="D901" s="155">
        <v>1526</v>
      </c>
      <c r="E901" s="43"/>
      <c r="F901" s="43" t="s">
        <v>1377</v>
      </c>
      <c r="G901" t="str">
        <f t="shared" si="14"/>
        <v>April</v>
      </c>
    </row>
    <row r="902" spans="1:7">
      <c r="A902" s="141" t="s">
        <v>901</v>
      </c>
      <c r="B902" s="243" t="s">
        <v>123</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139</v>
      </c>
      <c r="C914" s="56">
        <v>45763</v>
      </c>
      <c r="D914" s="155">
        <v>1624</v>
      </c>
      <c r="E914" s="43"/>
      <c r="F914" s="43" t="s">
        <v>1384</v>
      </c>
      <c r="G914" t="str">
        <f t="shared" si="14"/>
        <v>April</v>
      </c>
    </row>
    <row r="915" spans="1:7" ht="15.75">
      <c r="A915" s="141" t="s">
        <v>899</v>
      </c>
      <c r="B915" s="242" t="s">
        <v>139</v>
      </c>
      <c r="C915" s="56">
        <v>45763</v>
      </c>
      <c r="D915" s="155">
        <v>1503</v>
      </c>
      <c r="E915" s="43"/>
      <c r="F915" s="43" t="s">
        <v>1385</v>
      </c>
      <c r="G915" t="str">
        <f t="shared" si="14"/>
        <v>April</v>
      </c>
    </row>
    <row r="916" spans="1:7">
      <c r="A916" s="141" t="s">
        <v>901</v>
      </c>
      <c r="B916" s="243" t="s">
        <v>123</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123</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123</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139</v>
      </c>
      <c r="C928" s="56">
        <v>45764</v>
      </c>
      <c r="E928" s="43"/>
      <c r="F928" s="141" t="s">
        <v>1391</v>
      </c>
      <c r="G928" t="str">
        <f t="shared" si="14"/>
        <v>April</v>
      </c>
    </row>
    <row r="929" spans="1:7">
      <c r="A929" s="141" t="s">
        <v>899</v>
      </c>
      <c r="B929" s="141" t="s">
        <v>139</v>
      </c>
      <c r="C929" s="56">
        <v>45764</v>
      </c>
      <c r="D929" s="155">
        <v>1590</v>
      </c>
      <c r="E929" s="43"/>
      <c r="F929" s="43" t="s">
        <v>1186</v>
      </c>
      <c r="G929" t="str">
        <f t="shared" si="14"/>
        <v>April</v>
      </c>
    </row>
    <row r="930" spans="1:7">
      <c r="A930" s="305" t="s">
        <v>901</v>
      </c>
      <c r="B930" s="305" t="s">
        <v>123</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123</v>
      </c>
      <c r="C934" s="310">
        <v>45764</v>
      </c>
      <c r="D934" s="43">
        <v>433</v>
      </c>
      <c r="E934" s="43"/>
      <c r="F934" s="78" t="s">
        <v>1195</v>
      </c>
      <c r="G934" t="str">
        <f t="shared" si="14"/>
        <v>April</v>
      </c>
    </row>
    <row r="935" spans="1:7">
      <c r="A935" s="308" t="s">
        <v>693</v>
      </c>
      <c r="B935" s="141" t="s">
        <v>139</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139</v>
      </c>
      <c r="C940" s="56">
        <v>45765</v>
      </c>
      <c r="D940" s="43">
        <v>350</v>
      </c>
      <c r="E940" s="43"/>
      <c r="F940" s="43" t="s">
        <v>1177</v>
      </c>
      <c r="G940" t="str">
        <f t="shared" si="14"/>
        <v>April</v>
      </c>
    </row>
    <row r="941" spans="1:7">
      <c r="A941" s="141" t="s">
        <v>899</v>
      </c>
      <c r="B941" s="141" t="s">
        <v>139</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139</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139</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123</v>
      </c>
      <c r="C955" s="56">
        <v>45768</v>
      </c>
      <c r="D955" s="155">
        <v>1285</v>
      </c>
      <c r="F955" s="43" t="s">
        <v>1409</v>
      </c>
      <c r="G955" t="str">
        <f t="shared" si="15"/>
        <v>April</v>
      </c>
    </row>
    <row r="956" spans="1:7">
      <c r="A956" s="304" t="s">
        <v>899</v>
      </c>
      <c r="B956" s="305" t="s">
        <v>139</v>
      </c>
      <c r="C956" s="56">
        <v>45768</v>
      </c>
      <c r="F956" s="154" t="s">
        <v>1410</v>
      </c>
      <c r="G956" t="str">
        <f t="shared" si="15"/>
        <v>April</v>
      </c>
    </row>
    <row r="957" spans="1:7">
      <c r="A957" s="304" t="s">
        <v>901</v>
      </c>
      <c r="B957" s="141" t="s">
        <v>123</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123</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123</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139</v>
      </c>
      <c r="C973" s="319">
        <v>45769</v>
      </c>
      <c r="D973" s="43">
        <v>932</v>
      </c>
      <c r="F973" s="43" t="s">
        <v>1178</v>
      </c>
      <c r="G973" t="str">
        <f t="shared" si="15"/>
        <v>April</v>
      </c>
    </row>
    <row r="974" spans="1:7">
      <c r="A974" s="154" t="s">
        <v>795</v>
      </c>
      <c r="B974" s="141" t="s">
        <v>139</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123</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139</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123</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139</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123</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139</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123</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139</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123</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139</v>
      </c>
      <c r="C1029" s="56">
        <v>45776</v>
      </c>
      <c r="D1029" s="155">
        <v>1520</v>
      </c>
      <c r="F1029" s="43" t="s">
        <v>1175</v>
      </c>
      <c r="G1029" t="str">
        <f t="shared" si="16"/>
        <v>April</v>
      </c>
    </row>
    <row r="1030" spans="1:7">
      <c r="A1030" s="311" t="s">
        <v>693</v>
      </c>
      <c r="B1030" s="311" t="s">
        <v>139</v>
      </c>
      <c r="C1030" s="56">
        <v>45776</v>
      </c>
      <c r="D1030" s="43">
        <v>470</v>
      </c>
      <c r="F1030" s="43" t="s">
        <v>1170</v>
      </c>
      <c r="G1030" t="str">
        <f t="shared" si="16"/>
        <v>April</v>
      </c>
    </row>
    <row r="1031" spans="1:7">
      <c r="A1031" s="247" t="s">
        <v>743</v>
      </c>
      <c r="B1031" s="311" t="s">
        <v>139</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123</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139</v>
      </c>
      <c r="C1040" s="56">
        <v>45777</v>
      </c>
      <c r="D1040" s="155">
        <v>1216</v>
      </c>
      <c r="E1040" s="43"/>
      <c r="F1040" s="43" t="s">
        <v>1191</v>
      </c>
      <c r="G1040" t="str">
        <f t="shared" si="16"/>
        <v>April</v>
      </c>
    </row>
    <row r="1041" spans="1:7">
      <c r="A1041" s="141" t="s">
        <v>743</v>
      </c>
      <c r="B1041" s="141" t="s">
        <v>139</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123</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139</v>
      </c>
      <c r="C1051" s="56">
        <v>45778</v>
      </c>
      <c r="D1051" s="155">
        <v>1098</v>
      </c>
      <c r="E1051" s="43"/>
      <c r="F1051" s="43" t="s">
        <v>1469</v>
      </c>
      <c r="G1051" t="str">
        <f t="shared" si="16"/>
        <v>May</v>
      </c>
    </row>
    <row r="1052" spans="1:7">
      <c r="A1052" s="154" t="s">
        <v>743</v>
      </c>
      <c r="B1052" s="141" t="s">
        <v>139</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123</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139</v>
      </c>
      <c r="C1067" s="56">
        <v>45782</v>
      </c>
      <c r="D1067" s="155">
        <v>1053</v>
      </c>
      <c r="F1067" s="43" t="s">
        <v>1479</v>
      </c>
      <c r="G1067" t="str">
        <f t="shared" si="17"/>
        <v>May</v>
      </c>
    </row>
    <row r="1068" spans="1:7">
      <c r="A1068" s="154" t="s">
        <v>745</v>
      </c>
      <c r="B1068" s="318" t="s">
        <v>139</v>
      </c>
      <c r="C1068" s="56">
        <v>45782</v>
      </c>
      <c r="D1068" s="43">
        <v>575</v>
      </c>
      <c r="F1068" s="43" t="s">
        <v>1480</v>
      </c>
      <c r="G1068" t="str">
        <f t="shared" si="17"/>
        <v>May</v>
      </c>
    </row>
    <row r="1069" spans="1:7">
      <c r="A1069" s="345" t="s">
        <v>693</v>
      </c>
      <c r="B1069" s="349" t="s">
        <v>139</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123</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139</v>
      </c>
      <c r="C1078" s="56">
        <v>45783</v>
      </c>
      <c r="D1078" s="43">
        <v>812</v>
      </c>
      <c r="F1078" s="43" t="s">
        <v>1486</v>
      </c>
      <c r="G1078" t="str">
        <f t="shared" si="18"/>
        <v>May</v>
      </c>
    </row>
    <row r="1079" spans="1:7">
      <c r="A1079" s="154" t="s">
        <v>745</v>
      </c>
      <c r="B1079" s="318" t="s">
        <v>139</v>
      </c>
      <c r="C1079" s="56">
        <v>45783</v>
      </c>
      <c r="D1079" s="155">
        <v>1847</v>
      </c>
      <c r="F1079" s="43" t="s">
        <v>1487</v>
      </c>
      <c r="G1079" t="str">
        <f t="shared" si="18"/>
        <v>May</v>
      </c>
    </row>
    <row r="1080" spans="1:7">
      <c r="A1080" s="345" t="s">
        <v>741</v>
      </c>
      <c r="B1080" s="349" t="s">
        <v>139</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139</v>
      </c>
      <c r="C1089" s="56">
        <v>45784</v>
      </c>
      <c r="D1089" s="155">
        <v>1052</v>
      </c>
      <c r="F1089" s="43" t="s">
        <v>1491</v>
      </c>
      <c r="G1089" t="str">
        <f>TEXT(C1089,"mmmm")</f>
        <v>May</v>
      </c>
    </row>
    <row r="1090" spans="1:7">
      <c r="A1090" s="345" t="s">
        <v>741</v>
      </c>
      <c r="B1090" s="349" t="s">
        <v>139</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139</v>
      </c>
      <c r="C1100" s="56">
        <v>45785</v>
      </c>
      <c r="D1100" s="155">
        <v>1483</v>
      </c>
      <c r="F1100" s="43" t="s">
        <v>1497</v>
      </c>
      <c r="G1100" t="str">
        <f t="shared" si="19"/>
        <v>May</v>
      </c>
    </row>
    <row r="1101" spans="1:7">
      <c r="A1101" s="345" t="s">
        <v>745</v>
      </c>
      <c r="B1101" s="304" t="s">
        <v>139</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139</v>
      </c>
      <c r="C1109" s="56">
        <v>45786</v>
      </c>
      <c r="F1109" s="315" t="s">
        <v>1503</v>
      </c>
      <c r="G1109" t="str">
        <f t="shared" si="20"/>
        <v>May</v>
      </c>
    </row>
    <row r="1110" spans="1:7">
      <c r="A1110" s="134"/>
      <c r="B1110" s="141"/>
      <c r="C1110" s="56">
        <v>45789</v>
      </c>
      <c r="G1110" t="str">
        <f t="shared" si="20"/>
        <v>May</v>
      </c>
    </row>
    <row r="1111" spans="1:7">
      <c r="A1111" s="134" t="s">
        <v>1115</v>
      </c>
      <c r="B1111" s="141" t="s">
        <v>123</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139</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139</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123</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139</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123</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123</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123</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139</v>
      </c>
      <c r="C1148" s="56">
        <v>45796</v>
      </c>
      <c r="D1148" s="43">
        <v>270</v>
      </c>
      <c r="F1148" s="43" t="s">
        <v>1236</v>
      </c>
      <c r="G1148" t="str">
        <f t="shared" si="21"/>
        <v>May</v>
      </c>
    </row>
    <row r="1149" spans="1:7">
      <c r="A1149" s="345" t="s">
        <v>772</v>
      </c>
      <c r="B1149" s="304" t="s">
        <v>139</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123</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139</v>
      </c>
      <c r="C1158" s="56">
        <v>45797</v>
      </c>
      <c r="D1158" s="155">
        <v>1430</v>
      </c>
      <c r="F1158" s="43" t="s">
        <v>1258</v>
      </c>
      <c r="G1158" t="str">
        <f t="shared" si="21"/>
        <v>May</v>
      </c>
    </row>
    <row r="1159" spans="1:7">
      <c r="A1159" s="134" t="s">
        <v>802</v>
      </c>
      <c r="B1159" s="141" t="s">
        <v>123</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139</v>
      </c>
      <c r="C1164" s="56">
        <v>45798</v>
      </c>
      <c r="D1164" s="43">
        <v>678</v>
      </c>
      <c r="E1164" s="321">
        <v>2850</v>
      </c>
      <c r="F1164" s="43" t="s">
        <v>1528</v>
      </c>
      <c r="G1164" t="str">
        <f t="shared" si="21"/>
        <v>May</v>
      </c>
    </row>
    <row r="1165" spans="1:7">
      <c r="A1165" s="345" t="s">
        <v>772</v>
      </c>
      <c r="B1165" s="304" t="s">
        <v>139</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139</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123</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139</v>
      </c>
      <c r="C1183" s="56">
        <v>45804</v>
      </c>
      <c r="D1183" s="43">
        <v>948</v>
      </c>
      <c r="F1183" s="43" t="s">
        <v>1537</v>
      </c>
      <c r="G1183" t="str">
        <f t="shared" si="21"/>
        <v>May</v>
      </c>
    </row>
    <row r="1184" spans="1:7">
      <c r="A1184" s="304" t="s">
        <v>675</v>
      </c>
      <c r="B1184" s="304" t="s">
        <v>139</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139</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139</v>
      </c>
      <c r="C1195" s="56">
        <v>45806</v>
      </c>
      <c r="D1195" s="155">
        <v>2248</v>
      </c>
      <c r="F1195" s="43" t="s">
        <v>1542</v>
      </c>
      <c r="G1195" t="str">
        <f t="shared" si="22"/>
        <v>May</v>
      </c>
    </row>
    <row r="1196" spans="1:7">
      <c r="A1196" s="318" t="s">
        <v>772</v>
      </c>
      <c r="B1196" s="307" t="s">
        <v>139</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123</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139</v>
      </c>
      <c r="C1203" s="56">
        <v>45810</v>
      </c>
      <c r="D1203" s="43">
        <v>800</v>
      </c>
      <c r="G1203" t="s">
        <v>1545</v>
      </c>
    </row>
    <row r="1204" spans="1:7">
      <c r="A1204" s="349" t="s">
        <v>991</v>
      </c>
      <c r="B1204" s="307" t="s">
        <v>1095</v>
      </c>
      <c r="C1204" s="56">
        <v>45810</v>
      </c>
      <c r="D1204" s="43">
        <v>275</v>
      </c>
      <c r="G1204" t="s">
        <v>1545</v>
      </c>
    </row>
    <row r="1205" spans="1:7">
      <c r="A1205" s="349" t="s">
        <v>772</v>
      </c>
      <c r="B1205" s="141" t="s">
        <v>139</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123</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139</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123</v>
      </c>
      <c r="C1216" s="56">
        <v>45812</v>
      </c>
      <c r="D1216" s="43">
        <v>83</v>
      </c>
      <c r="G1216" t="s">
        <v>1545</v>
      </c>
    </row>
    <row r="1217" spans="1:7">
      <c r="A1217" s="304" t="s">
        <v>508</v>
      </c>
      <c r="B1217" s="304" t="s">
        <v>123</v>
      </c>
      <c r="C1217" s="56">
        <v>45812</v>
      </c>
      <c r="F1217" s="141" t="s">
        <v>1550</v>
      </c>
      <c r="G1217" t="s">
        <v>1545</v>
      </c>
    </row>
    <row r="1218" spans="1:7">
      <c r="A1218" s="141" t="s">
        <v>983</v>
      </c>
      <c r="B1218" s="141" t="s">
        <v>139</v>
      </c>
      <c r="C1218" s="56">
        <v>45812</v>
      </c>
      <c r="D1218" s="155">
        <v>1401</v>
      </c>
      <c r="G1218" t="s">
        <v>1545</v>
      </c>
    </row>
    <row r="1219" spans="1:7">
      <c r="A1219" s="349" t="s">
        <v>991</v>
      </c>
      <c r="B1219" s="304" t="s">
        <v>1095</v>
      </c>
      <c r="C1219" s="56">
        <v>45812</v>
      </c>
      <c r="D1219" s="43">
        <v>310</v>
      </c>
      <c r="G1219" t="s">
        <v>1545</v>
      </c>
    </row>
    <row r="1220" spans="1:7">
      <c r="A1220" s="349" t="s">
        <v>747</v>
      </c>
      <c r="B1220" s="307" t="s">
        <v>139</v>
      </c>
      <c r="C1220" s="56">
        <v>45812</v>
      </c>
      <c r="D1220" s="43">
        <v>610</v>
      </c>
      <c r="F1220" s="43" t="s">
        <v>1551</v>
      </c>
      <c r="G1220" t="s">
        <v>1545</v>
      </c>
    </row>
    <row r="1221" spans="1:7">
      <c r="A1221" s="345" t="s">
        <v>772</v>
      </c>
      <c r="B1221" s="304" t="s">
        <v>139</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123</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139</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139</v>
      </c>
      <c r="C1230" s="56">
        <v>45817</v>
      </c>
      <c r="D1230" s="155">
        <v>1100</v>
      </c>
      <c r="G1230" t="s">
        <v>1545</v>
      </c>
    </row>
    <row r="1231" spans="1:7">
      <c r="A1231" s="304" t="s">
        <v>795</v>
      </c>
      <c r="B1231" s="304" t="s">
        <v>139</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139</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139</v>
      </c>
      <c r="C1238" s="56">
        <v>45819</v>
      </c>
      <c r="D1238" s="155">
        <v>1975</v>
      </c>
      <c r="F1238" s="43" t="s">
        <v>1543</v>
      </c>
      <c r="G1238" t="s">
        <v>1545</v>
      </c>
    </row>
    <row r="1239" spans="1:7">
      <c r="A1239" s="364" t="s">
        <v>675</v>
      </c>
      <c r="B1239" s="305" t="s">
        <v>139</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139</v>
      </c>
      <c r="C1241" s="56">
        <v>45820</v>
      </c>
      <c r="D1241" s="155">
        <v>1395</v>
      </c>
      <c r="F1241" s="43" t="s">
        <v>1543</v>
      </c>
      <c r="G1241" t="s">
        <v>1545</v>
      </c>
    </row>
    <row r="1242" spans="1:7">
      <c r="A1242" s="372" t="s">
        <v>763</v>
      </c>
      <c r="B1242" s="247" t="s">
        <v>139</v>
      </c>
      <c r="C1242" s="56">
        <v>45820</v>
      </c>
      <c r="F1242" s="43" t="s">
        <v>1241</v>
      </c>
      <c r="G1242" t="s">
        <v>1545</v>
      </c>
    </row>
    <row r="1243" spans="1:7">
      <c r="A1243" s="148" t="s">
        <v>991</v>
      </c>
      <c r="B1243" s="371" t="s">
        <v>1095</v>
      </c>
      <c r="C1243" s="56">
        <v>45820</v>
      </c>
      <c r="D1243" s="43">
        <v>395</v>
      </c>
      <c r="G1243" t="s">
        <v>1545</v>
      </c>
    </row>
    <row r="1244" spans="1:7">
      <c r="A1244" s="316" t="s">
        <v>763</v>
      </c>
      <c r="B1244" s="306" t="s">
        <v>139</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123</v>
      </c>
      <c r="C1248" s="56">
        <v>45824</v>
      </c>
      <c r="D1248" s="155">
        <v>1394</v>
      </c>
      <c r="F1248" s="43" t="s">
        <v>1176</v>
      </c>
      <c r="G1248" t="s">
        <v>1545</v>
      </c>
    </row>
    <row r="1249" spans="1:7">
      <c r="A1249" s="320" t="s">
        <v>983</v>
      </c>
      <c r="B1249" s="311" t="s">
        <v>139</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139</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123</v>
      </c>
      <c r="C1253" s="56">
        <v>45825</v>
      </c>
      <c r="D1253" s="155">
        <v>1756</v>
      </c>
      <c r="F1253" s="43" t="s">
        <v>1178</v>
      </c>
      <c r="G1253" t="s">
        <v>1545</v>
      </c>
    </row>
    <row r="1254" spans="1:7">
      <c r="A1254" s="320" t="s">
        <v>983</v>
      </c>
      <c r="B1254" s="311" t="s">
        <v>139</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139</v>
      </c>
      <c r="C1256" s="56">
        <v>45825</v>
      </c>
      <c r="D1256" s="155">
        <v>1465</v>
      </c>
      <c r="F1256" s="43" t="s">
        <v>1562</v>
      </c>
      <c r="G1256" t="s">
        <v>1545</v>
      </c>
    </row>
    <row r="1257" spans="1:7">
      <c r="A1257" s="311" t="s">
        <v>675</v>
      </c>
      <c r="B1257" s="311" t="s">
        <v>139</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123</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139</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139</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139</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139</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123</v>
      </c>
      <c r="C1278" s="56">
        <v>45832</v>
      </c>
      <c r="D1278" s="155">
        <v>1946</v>
      </c>
      <c r="F1278" s="43" t="s">
        <v>1565</v>
      </c>
      <c r="G1278" t="s">
        <v>1545</v>
      </c>
    </row>
    <row r="1279" spans="1:7">
      <c r="A1279" s="141" t="s">
        <v>996</v>
      </c>
      <c r="B1279" s="311" t="s">
        <v>139</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139</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123</v>
      </c>
      <c r="C1284" s="56">
        <v>45833</v>
      </c>
      <c r="D1284" s="43">
        <v>649</v>
      </c>
      <c r="F1284" s="43" t="s">
        <v>1569</v>
      </c>
      <c r="G1284" t="s">
        <v>1545</v>
      </c>
    </row>
    <row r="1285" spans="1:7">
      <c r="A1285" s="141" t="s">
        <v>996</v>
      </c>
      <c r="B1285" s="311" t="s">
        <v>139</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139</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123</v>
      </c>
      <c r="C1289" s="56">
        <v>45834</v>
      </c>
      <c r="F1289" s="316" t="s">
        <v>1571</v>
      </c>
      <c r="G1289" t="s">
        <v>1545</v>
      </c>
    </row>
    <row r="1290" spans="1:7">
      <c r="A1290" s="349" t="s">
        <v>802</v>
      </c>
      <c r="B1290" s="307" t="s">
        <v>123</v>
      </c>
      <c r="C1290" s="56">
        <v>45834</v>
      </c>
      <c r="F1290" s="320" t="s">
        <v>1571</v>
      </c>
      <c r="G1290" t="s">
        <v>1545</v>
      </c>
    </row>
    <row r="1291" spans="1:7">
      <c r="A1291" s="141" t="s">
        <v>996</v>
      </c>
      <c r="B1291" s="311" t="s">
        <v>139</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139</v>
      </c>
      <c r="C1293" s="56">
        <v>45834</v>
      </c>
      <c r="D1293" s="155">
        <v>1296</v>
      </c>
      <c r="F1293" s="43" t="s">
        <v>1562</v>
      </c>
      <c r="G1293" t="s">
        <v>1545</v>
      </c>
    </row>
    <row r="1294" spans="1:7">
      <c r="A1294" s="304" t="s">
        <v>753</v>
      </c>
      <c r="B1294" s="304" t="s">
        <v>139</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123</v>
      </c>
      <c r="C1299" s="56">
        <v>45835</v>
      </c>
      <c r="F1299" s="316" t="s">
        <v>1571</v>
      </c>
      <c r="G1299" t="s">
        <v>1545</v>
      </c>
    </row>
    <row r="1300" spans="1:7">
      <c r="A1300" s="141" t="s">
        <v>753</v>
      </c>
      <c r="B1300" s="141" t="s">
        <v>139</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139</v>
      </c>
      <c r="C1306" s="56">
        <v>45839</v>
      </c>
      <c r="E1306" s="139">
        <v>53</v>
      </c>
      <c r="F1306" s="43" t="s">
        <v>1579</v>
      </c>
      <c r="G1306" t="s">
        <v>1578</v>
      </c>
    </row>
    <row r="1307" spans="1:7">
      <c r="A1307" s="346" t="s">
        <v>672</v>
      </c>
      <c r="B1307" s="315" t="s">
        <v>139</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139</v>
      </c>
      <c r="C1312" s="56">
        <v>45840</v>
      </c>
      <c r="D1312" s="43">
        <v>355</v>
      </c>
      <c r="F1312" s="43" t="s">
        <v>1178</v>
      </c>
      <c r="G1312" t="s">
        <v>1578</v>
      </c>
    </row>
    <row r="1313" spans="1:7">
      <c r="A1313" s="304" t="s">
        <v>672</v>
      </c>
      <c r="B1313" s="304" t="s">
        <v>139</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139</v>
      </c>
      <c r="C1320" s="56">
        <v>45845</v>
      </c>
      <c r="D1320" s="43">
        <v>846</v>
      </c>
      <c r="G1320" t="s">
        <v>1578</v>
      </c>
    </row>
    <row r="1321" spans="1:7">
      <c r="A1321" s="304" t="s">
        <v>680</v>
      </c>
      <c r="B1321" s="304" t="s">
        <v>139</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139</v>
      </c>
      <c r="C1324" s="56">
        <v>45846</v>
      </c>
      <c r="D1324" s="43">
        <v>827</v>
      </c>
      <c r="F1324" s="43" t="s">
        <v>1585</v>
      </c>
      <c r="G1324" t="s">
        <v>1578</v>
      </c>
    </row>
    <row r="1325" spans="1:7">
      <c r="A1325" s="397" t="s">
        <v>680</v>
      </c>
      <c r="B1325" s="399" t="s">
        <v>139</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139</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139</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139</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139</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123</v>
      </c>
      <c r="C1351" s="56">
        <v>45859</v>
      </c>
      <c r="D1351" s="43">
        <v>385</v>
      </c>
      <c r="G1351" t="s">
        <v>1578</v>
      </c>
    </row>
    <row r="1352" spans="1:7">
      <c r="A1352" s="397" t="s">
        <v>721</v>
      </c>
      <c r="B1352" s="399" t="s">
        <v>139</v>
      </c>
      <c r="C1352" s="56">
        <v>45859</v>
      </c>
      <c r="D1352" s="155">
        <v>1070</v>
      </c>
      <c r="F1352" s="43" t="s">
        <v>1176</v>
      </c>
      <c r="G1352" t="s">
        <v>1578</v>
      </c>
    </row>
    <row r="1353" spans="1:7">
      <c r="A1353" s="414" t="s">
        <v>726</v>
      </c>
      <c r="B1353" s="415" t="s">
        <v>139</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139</v>
      </c>
      <c r="C1356" s="56">
        <v>45860</v>
      </c>
      <c r="D1356" s="155">
        <v>1224</v>
      </c>
      <c r="F1356" s="43" t="s">
        <v>1594</v>
      </c>
      <c r="G1356" t="s">
        <v>1578</v>
      </c>
    </row>
    <row r="1357" spans="1:7">
      <c r="A1357" s="305" t="s">
        <v>726</v>
      </c>
      <c r="B1357" s="304" t="s">
        <v>139</v>
      </c>
      <c r="C1357" s="56">
        <v>45860</v>
      </c>
      <c r="D1357" s="155">
        <v>1714</v>
      </c>
      <c r="F1357" s="43" t="s">
        <v>1187</v>
      </c>
      <c r="G1357" t="s">
        <v>1578</v>
      </c>
    </row>
    <row r="1358" spans="1:7">
      <c r="A1358" s="141" t="s">
        <v>991</v>
      </c>
      <c r="B1358" s="398" t="s">
        <v>123</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139</v>
      </c>
      <c r="C1365" s="56">
        <v>45861</v>
      </c>
      <c r="D1365" s="43">
        <v>235</v>
      </c>
      <c r="F1365" s="43" t="s">
        <v>1596</v>
      </c>
      <c r="G1365" t="s">
        <v>1578</v>
      </c>
    </row>
    <row r="1366" spans="1:7">
      <c r="A1366" s="305" t="s">
        <v>726</v>
      </c>
      <c r="B1366" s="304" t="s">
        <v>139</v>
      </c>
      <c r="C1366" s="56">
        <v>45861</v>
      </c>
      <c r="D1366" s="43">
        <v>678</v>
      </c>
      <c r="F1366" s="43" t="s">
        <v>1597</v>
      </c>
      <c r="G1366" t="s">
        <v>1578</v>
      </c>
    </row>
    <row r="1367" spans="1:7">
      <c r="A1367" s="141" t="s">
        <v>680</v>
      </c>
      <c r="B1367" s="398" t="s">
        <v>123</v>
      </c>
      <c r="C1367" s="56">
        <v>45861</v>
      </c>
      <c r="D1367" s="43">
        <v>579</v>
      </c>
      <c r="G1367" t="s">
        <v>1578</v>
      </c>
    </row>
    <row r="1368" spans="1:7">
      <c r="A1368" s="305" t="s">
        <v>729</v>
      </c>
      <c r="B1368" s="304" t="s">
        <v>139</v>
      </c>
      <c r="C1368" s="56">
        <v>45861</v>
      </c>
      <c r="D1368" s="43">
        <v>363</v>
      </c>
      <c r="F1368" s="43" t="s">
        <v>1598</v>
      </c>
      <c r="G1368" t="s">
        <v>1578</v>
      </c>
    </row>
    <row r="1369" spans="1:7">
      <c r="A1369" s="141" t="s">
        <v>983</v>
      </c>
      <c r="B1369" s="141" t="s">
        <v>139</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139</v>
      </c>
      <c r="C1374" s="56">
        <v>45862</v>
      </c>
      <c r="D1374" s="155">
        <v>1077</v>
      </c>
      <c r="F1374" s="43" t="s">
        <v>1602</v>
      </c>
      <c r="G1374" t="s">
        <v>1578</v>
      </c>
    </row>
    <row r="1375" spans="1:7">
      <c r="A1375" s="141" t="s">
        <v>680</v>
      </c>
      <c r="B1375" s="398" t="s">
        <v>123</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139</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139</v>
      </c>
      <c r="C1382" s="56">
        <v>45863</v>
      </c>
      <c r="F1382" s="304" t="s">
        <v>1607</v>
      </c>
      <c r="G1382" t="s">
        <v>1578</v>
      </c>
    </row>
    <row r="1383" spans="1:7">
      <c r="A1383" s="141" t="s">
        <v>721</v>
      </c>
      <c r="B1383" s="304" t="s">
        <v>139</v>
      </c>
      <c r="C1383" s="56">
        <v>45863</v>
      </c>
      <c r="F1383" s="307" t="s">
        <v>1607</v>
      </c>
      <c r="G1383" t="s">
        <v>1578</v>
      </c>
    </row>
    <row r="1384" spans="1:7">
      <c r="A1384" s="305" t="s">
        <v>735</v>
      </c>
      <c r="B1384" s="305" t="s">
        <v>139</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139</v>
      </c>
      <c r="C1388" s="56">
        <v>45866</v>
      </c>
      <c r="D1388" s="43">
        <v>817</v>
      </c>
      <c r="G1388" t="s">
        <v>1578</v>
      </c>
    </row>
    <row r="1389" spans="1:7">
      <c r="A1389" s="141" t="s">
        <v>729</v>
      </c>
      <c r="B1389" s="304" t="s">
        <v>139</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123</v>
      </c>
      <c r="C1391" s="56">
        <v>45866</v>
      </c>
      <c r="D1391" s="155">
        <v>1181</v>
      </c>
      <c r="G1391" t="s">
        <v>1578</v>
      </c>
    </row>
    <row r="1392" spans="1:7">
      <c r="A1392" s="123" t="s">
        <v>534</v>
      </c>
      <c r="B1392" s="157" t="s">
        <v>362</v>
      </c>
      <c r="C1392" s="56">
        <v>45866</v>
      </c>
      <c r="D1392" s="43">
        <v>345</v>
      </c>
      <c r="G1392" t="s">
        <v>1578</v>
      </c>
    </row>
    <row r="1393" spans="1:7">
      <c r="A1393" s="615" t="s">
        <v>680</v>
      </c>
      <c r="B1393" s="69" t="s">
        <v>123</v>
      </c>
      <c r="C1393" s="56">
        <v>45867</v>
      </c>
      <c r="D1393" s="155">
        <v>1933</v>
      </c>
      <c r="G1393" t="s">
        <v>1578</v>
      </c>
    </row>
    <row r="1394" spans="1:7">
      <c r="A1394" s="430" t="s">
        <v>983</v>
      </c>
      <c r="B1394" s="247" t="s">
        <v>139</v>
      </c>
      <c r="C1394" s="56">
        <v>45867</v>
      </c>
      <c r="E1394" s="321">
        <v>5590</v>
      </c>
      <c r="F1394" s="43" t="s">
        <v>1610</v>
      </c>
      <c r="G1394" t="s">
        <v>1578</v>
      </c>
    </row>
    <row r="1395" spans="1:7">
      <c r="A1395" s="431" t="s">
        <v>729</v>
      </c>
      <c r="B1395" s="433" t="s">
        <v>139</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123</v>
      </c>
      <c r="C1397" s="56">
        <v>45868</v>
      </c>
      <c r="D1397" s="155">
        <v>1951</v>
      </c>
      <c r="G1397" t="s">
        <v>1578</v>
      </c>
    </row>
    <row r="1398" spans="1:7">
      <c r="A1398" s="141" t="s">
        <v>680</v>
      </c>
      <c r="B1398" s="304" t="s">
        <v>139</v>
      </c>
      <c r="C1398" s="56">
        <v>45868</v>
      </c>
      <c r="D1398" s="43">
        <v>902</v>
      </c>
      <c r="G1398" t="s">
        <v>1578</v>
      </c>
    </row>
    <row r="1399" spans="1:7">
      <c r="A1399" s="304" t="s">
        <v>983</v>
      </c>
      <c r="B1399" s="304" t="s">
        <v>139</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123</v>
      </c>
      <c r="C1404" s="56">
        <v>45869</v>
      </c>
      <c r="D1404" s="43">
        <v>725</v>
      </c>
      <c r="G1404" t="s">
        <v>1578</v>
      </c>
    </row>
    <row r="1405" spans="1:7">
      <c r="A1405" s="305" t="s">
        <v>680</v>
      </c>
      <c r="B1405" s="305" t="s">
        <v>139</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139</v>
      </c>
      <c r="C1413" s="56">
        <v>45873</v>
      </c>
      <c r="D1413" s="43">
        <v>918</v>
      </c>
      <c r="G1413" t="s">
        <v>1617</v>
      </c>
    </row>
    <row r="1414" spans="1:7">
      <c r="A1414" s="311" t="s">
        <v>988</v>
      </c>
      <c r="B1414" s="311" t="s">
        <v>139</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139</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139</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139</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139</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139</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139</v>
      </c>
      <c r="C1432" s="56">
        <v>45881</v>
      </c>
      <c r="D1432" s="155">
        <v>1154</v>
      </c>
      <c r="G1432" t="s">
        <v>1617</v>
      </c>
    </row>
    <row r="1433" spans="1:7">
      <c r="A1433" s="238" t="s">
        <v>775</v>
      </c>
      <c r="B1433" s="131" t="s">
        <v>1095</v>
      </c>
      <c r="C1433" s="56">
        <v>45881</v>
      </c>
      <c r="D1433" s="43">
        <v>380</v>
      </c>
      <c r="G1433" t="s">
        <v>1617</v>
      </c>
    </row>
    <row r="1434" spans="1:7">
      <c r="A1434" s="91" t="s">
        <v>766</v>
      </c>
      <c r="B1434" s="169" t="s">
        <v>139</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139</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139</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139</v>
      </c>
      <c r="C1441" s="56">
        <v>45882</v>
      </c>
      <c r="D1441" s="155">
        <v>1031</v>
      </c>
      <c r="F1441" s="43" t="s">
        <v>1623</v>
      </c>
      <c r="G1441" t="s">
        <v>1617</v>
      </c>
    </row>
    <row r="1442" spans="1:7">
      <c r="A1442" s="305" t="s">
        <v>766</v>
      </c>
      <c r="B1442" s="305" t="s">
        <v>139</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139</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139</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139</v>
      </c>
      <c r="C1463" s="56">
        <v>45888</v>
      </c>
      <c r="D1463" s="155">
        <v>1456</v>
      </c>
      <c r="G1463" t="s">
        <v>1617</v>
      </c>
    </row>
    <row r="1464" spans="1:7">
      <c r="A1464" s="315" t="s">
        <v>789</v>
      </c>
      <c r="B1464" s="315" t="s">
        <v>1095</v>
      </c>
      <c r="C1464" s="56">
        <v>45888</v>
      </c>
      <c r="D1464" s="43">
        <v>416</v>
      </c>
      <c r="G1464" t="s">
        <v>1617</v>
      </c>
    </row>
    <row r="1465" spans="1:7">
      <c r="A1465" s="524" t="s">
        <v>999</v>
      </c>
      <c r="B1465" s="311" t="s">
        <v>139</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123</v>
      </c>
      <c r="C1470" s="56">
        <v>45889</v>
      </c>
      <c r="F1470" s="320" t="s">
        <v>1591</v>
      </c>
      <c r="G1470" t="s">
        <v>1617</v>
      </c>
    </row>
    <row r="1471" spans="1:7">
      <c r="A1471" s="396" t="s">
        <v>1137</v>
      </c>
      <c r="B1471" s="228" t="s">
        <v>139</v>
      </c>
      <c r="C1471" s="56">
        <v>45889</v>
      </c>
      <c r="D1471" s="155">
        <v>1420</v>
      </c>
      <c r="G1471" t="s">
        <v>1617</v>
      </c>
    </row>
    <row r="1472" spans="1:7">
      <c r="A1472" s="238" t="s">
        <v>789</v>
      </c>
      <c r="B1472" s="131" t="s">
        <v>1095</v>
      </c>
      <c r="C1472" s="56">
        <v>45889</v>
      </c>
      <c r="D1472" s="43">
        <v>216</v>
      </c>
      <c r="G1472" t="s">
        <v>1617</v>
      </c>
    </row>
    <row r="1473" spans="1:7">
      <c r="A1473" s="577" t="s">
        <v>999</v>
      </c>
      <c r="B1473" s="322" t="s">
        <v>139</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123</v>
      </c>
      <c r="C1477" s="56">
        <v>45890</v>
      </c>
      <c r="F1477" s="43" t="s">
        <v>1374</v>
      </c>
      <c r="G1477" t="s">
        <v>1617</v>
      </c>
    </row>
    <row r="1478" spans="1:7">
      <c r="A1478" s="396" t="s">
        <v>1137</v>
      </c>
      <c r="B1478" s="228" t="s">
        <v>139</v>
      </c>
      <c r="C1478" s="56">
        <v>45890</v>
      </c>
      <c r="D1478" s="155">
        <v>1170</v>
      </c>
      <c r="G1478" t="s">
        <v>1617</v>
      </c>
    </row>
    <row r="1479" spans="1:7">
      <c r="A1479" s="238" t="s">
        <v>789</v>
      </c>
      <c r="B1479" s="131" t="s">
        <v>1095</v>
      </c>
      <c r="C1479" s="56">
        <v>45890</v>
      </c>
      <c r="F1479" s="43" t="s">
        <v>1374</v>
      </c>
      <c r="G1479" t="s">
        <v>1617</v>
      </c>
    </row>
    <row r="1480" spans="1:7">
      <c r="A1480" s="577" t="s">
        <v>999</v>
      </c>
      <c r="B1480" s="322" t="s">
        <v>139</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123</v>
      </c>
      <c r="C1485" s="56">
        <v>45891</v>
      </c>
      <c r="D1485" s="43">
        <v>878</v>
      </c>
      <c r="F1485" s="43" t="s">
        <v>1634</v>
      </c>
      <c r="G1485" t="s">
        <v>1617</v>
      </c>
    </row>
    <row r="1486" spans="1:7">
      <c r="A1486" s="396" t="s">
        <v>1137</v>
      </c>
      <c r="B1486" s="228" t="s">
        <v>139</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123</v>
      </c>
      <c r="C1491" s="56">
        <v>45894</v>
      </c>
      <c r="D1491" s="43">
        <v>715</v>
      </c>
      <c r="G1491" t="s">
        <v>1617</v>
      </c>
    </row>
    <row r="1492" spans="1:7">
      <c r="A1492" s="396" t="s">
        <v>1137</v>
      </c>
      <c r="B1492" s="228" t="s">
        <v>139</v>
      </c>
      <c r="C1492" s="56">
        <v>45894</v>
      </c>
      <c r="D1492" s="43">
        <v>809</v>
      </c>
      <c r="G1492" t="s">
        <v>1617</v>
      </c>
    </row>
    <row r="1493" spans="1:7">
      <c r="A1493" s="238" t="s">
        <v>786</v>
      </c>
      <c r="B1493" s="131" t="s">
        <v>1095</v>
      </c>
      <c r="C1493" s="56">
        <v>45894</v>
      </c>
      <c r="F1493" s="311" t="s">
        <v>1637</v>
      </c>
      <c r="G1493" t="s">
        <v>1617</v>
      </c>
    </row>
    <row r="1494" spans="1:7">
      <c r="A1494" s="577" t="s">
        <v>1002</v>
      </c>
      <c r="B1494" s="322" t="s">
        <v>139</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123</v>
      </c>
      <c r="C1498" s="56">
        <v>45895</v>
      </c>
      <c r="D1498" s="155">
        <v>1009</v>
      </c>
      <c r="F1498" s="43" t="s">
        <v>1639</v>
      </c>
      <c r="G1498" t="s">
        <v>1617</v>
      </c>
    </row>
    <row r="1499" spans="1:7">
      <c r="A1499" s="396" t="s">
        <v>1137</v>
      </c>
      <c r="B1499" s="228" t="s">
        <v>139</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139</v>
      </c>
      <c r="C1502" s="56">
        <v>45895</v>
      </c>
      <c r="D1502" s="43">
        <v>558</v>
      </c>
      <c r="F1502" s="337" t="s">
        <v>1174</v>
      </c>
      <c r="G1502" t="s">
        <v>1617</v>
      </c>
    </row>
    <row r="1503" spans="1:7">
      <c r="A1503" s="615" t="s">
        <v>738</v>
      </c>
      <c r="B1503" s="43" t="s">
        <v>139</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123</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139</v>
      </c>
      <c r="C1509" s="56">
        <v>45896</v>
      </c>
      <c r="D1509" s="155">
        <v>1248</v>
      </c>
      <c r="F1509" s="43" t="s">
        <v>1643</v>
      </c>
      <c r="G1509" t="s">
        <v>1617</v>
      </c>
    </row>
    <row r="1510" spans="1:7">
      <c r="A1510" s="615" t="s">
        <v>738</v>
      </c>
      <c r="B1510" s="43" t="s">
        <v>139</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139</v>
      </c>
      <c r="C1516" s="56">
        <v>45897</v>
      </c>
      <c r="D1516" s="155">
        <v>1453</v>
      </c>
      <c r="F1516" s="43" t="s">
        <v>1647</v>
      </c>
      <c r="G1516" t="s">
        <v>1617</v>
      </c>
    </row>
    <row r="1517" spans="1:7">
      <c r="A1517" s="69" t="s">
        <v>1012</v>
      </c>
      <c r="B1517" s="43" t="s">
        <v>139</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139</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139</v>
      </c>
      <c r="C1535" s="56">
        <v>45903</v>
      </c>
      <c r="D1535" s="155">
        <v>1491</v>
      </c>
      <c r="F1535" s="43" t="s">
        <v>1660</v>
      </c>
      <c r="G1535" t="s">
        <v>1654</v>
      </c>
    </row>
    <row r="1536" spans="1:7">
      <c r="A1536" s="315" t="s">
        <v>1002</v>
      </c>
      <c r="B1536" s="315" t="s">
        <v>139</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139</v>
      </c>
      <c r="C1543" s="56">
        <v>45904</v>
      </c>
      <c r="D1543" s="155">
        <v>1549</v>
      </c>
      <c r="F1543" s="43" t="s">
        <v>1666</v>
      </c>
      <c r="G1543" t="s">
        <v>1654</v>
      </c>
    </row>
    <row r="1544" spans="1:7">
      <c r="A1544" s="615" t="s">
        <v>551</v>
      </c>
      <c r="B1544" s="43" t="s">
        <v>139</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139</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123</v>
      </c>
      <c r="C1552" s="56">
        <v>45908</v>
      </c>
      <c r="D1552" s="43">
        <v>254</v>
      </c>
      <c r="F1552" s="43" t="s">
        <v>1671</v>
      </c>
      <c r="G1552" t="s">
        <v>1654</v>
      </c>
    </row>
    <row r="1553" spans="1:7">
      <c r="A1553" s="680" t="s">
        <v>1137</v>
      </c>
      <c r="B1553" s="131" t="s">
        <v>139</v>
      </c>
      <c r="C1553" s="56">
        <v>45908</v>
      </c>
      <c r="D1553" s="155">
        <v>2498</v>
      </c>
      <c r="G1553" t="s">
        <v>1654</v>
      </c>
    </row>
    <row r="1554" spans="1:7">
      <c r="A1554" s="69" t="s">
        <v>994</v>
      </c>
      <c r="B1554" s="681" t="s">
        <v>139</v>
      </c>
      <c r="C1554" s="56">
        <v>45908</v>
      </c>
      <c r="D1554" s="43">
        <v>918</v>
      </c>
      <c r="F1554" s="43" t="s">
        <v>1672</v>
      </c>
      <c r="G1554" t="s">
        <v>1654</v>
      </c>
    </row>
    <row r="1555" spans="1:7">
      <c r="A1555" s="396" t="s">
        <v>551</v>
      </c>
      <c r="B1555" s="228" t="s">
        <v>123</v>
      </c>
      <c r="C1555" s="56">
        <v>45909</v>
      </c>
      <c r="D1555" s="155">
        <v>1686</v>
      </c>
      <c r="F1555" s="43" t="s">
        <v>1673</v>
      </c>
      <c r="G1555" t="s">
        <v>1654</v>
      </c>
    </row>
    <row r="1556" spans="1:7">
      <c r="A1556" s="680" t="s">
        <v>1137</v>
      </c>
      <c r="B1556" s="131" t="s">
        <v>139</v>
      </c>
      <c r="C1556" s="56">
        <v>45909</v>
      </c>
      <c r="D1556" s="155">
        <v>1192</v>
      </c>
      <c r="F1556" s="43" t="s">
        <v>1674</v>
      </c>
      <c r="G1556" t="s">
        <v>1654</v>
      </c>
    </row>
    <row r="1557" spans="1:7">
      <c r="A1557" s="69" t="s">
        <v>781</v>
      </c>
      <c r="B1557" s="681" t="s">
        <v>139</v>
      </c>
      <c r="C1557" s="56">
        <v>45909</v>
      </c>
      <c r="D1557" s="43">
        <v>329</v>
      </c>
      <c r="G1557" t="s">
        <v>1654</v>
      </c>
    </row>
    <row r="1558" spans="1:7">
      <c r="A1558" s="88" t="s">
        <v>1119</v>
      </c>
      <c r="B1558" s="398" t="s">
        <v>1095</v>
      </c>
      <c r="C1558" s="56">
        <v>45910</v>
      </c>
      <c r="D1558" s="43">
        <v>299</v>
      </c>
      <c r="G1558" t="s">
        <v>1654</v>
      </c>
    </row>
    <row r="1559" spans="1:7">
      <c r="A1559" s="396" t="s">
        <v>551</v>
      </c>
      <c r="B1559" s="228" t="s">
        <v>123</v>
      </c>
      <c r="C1559" s="56">
        <v>45910</v>
      </c>
      <c r="D1559" s="43">
        <v>611</v>
      </c>
      <c r="F1559" s="43" t="s">
        <v>1675</v>
      </c>
      <c r="G1559" t="s">
        <v>1654</v>
      </c>
    </row>
    <row r="1560" spans="1:7">
      <c r="A1560" s="680" t="s">
        <v>1137</v>
      </c>
      <c r="B1560" s="131" t="s">
        <v>139</v>
      </c>
      <c r="C1560" s="56">
        <v>45910</v>
      </c>
      <c r="D1560" s="155">
        <v>1925</v>
      </c>
      <c r="G1560" t="s">
        <v>1654</v>
      </c>
    </row>
    <row r="1561" spans="1:7">
      <c r="A1561" s="69" t="s">
        <v>781</v>
      </c>
      <c r="B1561" s="681" t="s">
        <v>1536</v>
      </c>
      <c r="C1561" s="56">
        <v>45910</v>
      </c>
      <c r="D1561" s="43">
        <v>333</v>
      </c>
      <c r="G1561" t="s">
        <v>1654</v>
      </c>
    </row>
    <row r="1562" spans="1:7">
      <c r="A1562" s="709" t="s">
        <v>1015</v>
      </c>
      <c r="B1562" s="131" t="s">
        <v>139</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123</v>
      </c>
      <c r="C1566" s="56">
        <v>45911</v>
      </c>
      <c r="D1566" s="43">
        <v>279</v>
      </c>
      <c r="F1566" s="43" t="s">
        <v>1677</v>
      </c>
      <c r="G1566" t="s">
        <v>1654</v>
      </c>
    </row>
    <row r="1567" spans="1:7">
      <c r="A1567" s="88" t="s">
        <v>1138</v>
      </c>
      <c r="B1567" s="398" t="s">
        <v>123</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139</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139</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139</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139</v>
      </c>
      <c r="C1590" s="56">
        <v>45917</v>
      </c>
      <c r="D1590" s="155">
        <v>1250</v>
      </c>
      <c r="F1590" s="730" t="s">
        <v>1682</v>
      </c>
      <c r="G1590" t="s">
        <v>1654</v>
      </c>
    </row>
    <row r="1591" spans="1:7">
      <c r="A1591" s="733" t="s">
        <v>551</v>
      </c>
      <c r="B1591" s="315" t="s">
        <v>123</v>
      </c>
      <c r="C1591" s="56">
        <v>45917</v>
      </c>
      <c r="D1591" s="43">
        <v>250</v>
      </c>
      <c r="F1591" s="730" t="s">
        <v>1683</v>
      </c>
      <c r="G1591" t="s">
        <v>1654</v>
      </c>
    </row>
    <row r="1592" spans="1:7">
      <c r="A1592" s="141" t="s">
        <v>1005</v>
      </c>
      <c r="B1592" s="735" t="s">
        <v>139</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139</v>
      </c>
      <c r="C1599" s="56">
        <v>45918</v>
      </c>
      <c r="D1599" s="43">
        <v>361</v>
      </c>
      <c r="F1599" s="730" t="s">
        <v>1687</v>
      </c>
      <c r="G1599" t="s">
        <v>1654</v>
      </c>
    </row>
    <row r="1600" spans="1:7">
      <c r="A1600" s="69" t="s">
        <v>1005</v>
      </c>
      <c r="B1600" s="681" t="s">
        <v>139</v>
      </c>
      <c r="C1600" s="56">
        <v>45918</v>
      </c>
      <c r="D1600" s="155">
        <v>1204</v>
      </c>
      <c r="F1600" s="730" t="s">
        <v>1688</v>
      </c>
      <c r="G1600" t="s">
        <v>1654</v>
      </c>
    </row>
    <row r="1601" spans="1:7">
      <c r="A1601" s="69" t="s">
        <v>553</v>
      </c>
      <c r="B1601" s="681" t="s">
        <v>139</v>
      </c>
      <c r="C1601" s="56">
        <v>45918</v>
      </c>
      <c r="D1601" s="155">
        <v>562</v>
      </c>
      <c r="F1601" s="730"/>
      <c r="G1601" t="s">
        <v>1654</v>
      </c>
    </row>
    <row r="1602" spans="1:7">
      <c r="A1602" s="69" t="s">
        <v>1007</v>
      </c>
      <c r="B1602" s="681" t="s">
        <v>139</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139</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139</v>
      </c>
      <c r="C1613" s="56">
        <v>45922</v>
      </c>
      <c r="D1613" s="43">
        <v>978</v>
      </c>
      <c r="F1613" s="730" t="s">
        <v>1692</v>
      </c>
      <c r="G1613" t="s">
        <v>1654</v>
      </c>
    </row>
    <row r="1614" spans="1:7">
      <c r="A1614" s="305" t="s">
        <v>1007</v>
      </c>
      <c r="B1614" s="741" t="s">
        <v>139</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139</v>
      </c>
      <c r="C1622" s="56">
        <v>45923</v>
      </c>
      <c r="D1622" s="43">
        <v>675</v>
      </c>
      <c r="F1622" s="69"/>
      <c r="G1622" t="s">
        <v>1654</v>
      </c>
    </row>
    <row r="1623" spans="1:7">
      <c r="A1623" s="69" t="s">
        <v>556</v>
      </c>
      <c r="B1623" s="748" t="s">
        <v>139</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139</v>
      </c>
      <c r="C1631" s="336">
        <v>45924</v>
      </c>
      <c r="D1631" s="155">
        <v>1205</v>
      </c>
      <c r="F1631" s="69" t="s">
        <v>1700</v>
      </c>
      <c r="G1631" t="s">
        <v>1654</v>
      </c>
    </row>
    <row r="1632" spans="1:7">
      <c r="A1632" s="69" t="s">
        <v>556</v>
      </c>
      <c r="B1632" s="395" t="s">
        <v>139</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139</v>
      </c>
      <c r="C1634" s="56">
        <v>45924</v>
      </c>
      <c r="D1634" s="161"/>
      <c r="F1634" s="337" t="s">
        <v>1702</v>
      </c>
      <c r="G1634" t="s">
        <v>1654</v>
      </c>
    </row>
    <row r="1635" spans="1:7">
      <c r="A1635" s="69" t="s">
        <v>553</v>
      </c>
      <c r="B1635" s="747" t="s">
        <v>139</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139</v>
      </c>
      <c r="C1647" s="56">
        <v>45925</v>
      </c>
      <c r="D1647" s="155">
        <v>1000</v>
      </c>
      <c r="F1647" s="30"/>
      <c r="G1647" t="s">
        <v>1654</v>
      </c>
    </row>
    <row r="1648" spans="1:7">
      <c r="A1648" s="69" t="s">
        <v>556</v>
      </c>
      <c r="B1648" s="748" t="s">
        <v>139</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139</v>
      </c>
      <c r="C1667" s="56">
        <v>45929</v>
      </c>
      <c r="D1667" s="43">
        <v>600</v>
      </c>
      <c r="F1667" s="43" t="s">
        <v>1714</v>
      </c>
      <c r="G1667" t="s">
        <v>1654</v>
      </c>
    </row>
    <row r="1668" spans="1:7">
      <c r="A1668" s="311" t="s">
        <v>562</v>
      </c>
      <c r="B1668" s="311" t="s">
        <v>139</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139</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139</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139</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139</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139</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139</v>
      </c>
      <c r="C1701" s="56">
        <v>45932</v>
      </c>
      <c r="D1701" s="155">
        <v>1472</v>
      </c>
      <c r="F1701" s="43" t="s">
        <v>1675</v>
      </c>
      <c r="G1701" t="s">
        <v>1720</v>
      </c>
    </row>
    <row r="1702" spans="1:7">
      <c r="A1702" s="798" t="s">
        <v>723</v>
      </c>
      <c r="B1702" s="141" t="s">
        <v>139</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139</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139</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139</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139</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139</v>
      </c>
      <c r="C1743" s="56">
        <v>45938</v>
      </c>
      <c r="D1743" s="43">
        <v>308</v>
      </c>
      <c r="F1743" s="43" t="s">
        <v>1736</v>
      </c>
      <c r="G1743" t="s">
        <v>1720</v>
      </c>
    </row>
    <row r="1744" spans="1:7">
      <c r="A1744" s="644" t="s">
        <v>562</v>
      </c>
      <c r="B1744" s="141" t="s">
        <v>139</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138</v>
      </c>
      <c r="B1751" s="680" t="s">
        <v>139</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139</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138</v>
      </c>
      <c r="B1772" s="141" t="s">
        <v>139</v>
      </c>
      <c r="C1772" s="56">
        <v>45943</v>
      </c>
      <c r="D1772" s="43">
        <v>828</v>
      </c>
      <c r="G1772" t="s">
        <v>1720</v>
      </c>
    </row>
    <row r="1773" spans="1:7">
      <c r="A1773" s="782" t="s">
        <v>581</v>
      </c>
      <c r="B1773" s="305" t="s">
        <v>139</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138</v>
      </c>
      <c r="B1781" s="306" t="s">
        <v>139</v>
      </c>
      <c r="C1781" s="56">
        <v>45944</v>
      </c>
      <c r="D1781" s="43">
        <v>150</v>
      </c>
      <c r="G1781" t="s">
        <v>1720</v>
      </c>
    </row>
    <row r="1782" spans="1:7">
      <c r="A1782" s="801" t="s">
        <v>581</v>
      </c>
      <c r="B1782" s="141" t="s">
        <v>139</v>
      </c>
      <c r="C1782" s="310">
        <v>45944</v>
      </c>
      <c r="D1782" s="43">
        <v>510</v>
      </c>
      <c r="F1782" s="43" t="s">
        <v>1747</v>
      </c>
      <c r="G1782" t="s">
        <v>1720</v>
      </c>
    </row>
    <row r="1783" spans="1:7">
      <c r="A1783" s="801" t="s">
        <v>585</v>
      </c>
      <c r="B1783" s="141" t="s">
        <v>139</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139</v>
      </c>
      <c r="C1791" s="56">
        <v>45945</v>
      </c>
      <c r="D1791" s="155">
        <v>1312</v>
      </c>
      <c r="F1791" s="43" t="s">
        <v>1752</v>
      </c>
      <c r="G1791" t="s">
        <v>1720</v>
      </c>
    </row>
    <row r="1792" spans="1:7">
      <c r="A1792" s="923" t="s">
        <v>1022</v>
      </c>
      <c r="B1792" s="315" t="s">
        <v>139</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139</v>
      </c>
      <c r="C1800" s="310">
        <v>45946</v>
      </c>
      <c r="D1800" s="43">
        <v>359</v>
      </c>
      <c r="F1800" s="43" t="s">
        <v>1759</v>
      </c>
      <c r="G1800" t="s">
        <v>1720</v>
      </c>
    </row>
    <row r="1801" spans="1:7">
      <c r="A1801" s="928" t="s">
        <v>1022</v>
      </c>
      <c r="B1801" s="141" t="s">
        <v>139</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139</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139</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139</v>
      </c>
      <c r="C1826" s="56">
        <v>45951</v>
      </c>
      <c r="D1826" s="155">
        <v>1007</v>
      </c>
      <c r="F1826" s="43" t="s">
        <v>1771</v>
      </c>
      <c r="G1826" t="s">
        <v>1720</v>
      </c>
    </row>
    <row r="1827" spans="1:7">
      <c r="A1827" s="169" t="s">
        <v>591</v>
      </c>
      <c r="B1827" s="43" t="s">
        <v>139</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139</v>
      </c>
      <c r="C1835" s="56">
        <v>45952</v>
      </c>
      <c r="D1835" s="155">
        <v>1604</v>
      </c>
      <c r="F1835" s="43" t="s">
        <v>1776</v>
      </c>
      <c r="G1835" t="s">
        <v>1720</v>
      </c>
    </row>
    <row r="1836" spans="1:7">
      <c r="A1836" s="949" t="s">
        <v>1024</v>
      </c>
      <c r="B1836" s="395" t="s">
        <v>139</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139</v>
      </c>
      <c r="C1846" s="56">
        <v>45953</v>
      </c>
      <c r="D1846" s="155">
        <v>1268</v>
      </c>
      <c r="F1846" s="43" t="s">
        <v>1784</v>
      </c>
      <c r="G1846" t="s">
        <v>1720</v>
      </c>
    </row>
    <row r="1847" spans="1:7">
      <c r="A1847" s="960" t="s">
        <v>1024</v>
      </c>
      <c r="B1847" s="395" t="s">
        <v>139</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139</v>
      </c>
      <c r="C1866" s="56">
        <v>45957</v>
      </c>
      <c r="D1866" s="43">
        <v>587</v>
      </c>
      <c r="F1866" s="43" t="s">
        <v>1796</v>
      </c>
      <c r="G1866" t="s">
        <v>1720</v>
      </c>
    </row>
    <row r="1867" spans="1:7">
      <c r="A1867" s="960" t="s">
        <v>591</v>
      </c>
      <c r="B1867" s="395" t="s">
        <v>139</v>
      </c>
      <c r="C1867" s="56">
        <v>45957</v>
      </c>
      <c r="D1867" s="155">
        <v>1310</v>
      </c>
      <c r="F1867" s="43" t="s">
        <v>1797</v>
      </c>
      <c r="G1867" t="s">
        <v>1720</v>
      </c>
    </row>
    <row r="1868" spans="1:7">
      <c r="A1868" s="169" t="s">
        <v>546</v>
      </c>
      <c r="B1868" s="169" t="s">
        <v>139</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139</v>
      </c>
      <c r="C1879" s="56">
        <v>45958</v>
      </c>
      <c r="D1879" s="155">
        <v>1509</v>
      </c>
      <c r="F1879" s="43" t="s">
        <v>1802</v>
      </c>
      <c r="G1879" t="s">
        <v>1720</v>
      </c>
    </row>
    <row r="1880" spans="1:7">
      <c r="A1880" s="960" t="s">
        <v>577</v>
      </c>
      <c r="B1880" s="395" t="s">
        <v>139</v>
      </c>
      <c r="C1880" s="56">
        <v>45958</v>
      </c>
      <c r="D1880" s="155">
        <v>1678</v>
      </c>
      <c r="F1880" s="43" t="s">
        <v>1803</v>
      </c>
      <c r="G1880" t="s">
        <v>1720</v>
      </c>
    </row>
    <row r="1881" spans="1:7">
      <c r="A1881" s="960" t="s">
        <v>1024</v>
      </c>
      <c r="B1881" s="395" t="s">
        <v>139</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139</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139</v>
      </c>
      <c r="C1904" s="56">
        <v>45960</v>
      </c>
      <c r="D1904" s="43">
        <v>777</v>
      </c>
      <c r="F1904" s="43" t="s">
        <v>1820</v>
      </c>
      <c r="G1904" t="s">
        <v>1720</v>
      </c>
    </row>
    <row r="1905" spans="1:7">
      <c r="A1905" s="43" t="s">
        <v>577</v>
      </c>
      <c r="B1905" s="987" t="s">
        <v>139</v>
      </c>
      <c r="C1905" s="56">
        <v>45960</v>
      </c>
      <c r="D1905" s="43">
        <v>394</v>
      </c>
      <c r="E1905" s="321">
        <v>1275</v>
      </c>
      <c r="F1905" s="43" t="s">
        <v>1821</v>
      </c>
      <c r="G1905" t="s">
        <v>1720</v>
      </c>
    </row>
    <row r="1906" spans="1:7">
      <c r="A1906" s="988" t="s">
        <v>616</v>
      </c>
      <c r="B1906" s="169" t="s">
        <v>139</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139</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139</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139</v>
      </c>
      <c r="C1928" s="56">
        <v>45964</v>
      </c>
      <c r="D1928" s="155">
        <v>1420</v>
      </c>
      <c r="F1928" s="43" t="s">
        <v>1543</v>
      </c>
      <c r="G1928" t="s">
        <v>1830</v>
      </c>
    </row>
    <row r="1929" spans="1:7">
      <c r="A1929" s="346" t="s">
        <v>591</v>
      </c>
      <c r="B1929" s="349" t="s">
        <v>139</v>
      </c>
      <c r="C1929" s="56">
        <v>45964</v>
      </c>
      <c r="D1929" s="43">
        <v>701</v>
      </c>
      <c r="F1929" s="43" t="s">
        <v>1663</v>
      </c>
      <c r="G1929" t="s">
        <v>1830</v>
      </c>
    </row>
    <row r="1930" spans="1:7">
      <c r="A1930" s="141" t="s">
        <v>589</v>
      </c>
      <c r="B1930" s="304" t="s">
        <v>139</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139</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139</v>
      </c>
      <c r="C1945" s="56">
        <v>45965</v>
      </c>
      <c r="D1945" s="155">
        <v>1120</v>
      </c>
      <c r="F1945" s="43" t="s">
        <v>1838</v>
      </c>
      <c r="G1945" t="s">
        <v>1830</v>
      </c>
    </row>
    <row r="1946" spans="1:7">
      <c r="A1946" s="141" t="s">
        <v>616</v>
      </c>
      <c r="B1946" s="141" t="s">
        <v>139</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139</v>
      </c>
      <c r="C1954" s="56">
        <v>45965</v>
      </c>
      <c r="D1954" s="321">
        <v>3910</v>
      </c>
      <c r="E1954" s="43"/>
      <c r="F1954" s="154" t="s">
        <v>1842</v>
      </c>
      <c r="G1954" t="s">
        <v>1830</v>
      </c>
    </row>
    <row r="1955" spans="1:7">
      <c r="A1955" s="247" t="s">
        <v>292</v>
      </c>
      <c r="B1955" s="43" t="s">
        <v>139</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139</v>
      </c>
      <c r="C1958" s="56">
        <v>45966</v>
      </c>
      <c r="D1958" s="155">
        <v>1488</v>
      </c>
      <c r="F1958" s="43" t="s">
        <v>1843</v>
      </c>
      <c r="G1958" t="s">
        <v>1830</v>
      </c>
    </row>
    <row r="1959" spans="1:7">
      <c r="A1959" s="304" t="s">
        <v>616</v>
      </c>
      <c r="B1959" s="304" t="s">
        <v>139</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139</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139</v>
      </c>
      <c r="C1968" s="56">
        <v>45966</v>
      </c>
      <c r="D1968" s="139">
        <v>346</v>
      </c>
      <c r="E1968" s="155"/>
      <c r="F1968" s="43" t="s">
        <v>1538</v>
      </c>
      <c r="G1968" t="s">
        <v>1830</v>
      </c>
    </row>
    <row r="1969" spans="1:7">
      <c r="A1969" s="371" t="s">
        <v>292</v>
      </c>
      <c r="B1969" s="304" t="s">
        <v>139</v>
      </c>
      <c r="C1969" s="56">
        <v>45966</v>
      </c>
      <c r="D1969" s="139">
        <v>656</v>
      </c>
      <c r="E1969" s="155"/>
      <c r="G1969" t="s">
        <v>1830</v>
      </c>
    </row>
    <row r="1970" spans="1:7">
      <c r="A1970" s="371" t="s">
        <v>436</v>
      </c>
      <c r="B1970" s="304" t="s">
        <v>139</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139</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139</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139</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139</v>
      </c>
      <c r="C1994" s="56">
        <v>45971</v>
      </c>
      <c r="D1994" s="155">
        <v>1351</v>
      </c>
      <c r="G1994" t="s">
        <v>1830</v>
      </c>
    </row>
    <row r="1995" spans="1:7">
      <c r="A1995" s="315" t="s">
        <v>591</v>
      </c>
      <c r="B1995" s="315" t="s">
        <v>139</v>
      </c>
      <c r="C1995" s="56">
        <v>45971</v>
      </c>
      <c r="D1995" s="43">
        <v>138</v>
      </c>
      <c r="F1995" s="43" t="s">
        <v>1852</v>
      </c>
      <c r="G1995" t="s">
        <v>1830</v>
      </c>
    </row>
    <row r="1996" spans="1:7">
      <c r="A1996" s="315" t="s">
        <v>616</v>
      </c>
      <c r="B1996" s="315" t="s">
        <v>139</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139</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139</v>
      </c>
      <c r="C2008" s="56">
        <v>45973</v>
      </c>
      <c r="D2008" s="155">
        <v>1580</v>
      </c>
      <c r="F2008" s="43" t="s">
        <v>1675</v>
      </c>
      <c r="G2008" t="s">
        <v>1830</v>
      </c>
    </row>
    <row r="2009" spans="1:7">
      <c r="A2009" s="43" t="s">
        <v>619</v>
      </c>
      <c r="B2009" s="115" t="s">
        <v>139</v>
      </c>
      <c r="C2009" s="56">
        <v>45973</v>
      </c>
      <c r="D2009" s="43">
        <v>890</v>
      </c>
      <c r="G2009" t="s">
        <v>1830</v>
      </c>
    </row>
    <row r="2010" spans="1:7">
      <c r="A2010" s="43" t="s">
        <v>619</v>
      </c>
      <c r="B2010" s="115" t="s">
        <v>422</v>
      </c>
      <c r="C2010" s="56">
        <v>45973</v>
      </c>
      <c r="F2010" s="43" t="s">
        <v>1538</v>
      </c>
      <c r="G2010" t="s">
        <v>1830</v>
      </c>
    </row>
    <row r="2011" spans="1:7">
      <c r="A2011" s="43" t="s">
        <v>587</v>
      </c>
      <c r="B2011" s="43" t="s">
        <v>139</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139</v>
      </c>
      <c r="C2017" s="56">
        <v>45973</v>
      </c>
      <c r="D2017" s="43">
        <v>242</v>
      </c>
      <c r="G2017" t="s">
        <v>1830</v>
      </c>
    </row>
    <row r="2018" spans="1:7">
      <c r="A2018" s="43" t="s">
        <v>450</v>
      </c>
      <c r="B2018" s="43" t="s">
        <v>139</v>
      </c>
      <c r="C2018" s="56">
        <v>45973</v>
      </c>
      <c r="D2018" s="155">
        <v>1264</v>
      </c>
      <c r="G2018" t="s">
        <v>1830</v>
      </c>
    </row>
    <row r="2019" spans="1:7">
      <c r="A2019" s="43" t="s">
        <v>463</v>
      </c>
      <c r="B2019" s="43" t="s">
        <v>139</v>
      </c>
      <c r="C2019" s="56">
        <v>45973</v>
      </c>
      <c r="D2019" s="155">
        <v>3678</v>
      </c>
      <c r="G2019" t="s">
        <v>1830</v>
      </c>
    </row>
    <row r="2020" spans="1:7">
      <c r="A2020" s="43" t="s">
        <v>418</v>
      </c>
      <c r="B2020" s="43" t="s">
        <v>1536</v>
      </c>
      <c r="C2020" s="56">
        <v>45974</v>
      </c>
      <c r="F2020" s="43" t="s">
        <v>1604</v>
      </c>
      <c r="G2020" t="s">
        <v>1830</v>
      </c>
    </row>
    <row r="2021" spans="1:7">
      <c r="A2021" s="43" t="s">
        <v>397</v>
      </c>
      <c r="B2021" s="43" t="s">
        <v>139</v>
      </c>
      <c r="C2021" s="56">
        <v>45974</v>
      </c>
      <c r="D2021" s="155">
        <v>1258</v>
      </c>
      <c r="F2021" s="43" t="s">
        <v>1863</v>
      </c>
      <c r="G2021" t="s">
        <v>1830</v>
      </c>
    </row>
    <row r="2022" spans="1:7">
      <c r="A2022" s="43" t="s">
        <v>587</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139</v>
      </c>
      <c r="C2029" s="56">
        <v>45974</v>
      </c>
      <c r="D2029" s="155">
        <v>3382</v>
      </c>
      <c r="G2029" t="s">
        <v>1830</v>
      </c>
    </row>
    <row r="2030" spans="1:7">
      <c r="A2030" s="43" t="s">
        <v>450</v>
      </c>
      <c r="B2030" s="43" t="s">
        <v>139</v>
      </c>
      <c r="C2030" s="56">
        <v>45974</v>
      </c>
      <c r="D2030" s="155">
        <v>1281</v>
      </c>
      <c r="G2030" t="s">
        <v>1830</v>
      </c>
    </row>
    <row r="2031" spans="1:7">
      <c r="A2031" s="247" t="s">
        <v>499</v>
      </c>
      <c r="B2031" s="43" t="s">
        <v>139</v>
      </c>
      <c r="C2031" s="56">
        <v>45974</v>
      </c>
      <c r="D2031" s="43">
        <v>424</v>
      </c>
      <c r="G2031" t="s">
        <v>1830</v>
      </c>
    </row>
    <row r="2032" spans="1:7">
      <c r="A2032" s="247" t="s">
        <v>465</v>
      </c>
      <c r="B2032" s="43" t="s">
        <v>139</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139</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139</v>
      </c>
      <c r="C2044" s="56">
        <v>45978</v>
      </c>
      <c r="D2044" s="43">
        <v>762</v>
      </c>
      <c r="G2044" t="s">
        <v>1830</v>
      </c>
    </row>
    <row r="2045" spans="1:7">
      <c r="A2045" s="141" t="s">
        <v>587</v>
      </c>
      <c r="B2045" s="349" t="s">
        <v>139</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139</v>
      </c>
      <c r="C2050" s="56">
        <v>45978</v>
      </c>
      <c r="D2050" s="155">
        <v>5466</v>
      </c>
      <c r="G2050" t="s">
        <v>1830</v>
      </c>
    </row>
    <row r="2051" spans="1:7">
      <c r="A2051" s="304" t="s">
        <v>450</v>
      </c>
      <c r="B2051" s="304" t="s">
        <v>139</v>
      </c>
      <c r="C2051" s="56">
        <v>45978</v>
      </c>
      <c r="D2051" s="155">
        <v>1662</v>
      </c>
      <c r="G2051" t="s">
        <v>1830</v>
      </c>
    </row>
    <row r="2052" spans="1:7">
      <c r="A2052" s="304" t="s">
        <v>465</v>
      </c>
      <c r="B2052" s="304" t="s">
        <v>139</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139</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139</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139</v>
      </c>
      <c r="C2064" s="56">
        <v>45979</v>
      </c>
      <c r="D2064" s="155">
        <v>2684</v>
      </c>
      <c r="F2064" s="69"/>
      <c r="G2064" t="s">
        <v>1830</v>
      </c>
    </row>
    <row r="2065" spans="1:7">
      <c r="A2065" s="148" t="s">
        <v>465</v>
      </c>
      <c r="B2065" s="115" t="s">
        <v>139</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139</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139</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139</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139</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139</v>
      </c>
      <c r="C2086" s="56">
        <v>45981</v>
      </c>
      <c r="D2086" s="155">
        <v>2252</v>
      </c>
      <c r="F2086" s="69"/>
      <c r="G2086" t="s">
        <v>1830</v>
      </c>
    </row>
    <row r="2087" spans="1:7">
      <c r="A2087" s="318" t="s">
        <v>465</v>
      </c>
      <c r="B2087" s="387" t="s">
        <v>139</v>
      </c>
      <c r="C2087" s="56">
        <v>45981</v>
      </c>
      <c r="D2087" s="1075">
        <v>1027</v>
      </c>
      <c r="F2087" s="69"/>
      <c r="G2087" t="s">
        <v>1830</v>
      </c>
    </row>
    <row r="2088" spans="1:7">
      <c r="A2088" s="348" t="s">
        <v>468</v>
      </c>
      <c r="B2088" s="357" t="s">
        <v>139</v>
      </c>
      <c r="C2088" s="56">
        <v>45981</v>
      </c>
      <c r="D2088" s="155">
        <v>1420</v>
      </c>
      <c r="F2088" s="69"/>
      <c r="G2088" t="s">
        <v>1830</v>
      </c>
    </row>
    <row r="2089" spans="1:7">
      <c r="A2089" s="318" t="s">
        <v>471</v>
      </c>
      <c r="B2089" s="387" t="s">
        <v>139</v>
      </c>
      <c r="C2089" s="56">
        <v>45981</v>
      </c>
      <c r="D2089" s="155">
        <v>2376</v>
      </c>
      <c r="F2089" s="69"/>
      <c r="G2089" t="s">
        <v>1830</v>
      </c>
    </row>
    <row r="2090" spans="1:7">
      <c r="A2090" s="348" t="s">
        <v>499</v>
      </c>
      <c r="B2090" s="307" t="s">
        <v>139</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139</v>
      </c>
      <c r="C2097" s="56">
        <v>45982</v>
      </c>
      <c r="D2097" s="43">
        <v>51</v>
      </c>
      <c r="F2097" s="69"/>
      <c r="G2097" t="s">
        <v>1830</v>
      </c>
    </row>
    <row r="2098" spans="1:7">
      <c r="A2098" s="404" t="s">
        <v>499</v>
      </c>
      <c r="B2098" s="173" t="s">
        <v>139</v>
      </c>
      <c r="C2098" s="56">
        <v>45982</v>
      </c>
      <c r="D2098" s="155">
        <v>3007</v>
      </c>
      <c r="F2098" s="69"/>
      <c r="G2098" t="s">
        <v>1830</v>
      </c>
    </row>
    <row r="2099" spans="1:7">
      <c r="A2099" s="404" t="s">
        <v>465</v>
      </c>
      <c r="B2099" s="173" t="s">
        <v>139</v>
      </c>
      <c r="C2099" s="56">
        <v>45982</v>
      </c>
      <c r="D2099" s="43">
        <v>490</v>
      </c>
      <c r="F2099" s="69"/>
      <c r="G2099" t="s">
        <v>1830</v>
      </c>
    </row>
    <row r="2100" spans="1:7">
      <c r="A2100" s="404" t="s">
        <v>468</v>
      </c>
      <c r="B2100" s="173" t="s">
        <v>139</v>
      </c>
      <c r="C2100" s="56">
        <v>45982</v>
      </c>
      <c r="D2100" s="155">
        <v>3043</v>
      </c>
      <c r="F2100" s="69"/>
      <c r="G2100" t="s">
        <v>1830</v>
      </c>
    </row>
    <row r="2101" spans="1:7">
      <c r="A2101" s="404" t="s">
        <v>471</v>
      </c>
      <c r="B2101" s="173" t="s">
        <v>139</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139</v>
      </c>
      <c r="C2111" s="56">
        <v>45985</v>
      </c>
      <c r="D2111" s="43">
        <v>805</v>
      </c>
      <c r="F2111" s="69" t="s">
        <v>1894</v>
      </c>
      <c r="G2111" t="s">
        <v>1830</v>
      </c>
    </row>
    <row r="2112" spans="1:7">
      <c r="A2112" s="43" t="s">
        <v>596</v>
      </c>
      <c r="B2112" s="1083" t="s">
        <v>139</v>
      </c>
      <c r="C2112" s="56">
        <v>45985</v>
      </c>
      <c r="D2112" s="43">
        <v>665</v>
      </c>
      <c r="F2112" s="69"/>
      <c r="G2112" t="s">
        <v>1830</v>
      </c>
    </row>
    <row r="2113" spans="1:7">
      <c r="A2113" s="43" t="s">
        <v>405</v>
      </c>
      <c r="B2113" s="1083" t="s">
        <v>139</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139</v>
      </c>
      <c r="C2128" s="56">
        <v>45986</v>
      </c>
      <c r="D2128" s="155">
        <v>1100</v>
      </c>
      <c r="G2128" t="s">
        <v>1830</v>
      </c>
    </row>
    <row r="2129" spans="1:7">
      <c r="A2129" s="43" t="s">
        <v>596</v>
      </c>
      <c r="B2129" s="43" t="s">
        <v>139</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139</v>
      </c>
      <c r="C2136" s="56">
        <v>45986</v>
      </c>
      <c r="D2136" s="155">
        <v>2382</v>
      </c>
      <c r="G2136" t="s">
        <v>1830</v>
      </c>
    </row>
    <row r="2137" spans="1:7">
      <c r="A2137" s="404" t="s">
        <v>436</v>
      </c>
      <c r="B2137" s="173" t="s">
        <v>139</v>
      </c>
      <c r="C2137" s="56">
        <v>45986</v>
      </c>
      <c r="D2137" s="43">
        <v>996</v>
      </c>
      <c r="G2137" t="s">
        <v>1830</v>
      </c>
    </row>
    <row r="2138" spans="1:7">
      <c r="A2138" s="404" t="s">
        <v>474</v>
      </c>
      <c r="B2138" s="173" t="s">
        <v>139</v>
      </c>
      <c r="C2138" s="56">
        <v>45986</v>
      </c>
      <c r="D2138" s="155">
        <v>3634</v>
      </c>
      <c r="G2138" t="s">
        <v>1830</v>
      </c>
    </row>
    <row r="2139" spans="1:7">
      <c r="A2139" s="69" t="s">
        <v>471</v>
      </c>
      <c r="B2139" s="173" t="s">
        <v>139</v>
      </c>
      <c r="C2139" s="56">
        <v>45986</v>
      </c>
      <c r="D2139" s="155">
        <v>3311</v>
      </c>
      <c r="G2139" t="s">
        <v>1830</v>
      </c>
    </row>
    <row r="2140" spans="1:7">
      <c r="A2140" s="69" t="s">
        <v>292</v>
      </c>
      <c r="B2140" s="173" t="s">
        <v>139</v>
      </c>
      <c r="C2140" s="56">
        <v>45986</v>
      </c>
      <c r="D2140" s="155">
        <v>1175</v>
      </c>
      <c r="G2140" t="s">
        <v>1830</v>
      </c>
    </row>
    <row r="2141" spans="1:7">
      <c r="A2141" s="247" t="s">
        <v>468</v>
      </c>
      <c r="B2141" s="173" t="s">
        <v>139</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139</v>
      </c>
      <c r="C2147" s="56">
        <v>45987</v>
      </c>
      <c r="D2147" s="155">
        <v>1024</v>
      </c>
      <c r="F2147" s="43" t="s">
        <v>1905</v>
      </c>
      <c r="G2147" t="s">
        <v>1830</v>
      </c>
    </row>
    <row r="2148" spans="1:7">
      <c r="A2148" s="306" t="s">
        <v>599</v>
      </c>
      <c r="B2148" s="305" t="s">
        <v>139</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139</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139</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139</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139</v>
      </c>
      <c r="C2176" s="56">
        <v>45992</v>
      </c>
      <c r="D2176" s="155">
        <v>1610</v>
      </c>
      <c r="F2176" s="43" t="s">
        <v>1918</v>
      </c>
      <c r="G2176" t="s">
        <v>1915</v>
      </c>
    </row>
    <row r="2177" spans="1:7">
      <c r="A2177" s="1084" t="s">
        <v>599</v>
      </c>
      <c r="B2177" s="304" t="s">
        <v>139</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139</v>
      </c>
      <c r="C2181" s="56">
        <v>45992</v>
      </c>
      <c r="D2181" s="155">
        <v>1515</v>
      </c>
      <c r="F2181" s="43" t="s">
        <v>1567</v>
      </c>
      <c r="G2181" t="s">
        <v>1915</v>
      </c>
    </row>
    <row r="2182" spans="1:7">
      <c r="A2182" s="348" t="s">
        <v>474</v>
      </c>
      <c r="B2182" s="357" t="s">
        <v>139</v>
      </c>
      <c r="C2182" s="56">
        <v>45992</v>
      </c>
      <c r="D2182" s="155">
        <v>3376</v>
      </c>
      <c r="G2182" t="s">
        <v>1915</v>
      </c>
    </row>
    <row r="2183" spans="1:7">
      <c r="A2183" s="317" t="s">
        <v>452</v>
      </c>
      <c r="B2183" s="308" t="s">
        <v>139</v>
      </c>
      <c r="C2183" s="56">
        <v>45992</v>
      </c>
      <c r="D2183" s="155">
        <v>3084</v>
      </c>
      <c r="G2183" t="s">
        <v>1915</v>
      </c>
    </row>
    <row r="2184" spans="1:7">
      <c r="A2184" s="311" t="s">
        <v>496</v>
      </c>
      <c r="B2184" s="311" t="s">
        <v>139</v>
      </c>
      <c r="C2184" s="56">
        <v>45992</v>
      </c>
      <c r="D2184" s="155">
        <v>1829</v>
      </c>
      <c r="G2184" t="s">
        <v>1915</v>
      </c>
    </row>
    <row r="2185" spans="1:7">
      <c r="A2185" s="247" t="s">
        <v>455</v>
      </c>
      <c r="B2185" s="755" t="s">
        <v>139</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139</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139</v>
      </c>
      <c r="C2194" s="56">
        <v>45993</v>
      </c>
      <c r="D2194" s="155">
        <v>2916</v>
      </c>
      <c r="G2194" t="s">
        <v>1915</v>
      </c>
    </row>
    <row r="2195" spans="1:7">
      <c r="A2195" s="315" t="s">
        <v>496</v>
      </c>
      <c r="B2195" s="315" t="s">
        <v>139</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123</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139</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139</v>
      </c>
      <c r="C2206" s="56">
        <v>45994</v>
      </c>
      <c r="D2206" s="155">
        <v>2430</v>
      </c>
      <c r="G2206" t="s">
        <v>1915</v>
      </c>
    </row>
    <row r="2207" spans="1:7">
      <c r="A2207" s="755" t="s">
        <v>496</v>
      </c>
      <c r="B2207" s="755" t="s">
        <v>139</v>
      </c>
      <c r="C2207" s="56">
        <v>45994</v>
      </c>
      <c r="D2207" s="43">
        <v>694</v>
      </c>
      <c r="G2207" t="s">
        <v>1915</v>
      </c>
    </row>
    <row r="2208" spans="1:7">
      <c r="A2208" s="1119" t="s">
        <v>447</v>
      </c>
      <c r="B2208" s="1120" t="s">
        <v>139</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139</v>
      </c>
      <c r="C2213" s="56">
        <v>45995</v>
      </c>
      <c r="D2213" s="155">
        <v>1431</v>
      </c>
      <c r="F2213" s="43" t="s">
        <v>1933</v>
      </c>
      <c r="G2213" t="s">
        <v>1915</v>
      </c>
    </row>
    <row r="2214" spans="1:7">
      <c r="A2214" s="311" t="s">
        <v>568</v>
      </c>
      <c r="B2214" s="311" t="s">
        <v>123</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123</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139</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139</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139</v>
      </c>
      <c r="C2233" s="56">
        <v>45996</v>
      </c>
      <c r="E2233" s="139">
        <v>636</v>
      </c>
      <c r="F2233" s="943"/>
      <c r="G2233" t="s">
        <v>1915</v>
      </c>
    </row>
    <row r="2234" spans="1:7">
      <c r="A2234" s="311" t="s">
        <v>463</v>
      </c>
      <c r="B2234" s="755" t="s">
        <v>139</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123</v>
      </c>
      <c r="C2241" s="56">
        <v>45999</v>
      </c>
      <c r="D2241" s="155">
        <v>1172</v>
      </c>
      <c r="E2241" s="201"/>
      <c r="F2241" s="115" t="s">
        <v>1949</v>
      </c>
      <c r="G2241" t="s">
        <v>1915</v>
      </c>
    </row>
    <row r="2242" spans="1:7">
      <c r="A2242" s="1130" t="s">
        <v>408</v>
      </c>
      <c r="B2242" s="1131" t="s">
        <v>139</v>
      </c>
      <c r="C2242" s="56">
        <v>45999</v>
      </c>
      <c r="D2242" s="321">
        <v>1583</v>
      </c>
      <c r="E2242" s="43"/>
      <c r="F2242" s="43" t="s">
        <v>1950</v>
      </c>
      <c r="G2242" t="s">
        <v>1915</v>
      </c>
    </row>
    <row r="2243" spans="1:7">
      <c r="A2243" s="247" t="s">
        <v>574</v>
      </c>
      <c r="B2243" s="1131" t="s">
        <v>139</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139</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139</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123</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139</v>
      </c>
      <c r="C2258" s="56">
        <v>46000</v>
      </c>
      <c r="D2258" s="155">
        <v>1980</v>
      </c>
      <c r="F2258" s="43" t="s">
        <v>1959</v>
      </c>
      <c r="G2258" t="s">
        <v>1915</v>
      </c>
    </row>
    <row r="2259" spans="1:7">
      <c r="A2259" s="404" t="s">
        <v>483</v>
      </c>
      <c r="B2259" s="173" t="s">
        <v>139</v>
      </c>
      <c r="C2259" s="56">
        <v>46000</v>
      </c>
      <c r="D2259" s="155">
        <v>3343</v>
      </c>
      <c r="G2259" t="s">
        <v>1915</v>
      </c>
    </row>
    <row r="2260" spans="1:7">
      <c r="A2260" s="161" t="s">
        <v>436</v>
      </c>
      <c r="B2260" s="139" t="s">
        <v>139</v>
      </c>
      <c r="C2260" s="56">
        <v>46000</v>
      </c>
      <c r="D2260" s="155">
        <v>2203</v>
      </c>
      <c r="F2260" s="43" t="s">
        <v>1178</v>
      </c>
      <c r="G2260" t="s">
        <v>1915</v>
      </c>
    </row>
    <row r="2261" spans="1:7">
      <c r="A2261" s="948" t="s">
        <v>297</v>
      </c>
      <c r="B2261" s="139" t="s">
        <v>139</v>
      </c>
      <c r="C2261" s="56">
        <v>46000</v>
      </c>
      <c r="D2261" s="155">
        <v>1111</v>
      </c>
      <c r="G2261" t="s">
        <v>1915</v>
      </c>
    </row>
    <row r="2262" spans="1:7">
      <c r="A2262" s="404" t="s">
        <v>486</v>
      </c>
      <c r="B2262" s="173" t="s">
        <v>139</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139</v>
      </c>
      <c r="C2268" s="56">
        <v>46001</v>
      </c>
      <c r="D2268" s="43">
        <v>621</v>
      </c>
      <c r="F2268" s="43" t="s">
        <v>1962</v>
      </c>
      <c r="G2268" t="s">
        <v>1915</v>
      </c>
    </row>
    <row r="2269" spans="1:7">
      <c r="A2269" s="740" t="s">
        <v>565</v>
      </c>
      <c r="B2269" s="755" t="s">
        <v>123</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139</v>
      </c>
      <c r="C2273" s="56">
        <v>46001</v>
      </c>
      <c r="D2273" s="155">
        <v>1251</v>
      </c>
      <c r="G2273" t="s">
        <v>1915</v>
      </c>
    </row>
    <row r="2274" spans="1:7">
      <c r="A2274" s="1134" t="s">
        <v>483</v>
      </c>
      <c r="B2274" s="1118" t="s">
        <v>139</v>
      </c>
      <c r="C2274" s="56">
        <v>46001</v>
      </c>
      <c r="D2274" s="43">
        <v>931</v>
      </c>
      <c r="G2274" t="s">
        <v>1915</v>
      </c>
    </row>
    <row r="2275" spans="1:7">
      <c r="A2275" s="752" t="s">
        <v>486</v>
      </c>
      <c r="B2275" s="996" t="s">
        <v>139</v>
      </c>
      <c r="C2275" s="56">
        <v>46001</v>
      </c>
      <c r="D2275" s="43">
        <v>522</v>
      </c>
      <c r="G2275" t="s">
        <v>1915</v>
      </c>
    </row>
    <row r="2276" spans="1:7">
      <c r="A2276" s="752" t="s">
        <v>496</v>
      </c>
      <c r="B2276" s="727" t="s">
        <v>139</v>
      </c>
      <c r="C2276" s="56">
        <v>46001</v>
      </c>
      <c r="D2276" s="43">
        <v>91</v>
      </c>
      <c r="G2276" t="s">
        <v>1915</v>
      </c>
    </row>
    <row r="2277" spans="1:7">
      <c r="A2277" s="752" t="s">
        <v>436</v>
      </c>
      <c r="B2277" s="1056" t="s">
        <v>139</v>
      </c>
      <c r="C2277" s="56">
        <v>46001</v>
      </c>
      <c r="E2277" s="321">
        <v>3674</v>
      </c>
      <c r="F2277" s="43" t="s">
        <v>1966</v>
      </c>
      <c r="G2277" t="s">
        <v>1915</v>
      </c>
    </row>
    <row r="2278" spans="1:7">
      <c r="A2278" s="752" t="s">
        <v>297</v>
      </c>
      <c r="B2278" s="727" t="s">
        <v>139</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123</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139</v>
      </c>
      <c r="C2287" s="56">
        <v>46002</v>
      </c>
      <c r="D2287" s="155">
        <v>3172</v>
      </c>
      <c r="G2287" t="s">
        <v>1915</v>
      </c>
    </row>
    <row r="2288" spans="1:7">
      <c r="A2288" s="1136" t="s">
        <v>465</v>
      </c>
      <c r="B2288" s="69" t="s">
        <v>139</v>
      </c>
      <c r="C2288" s="56">
        <v>46002</v>
      </c>
      <c r="D2288" s="43">
        <v>242</v>
      </c>
      <c r="F2288" s="43" t="s">
        <v>1973</v>
      </c>
      <c r="G2288" t="s">
        <v>1915</v>
      </c>
    </row>
    <row r="2289" spans="1:7">
      <c r="A2289" s="395" t="s">
        <v>486</v>
      </c>
      <c r="B2289" s="43" t="s">
        <v>139</v>
      </c>
      <c r="C2289" s="56">
        <v>46002</v>
      </c>
      <c r="D2289" s="155">
        <v>1194</v>
      </c>
      <c r="G2289" t="s">
        <v>1915</v>
      </c>
    </row>
    <row r="2290" spans="1:7">
      <c r="A2290" s="1137" t="s">
        <v>297</v>
      </c>
      <c r="B2290" s="115" t="s">
        <v>139</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139</v>
      </c>
      <c r="C2298" s="56">
        <v>46003</v>
      </c>
      <c r="F2298" s="337" t="s">
        <v>1979</v>
      </c>
      <c r="G2298" t="s">
        <v>1915</v>
      </c>
    </row>
    <row r="2299" spans="1:7">
      <c r="A2299" s="1134" t="s">
        <v>486</v>
      </c>
      <c r="B2299" s="1134" t="s">
        <v>139</v>
      </c>
      <c r="C2299" s="56">
        <v>46003</v>
      </c>
      <c r="D2299" s="155">
        <v>2811</v>
      </c>
      <c r="G2299" t="s">
        <v>1915</v>
      </c>
    </row>
    <row r="2300" spans="1:7">
      <c r="A2300" s="752" t="s">
        <v>297</v>
      </c>
      <c r="B2300" s="755" t="s">
        <v>139</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123</v>
      </c>
      <c r="C2306" s="56">
        <v>46006</v>
      </c>
      <c r="D2306" s="43">
        <v>689</v>
      </c>
      <c r="F2306" s="43" t="s">
        <v>1983</v>
      </c>
      <c r="G2306" t="s">
        <v>1915</v>
      </c>
    </row>
    <row r="2307" spans="1:7">
      <c r="A2307" s="1084" t="s">
        <v>549</v>
      </c>
      <c r="B2307" s="247" t="s">
        <v>139</v>
      </c>
      <c r="C2307" s="310">
        <v>46006</v>
      </c>
      <c r="D2307" s="155">
        <v>1095</v>
      </c>
      <c r="G2307" t="s">
        <v>1915</v>
      </c>
    </row>
    <row r="2308" spans="1:7">
      <c r="A2308" s="1323" t="s">
        <v>571</v>
      </c>
      <c r="B2308" s="43" t="s">
        <v>139</v>
      </c>
      <c r="C2308" s="310">
        <v>46006</v>
      </c>
      <c r="D2308" s="155">
        <v>1344</v>
      </c>
      <c r="F2308" s="43" t="s">
        <v>1984</v>
      </c>
      <c r="G2308" t="s">
        <v>1915</v>
      </c>
    </row>
    <row r="2309" spans="1:7">
      <c r="A2309" s="1323" t="s">
        <v>596</v>
      </c>
      <c r="B2309" s="43" t="s">
        <v>139</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139</v>
      </c>
      <c r="C2311" s="56">
        <v>46006</v>
      </c>
      <c r="D2311" s="43">
        <v>29</v>
      </c>
      <c r="E2311" s="201"/>
      <c r="F2311" s="115"/>
      <c r="G2311" t="s">
        <v>1915</v>
      </c>
    </row>
    <row r="2312" spans="1:7">
      <c r="A2312" s="1136" t="s">
        <v>441</v>
      </c>
      <c r="B2312" s="69" t="s">
        <v>139</v>
      </c>
      <c r="C2312" s="56">
        <v>46006</v>
      </c>
      <c r="D2312" s="139"/>
      <c r="E2312" s="43"/>
      <c r="F2312" s="752" t="s">
        <v>1397</v>
      </c>
      <c r="G2312" t="s">
        <v>1915</v>
      </c>
    </row>
    <row r="2313" spans="1:7">
      <c r="A2313" s="1136" t="s">
        <v>471</v>
      </c>
      <c r="B2313" s="69" t="s">
        <v>139</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123</v>
      </c>
      <c r="C2318" s="56">
        <v>46007</v>
      </c>
      <c r="D2318" s="43">
        <v>586</v>
      </c>
      <c r="F2318" s="43" t="s">
        <v>1990</v>
      </c>
      <c r="G2318" t="s">
        <v>1915</v>
      </c>
    </row>
    <row r="2319" spans="1:7">
      <c r="A2319" s="1084" t="s">
        <v>549</v>
      </c>
      <c r="B2319" s="1131" t="s">
        <v>139</v>
      </c>
      <c r="C2319" s="56">
        <v>46007</v>
      </c>
      <c r="D2319" s="155">
        <v>1676</v>
      </c>
      <c r="F2319" s="43" t="s">
        <v>1991</v>
      </c>
      <c r="G2319" t="s">
        <v>1915</v>
      </c>
    </row>
    <row r="2320" spans="1:7">
      <c r="A2320" s="1130" t="s">
        <v>571</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139</v>
      </c>
      <c r="C2324" s="56">
        <v>46007</v>
      </c>
      <c r="F2324" s="337" t="s">
        <v>1995</v>
      </c>
      <c r="G2324" t="s">
        <v>1915</v>
      </c>
    </row>
    <row r="2325" spans="1:7">
      <c r="A2325" s="69" t="s">
        <v>480</v>
      </c>
      <c r="B2325" s="69" t="s">
        <v>139</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123</v>
      </c>
      <c r="C2332" s="56">
        <v>46008</v>
      </c>
      <c r="D2332" s="43">
        <v>199</v>
      </c>
      <c r="F2332" s="43" t="s">
        <v>1998</v>
      </c>
      <c r="G2332" t="s">
        <v>1915</v>
      </c>
    </row>
    <row r="2333" spans="1:7">
      <c r="A2333" s="1084" t="s">
        <v>549</v>
      </c>
      <c r="B2333" s="1131" t="s">
        <v>139</v>
      </c>
      <c r="C2333" s="56">
        <v>46008</v>
      </c>
      <c r="D2333" s="155">
        <v>1139</v>
      </c>
      <c r="F2333" s="43" t="s">
        <v>1999</v>
      </c>
      <c r="G2333" t="s">
        <v>1915</v>
      </c>
    </row>
    <row r="2334" spans="1:7">
      <c r="A2334" s="1130" t="s">
        <v>571</v>
      </c>
      <c r="B2334" t="s">
        <v>139</v>
      </c>
      <c r="C2334" s="56">
        <v>46008</v>
      </c>
      <c r="D2334" s="155">
        <v>1027</v>
      </c>
      <c r="F2334" s="43" t="s">
        <v>2000</v>
      </c>
      <c r="G2334" t="s">
        <v>1915</v>
      </c>
    </row>
    <row r="2335" spans="1:7">
      <c r="A2335" s="1331" t="s">
        <v>568</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139</v>
      </c>
      <c r="C2339" s="56">
        <v>46008</v>
      </c>
      <c r="D2339" s="43">
        <v>320</v>
      </c>
      <c r="G2339" t="s">
        <v>1915</v>
      </c>
    </row>
    <row r="2340" spans="1:7">
      <c r="A2340" s="148" t="s">
        <v>480</v>
      </c>
      <c r="B2340" s="148" t="s">
        <v>139</v>
      </c>
      <c r="C2340" s="56">
        <v>46008</v>
      </c>
      <c r="D2340" s="155">
        <v>1083</v>
      </c>
      <c r="G2340" t="s">
        <v>1915</v>
      </c>
    </row>
    <row r="2341" spans="1:7">
      <c r="A2341" s="148" t="s">
        <v>465</v>
      </c>
      <c r="B2341" s="148" t="s">
        <v>139</v>
      </c>
      <c r="C2341" s="56">
        <v>46008</v>
      </c>
      <c r="F2341" s="311" t="s">
        <v>1186</v>
      </c>
      <c r="G2341" t="s">
        <v>1915</v>
      </c>
    </row>
    <row r="2342" spans="1:7">
      <c r="A2342" s="1136" t="s">
        <v>447</v>
      </c>
      <c r="B2342" s="69" t="s">
        <v>139</v>
      </c>
      <c r="C2342" s="56">
        <v>46008</v>
      </c>
      <c r="D2342" s="43">
        <v>372</v>
      </c>
      <c r="G2342" t="s">
        <v>1915</v>
      </c>
    </row>
    <row r="2343" spans="1:7">
      <c r="A2343" s="1136" t="s">
        <v>303</v>
      </c>
      <c r="B2343" s="69" t="s">
        <v>139</v>
      </c>
      <c r="C2343" s="56">
        <v>46008</v>
      </c>
      <c r="D2343" s="43">
        <v>95</v>
      </c>
      <c r="G2343" t="s">
        <v>1915</v>
      </c>
    </row>
    <row r="2344" spans="1:7">
      <c r="A2344" s="1136" t="s">
        <v>486</v>
      </c>
      <c r="B2344" s="69" t="s">
        <v>139</v>
      </c>
      <c r="C2344" s="56">
        <v>46008</v>
      </c>
      <c r="D2344" s="155">
        <v>1049</v>
      </c>
      <c r="G2344" t="s">
        <v>1915</v>
      </c>
    </row>
    <row r="2345" spans="1:7">
      <c r="A2345" s="148" t="s">
        <v>463</v>
      </c>
      <c r="B2345" s="148" t="s">
        <v>139</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123</v>
      </c>
      <c r="C2353" s="56">
        <v>46009</v>
      </c>
      <c r="F2353" s="304" t="s">
        <v>1827</v>
      </c>
      <c r="G2353" t="s">
        <v>1915</v>
      </c>
    </row>
    <row r="2354" spans="1:7">
      <c r="A2354" s="798" t="s">
        <v>571</v>
      </c>
      <c r="B2354" s="346" t="s">
        <v>139</v>
      </c>
      <c r="C2354" s="56">
        <v>46009</v>
      </c>
      <c r="D2354" s="155">
        <v>1596</v>
      </c>
      <c r="F2354" s="43" t="s">
        <v>2006</v>
      </c>
      <c r="G2354" t="s">
        <v>1915</v>
      </c>
    </row>
    <row r="2355" spans="1:7">
      <c r="A2355" s="349" t="s">
        <v>565</v>
      </c>
      <c r="B2355" s="387" t="s">
        <v>123</v>
      </c>
      <c r="C2355" s="56">
        <v>46009</v>
      </c>
      <c r="F2355" s="304" t="s">
        <v>1827</v>
      </c>
      <c r="G2355" t="s">
        <v>1915</v>
      </c>
    </row>
    <row r="2356" spans="1:7">
      <c r="A2356" s="349" t="s">
        <v>568</v>
      </c>
      <c r="B2356" s="307" t="s">
        <v>123</v>
      </c>
      <c r="C2356" s="56">
        <v>46009</v>
      </c>
      <c r="F2356" s="304" t="s">
        <v>1827</v>
      </c>
      <c r="G2356" t="s">
        <v>1915</v>
      </c>
    </row>
    <row r="2357" spans="1:7">
      <c r="A2357" s="348" t="s">
        <v>611</v>
      </c>
      <c r="B2357" s="346" t="s">
        <v>139</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139</v>
      </c>
      <c r="C2361" s="310">
        <v>46009</v>
      </c>
      <c r="D2361" s="43">
        <v>652</v>
      </c>
      <c r="G2361" t="s">
        <v>1915</v>
      </c>
    </row>
    <row r="2362" spans="1:7">
      <c r="A2362" s="304" t="s">
        <v>499</v>
      </c>
      <c r="B2362" s="304" t="s">
        <v>139</v>
      </c>
      <c r="C2362" s="56">
        <v>46009</v>
      </c>
      <c r="D2362" s="43">
        <v>396</v>
      </c>
      <c r="G2362" t="s">
        <v>1915</v>
      </c>
    </row>
    <row r="2363" spans="1:7">
      <c r="A2363" s="305" t="s">
        <v>480</v>
      </c>
      <c r="B2363" s="305" t="s">
        <v>139</v>
      </c>
      <c r="C2363" s="56">
        <v>46009</v>
      </c>
      <c r="D2363" s="155">
        <v>1905</v>
      </c>
      <c r="G2363" t="s">
        <v>1915</v>
      </c>
    </row>
    <row r="2364" spans="1:7">
      <c r="A2364" s="306" t="s">
        <v>303</v>
      </c>
      <c r="B2364" s="306" t="s">
        <v>139</v>
      </c>
      <c r="C2364" s="56">
        <v>46009</v>
      </c>
      <c r="D2364" s="43">
        <v>881</v>
      </c>
      <c r="G2364" t="s">
        <v>1915</v>
      </c>
    </row>
    <row r="2365" spans="1:7">
      <c r="A2365" s="141" t="s">
        <v>300</v>
      </c>
      <c r="B2365" s="141" t="s">
        <v>139</v>
      </c>
      <c r="C2365" s="310">
        <v>46009</v>
      </c>
      <c r="D2365" s="155">
        <v>3028</v>
      </c>
      <c r="F2365" s="43" t="s">
        <v>2010</v>
      </c>
      <c r="G2365" t="s">
        <v>1915</v>
      </c>
    </row>
    <row r="2366" spans="1:7">
      <c r="A2366" s="247" t="s">
        <v>463</v>
      </c>
      <c r="B2366" s="141" t="s">
        <v>139</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123</v>
      </c>
      <c r="C2374" s="310">
        <v>46010</v>
      </c>
      <c r="E2374" s="139">
        <v>765</v>
      </c>
      <c r="G2374" t="s">
        <v>1915</v>
      </c>
    </row>
    <row r="2375" spans="1:7">
      <c r="A2375" s="801" t="s">
        <v>549</v>
      </c>
      <c r="B2375" s="141" t="s">
        <v>139</v>
      </c>
      <c r="C2375" s="310">
        <v>46010</v>
      </c>
      <c r="E2375" s="139">
        <v>883</v>
      </c>
      <c r="F2375" s="311" t="s">
        <v>2014</v>
      </c>
      <c r="G2375" t="s">
        <v>1915</v>
      </c>
    </row>
    <row r="2376" spans="1:7">
      <c r="A2376" s="141" t="s">
        <v>565</v>
      </c>
      <c r="B2376" s="141" t="s">
        <v>123</v>
      </c>
      <c r="C2376" s="310">
        <v>46010</v>
      </c>
      <c r="E2376" s="139">
        <v>765</v>
      </c>
      <c r="G2376" t="s">
        <v>1915</v>
      </c>
    </row>
    <row r="2377" spans="1:7">
      <c r="A2377" s="141" t="s">
        <v>568</v>
      </c>
      <c r="B2377" s="141" t="s">
        <v>123</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139</v>
      </c>
      <c r="C2380" s="56">
        <v>46010</v>
      </c>
      <c r="D2380" s="43">
        <v>582</v>
      </c>
      <c r="G2380" t="s">
        <v>1915</v>
      </c>
    </row>
    <row r="2381" spans="1:7">
      <c r="A2381" s="1335" t="s">
        <v>480</v>
      </c>
      <c r="B2381" s="1336" t="s">
        <v>139</v>
      </c>
      <c r="C2381" s="56">
        <v>46010</v>
      </c>
      <c r="D2381" s="155">
        <v>2064</v>
      </c>
      <c r="G2381" t="s">
        <v>1915</v>
      </c>
    </row>
    <row r="2382" spans="1:7">
      <c r="A2382" s="1335" t="s">
        <v>300</v>
      </c>
      <c r="B2382" s="1336" t="s">
        <v>139</v>
      </c>
      <c r="C2382" s="56">
        <v>46010</v>
      </c>
      <c r="D2382" s="155">
        <v>1683</v>
      </c>
      <c r="G2382" t="s">
        <v>1915</v>
      </c>
    </row>
    <row r="2383" spans="1:7">
      <c r="A2383" s="1335" t="s">
        <v>297</v>
      </c>
      <c r="B2383" s="1336" t="s">
        <v>139</v>
      </c>
      <c r="C2383" s="56">
        <v>46010</v>
      </c>
      <c r="D2383" s="155">
        <v>1235</v>
      </c>
      <c r="G2383" t="s">
        <v>1915</v>
      </c>
    </row>
    <row r="2384" spans="1:7">
      <c r="A2384" s="1335" t="s">
        <v>477</v>
      </c>
      <c r="B2384" s="1336" t="s">
        <v>139</v>
      </c>
      <c r="C2384" s="56">
        <v>46010</v>
      </c>
      <c r="F2384" s="43" t="s">
        <v>2017</v>
      </c>
      <c r="G2384" t="s">
        <v>1915</v>
      </c>
    </row>
    <row r="2385" spans="1:7">
      <c r="A2385" s="1335" t="s">
        <v>496</v>
      </c>
      <c r="B2385" s="1336" t="s">
        <v>139</v>
      </c>
      <c r="C2385" s="56">
        <v>46010</v>
      </c>
      <c r="D2385" s="43">
        <v>780</v>
      </c>
      <c r="E2385" s="201"/>
      <c r="F2385" s="115"/>
      <c r="G2385" t="s">
        <v>1915</v>
      </c>
    </row>
    <row r="2386" spans="1:7">
      <c r="A2386" s="1335" t="s">
        <v>1164</v>
      </c>
      <c r="B2386" s="1336" t="s">
        <v>139</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139</v>
      </c>
      <c r="C2390" s="56">
        <v>46013</v>
      </c>
      <c r="D2390" s="43">
        <v>380</v>
      </c>
      <c r="G2390" t="s">
        <v>1915</v>
      </c>
    </row>
    <row r="2391" spans="1:7">
      <c r="A2391" s="315" t="s">
        <v>614</v>
      </c>
      <c r="B2391" s="315" t="s">
        <v>139</v>
      </c>
      <c r="C2391" s="56">
        <v>46013</v>
      </c>
      <c r="D2391" s="43">
        <v>523</v>
      </c>
      <c r="G2391" t="s">
        <v>1915</v>
      </c>
    </row>
    <row r="2392" spans="1:7">
      <c r="A2392" s="315" t="s">
        <v>571</v>
      </c>
      <c r="B2392" s="315" t="s">
        <v>139</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139</v>
      </c>
      <c r="C2394" s="56">
        <v>46013</v>
      </c>
      <c r="D2394" s="43">
        <v>551</v>
      </c>
      <c r="G2394" t="s">
        <v>1915</v>
      </c>
    </row>
    <row r="2395" spans="1:7">
      <c r="A2395" s="1118" t="s">
        <v>480</v>
      </c>
      <c r="B2395" s="1118" t="s">
        <v>139</v>
      </c>
      <c r="C2395" s="56">
        <v>46013</v>
      </c>
      <c r="F2395" s="337" t="s">
        <v>2021</v>
      </c>
      <c r="G2395" t="s">
        <v>1915</v>
      </c>
    </row>
    <row r="2396" spans="1:7">
      <c r="A2396" s="1118" t="s">
        <v>300</v>
      </c>
      <c r="B2396" s="1118" t="s">
        <v>139</v>
      </c>
      <c r="C2396" s="56">
        <v>46013</v>
      </c>
      <c r="D2396" s="43">
        <v>362</v>
      </c>
      <c r="G2396" t="s">
        <v>1915</v>
      </c>
    </row>
    <row r="2397" spans="1:7">
      <c r="A2397" s="1134" t="s">
        <v>303</v>
      </c>
      <c r="B2397" s="1134" t="s">
        <v>139</v>
      </c>
      <c r="C2397" s="56">
        <v>46013</v>
      </c>
      <c r="D2397" s="155">
        <v>3523</v>
      </c>
      <c r="G2397" t="s">
        <v>1915</v>
      </c>
    </row>
    <row r="2398" spans="1:7">
      <c r="A2398" s="755" t="s">
        <v>496</v>
      </c>
      <c r="B2398" s="755" t="s">
        <v>139</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139</v>
      </c>
      <c r="C2401" s="56">
        <v>46014</v>
      </c>
      <c r="F2401" s="337" t="s">
        <v>1562</v>
      </c>
      <c r="G2401" t="s">
        <v>1915</v>
      </c>
    </row>
    <row r="2402" spans="1:7">
      <c r="A2402" s="801" t="s">
        <v>614</v>
      </c>
      <c r="B2402" s="999" t="s">
        <v>139</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139</v>
      </c>
      <c r="C2404" s="56">
        <v>46014</v>
      </c>
      <c r="E2404" s="321">
        <v>14727</v>
      </c>
      <c r="F2404" s="430" t="s">
        <v>2022</v>
      </c>
      <c r="G2404" t="s">
        <v>1915</v>
      </c>
    </row>
    <row r="2405" spans="1:7">
      <c r="A2405" s="247" t="s">
        <v>303</v>
      </c>
      <c r="B2405" s="1336" t="s">
        <v>139</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139</v>
      </c>
      <c r="C2411" s="56">
        <v>46020</v>
      </c>
      <c r="D2411" s="155">
        <v>1188</v>
      </c>
      <c r="F2411" s="43" t="s">
        <v>2025</v>
      </c>
      <c r="G2411" t="s">
        <v>1915</v>
      </c>
    </row>
    <row r="2412" spans="1:7">
      <c r="A2412" s="1358" t="s">
        <v>605</v>
      </c>
      <c r="B2412" s="1133" t="s">
        <v>139</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139</v>
      </c>
      <c r="C2414" s="56">
        <v>46020</v>
      </c>
      <c r="D2414" s="43">
        <v>738</v>
      </c>
      <c r="G2414" t="s">
        <v>1915</v>
      </c>
    </row>
    <row r="2415" spans="1:7">
      <c r="A2415" s="1118" t="s">
        <v>300</v>
      </c>
      <c r="B2415" s="1118" t="s">
        <v>139</v>
      </c>
      <c r="C2415" s="56">
        <v>46020</v>
      </c>
      <c r="D2415" s="155">
        <v>1297</v>
      </c>
      <c r="G2415" t="s">
        <v>1915</v>
      </c>
    </row>
    <row r="2416" spans="1:7">
      <c r="A2416" s="1118" t="s">
        <v>490</v>
      </c>
      <c r="B2416" s="1118" t="s">
        <v>139</v>
      </c>
      <c r="C2416" s="56">
        <v>46020</v>
      </c>
      <c r="D2416" s="155">
        <v>2583</v>
      </c>
      <c r="G2416" t="s">
        <v>1915</v>
      </c>
    </row>
    <row r="2417" spans="1:7">
      <c r="A2417" s="1118" t="s">
        <v>450</v>
      </c>
      <c r="B2417" s="1118" t="s">
        <v>139</v>
      </c>
      <c r="C2417" s="56">
        <v>46020</v>
      </c>
      <c r="D2417" s="43">
        <v>0</v>
      </c>
      <c r="F2417" s="311" t="s">
        <v>2027</v>
      </c>
      <c r="G2417" t="s">
        <v>1915</v>
      </c>
    </row>
    <row r="2418" spans="1:7">
      <c r="A2418" s="1118" t="s">
        <v>455</v>
      </c>
      <c r="B2418" s="1118" t="s">
        <v>139</v>
      </c>
      <c r="C2418" s="56">
        <v>46020</v>
      </c>
      <c r="D2418" s="43">
        <v>0</v>
      </c>
      <c r="F2418" s="311" t="s">
        <v>2027</v>
      </c>
      <c r="G2418" t="s">
        <v>1915</v>
      </c>
    </row>
    <row r="2419" spans="1:7">
      <c r="A2419" s="1118" t="s">
        <v>486</v>
      </c>
      <c r="B2419" s="1118" t="s">
        <v>139</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139</v>
      </c>
      <c r="C2423" s="56">
        <v>46021</v>
      </c>
      <c r="D2423" s="43">
        <v>0</v>
      </c>
      <c r="F2423" s="311" t="s">
        <v>1397</v>
      </c>
      <c r="G2423" t="s">
        <v>1915</v>
      </c>
    </row>
    <row r="2424" spans="1:7">
      <c r="A2424" s="311" t="s">
        <v>447</v>
      </c>
      <c r="B2424" s="755" t="s">
        <v>139</v>
      </c>
      <c r="C2424" s="56">
        <v>46021</v>
      </c>
      <c r="D2424" s="43">
        <v>466</v>
      </c>
      <c r="G2424" t="s">
        <v>1915</v>
      </c>
    </row>
    <row r="2425" spans="1:7">
      <c r="A2425" s="304" t="s">
        <v>490</v>
      </c>
      <c r="B2425" s="1118" t="s">
        <v>139</v>
      </c>
      <c r="C2425" s="56">
        <v>46021</v>
      </c>
      <c r="D2425" s="155">
        <v>3099</v>
      </c>
      <c r="G2425" t="s">
        <v>1915</v>
      </c>
    </row>
    <row r="2426" spans="1:7">
      <c r="A2426" s="304" t="s">
        <v>452</v>
      </c>
      <c r="B2426" s="1118" t="s">
        <v>139</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139</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139</v>
      </c>
      <c r="C2436" s="56">
        <v>46027</v>
      </c>
      <c r="D2436" s="155">
        <v>3728</v>
      </c>
      <c r="E2436" s="43"/>
      <c r="G2436" t="s">
        <v>2028</v>
      </c>
    </row>
    <row r="2437" spans="1:7">
      <c r="A2437" s="247" t="s">
        <v>490</v>
      </c>
      <c r="B2437" s="157" t="s">
        <v>139</v>
      </c>
      <c r="C2437" s="56">
        <v>46027</v>
      </c>
      <c r="D2437" s="155">
        <v>568</v>
      </c>
      <c r="E2437" s="43"/>
      <c r="G2437" t="s">
        <v>2028</v>
      </c>
    </row>
    <row r="2438" spans="1:7">
      <c r="A2438" s="247" t="s">
        <v>436</v>
      </c>
      <c r="B2438" s="157" t="s">
        <v>139</v>
      </c>
      <c r="C2438" s="56">
        <v>46028</v>
      </c>
      <c r="D2438" s="43">
        <v>0</v>
      </c>
      <c r="E2438" s="43"/>
      <c r="F2438" s="43" t="s">
        <v>2029</v>
      </c>
      <c r="G2438" t="s">
        <v>2028</v>
      </c>
    </row>
    <row r="2439" spans="1:7">
      <c r="A2439" s="247" t="s">
        <v>447</v>
      </c>
      <c r="B2439" s="157" t="s">
        <v>139</v>
      </c>
      <c r="C2439" s="56">
        <v>46028</v>
      </c>
      <c r="D2439" s="1437">
        <v>1789</v>
      </c>
      <c r="E2439" s="43"/>
      <c r="G2439" t="s">
        <v>2028</v>
      </c>
    </row>
    <row r="2440" spans="1:7">
      <c r="A2440" s="247" t="s">
        <v>493</v>
      </c>
      <c r="B2440" s="157" t="s">
        <v>139</v>
      </c>
      <c r="C2440" s="56">
        <v>46028</v>
      </c>
      <c r="D2440" s="1437">
        <v>2362</v>
      </c>
      <c r="E2440" s="43"/>
      <c r="G2440" t="s">
        <v>2028</v>
      </c>
    </row>
    <row r="2441" spans="1:7">
      <c r="A2441" s="247" t="s">
        <v>1017</v>
      </c>
      <c r="B2441" s="157" t="s">
        <v>139</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139</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139</v>
      </c>
      <c r="C2446" s="56">
        <v>46029</v>
      </c>
      <c r="D2446" s="88">
        <v>0</v>
      </c>
      <c r="E2446" s="43"/>
      <c r="F2446" s="311" t="s">
        <v>2031</v>
      </c>
      <c r="G2446" t="s">
        <v>2028</v>
      </c>
    </row>
    <row r="2447" spans="1:7">
      <c r="A2447" s="247" t="s">
        <v>399</v>
      </c>
      <c r="B2447" s="157" t="s">
        <v>139</v>
      </c>
      <c r="C2447" s="56">
        <v>46029</v>
      </c>
      <c r="D2447" s="1437">
        <v>1687</v>
      </c>
      <c r="E2447" s="43"/>
      <c r="G2447" t="s">
        <v>2028</v>
      </c>
    </row>
    <row r="2448" spans="1:7">
      <c r="A2448" s="247" t="s">
        <v>402</v>
      </c>
      <c r="B2448" s="157" t="s">
        <v>139</v>
      </c>
      <c r="C2448" s="56">
        <v>46029</v>
      </c>
      <c r="D2448" s="1437">
        <v>1056</v>
      </c>
      <c r="E2448" s="43"/>
      <c r="F2448" s="1449" t="s">
        <v>2032</v>
      </c>
      <c r="G2448" t="s">
        <v>2028</v>
      </c>
    </row>
    <row r="2449" spans="1:7">
      <c r="A2449" s="247" t="s">
        <v>1017</v>
      </c>
      <c r="B2449" s="157" t="s">
        <v>139</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139</v>
      </c>
      <c r="C2451" s="56">
        <v>46029</v>
      </c>
      <c r="D2451" s="1437">
        <v>3079</v>
      </c>
      <c r="E2451" s="43"/>
      <c r="F2451" s="1449"/>
      <c r="G2451" t="s">
        <v>2028</v>
      </c>
    </row>
    <row r="2452" spans="1:7">
      <c r="A2452" s="247" t="s">
        <v>483</v>
      </c>
      <c r="B2452" s="157" t="s">
        <v>139</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139</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139</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139</v>
      </c>
      <c r="C2462" s="56">
        <v>46031</v>
      </c>
      <c r="D2462" s="1437">
        <v>104</v>
      </c>
      <c r="E2462" s="88"/>
      <c r="F2462" s="1451"/>
      <c r="G2462" t="s">
        <v>2028</v>
      </c>
    </row>
    <row r="2463" spans="1:7">
      <c r="A2463" s="247" t="s">
        <v>297</v>
      </c>
      <c r="B2463" s="157" t="s">
        <v>139</v>
      </c>
      <c r="C2463" s="56">
        <v>46031</v>
      </c>
      <c r="D2463" s="88"/>
      <c r="E2463" s="1437">
        <v>1056</v>
      </c>
      <c r="F2463" s="1451"/>
      <c r="G2463" t="s">
        <v>2028</v>
      </c>
    </row>
    <row r="2464" spans="1:7">
      <c r="A2464" s="247" t="s">
        <v>474</v>
      </c>
      <c r="B2464" s="157" t="s">
        <v>139</v>
      </c>
      <c r="C2464" s="56">
        <v>46031</v>
      </c>
      <c r="D2464" s="88"/>
      <c r="E2464" s="1437">
        <v>1090</v>
      </c>
      <c r="F2464" s="1449"/>
      <c r="G2464" t="s">
        <v>2028</v>
      </c>
    </row>
    <row r="2465" spans="1:7">
      <c r="A2465" s="247" t="s">
        <v>306</v>
      </c>
      <c r="B2465" s="157" t="s">
        <v>139</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139</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139</v>
      </c>
      <c r="C2471" s="56">
        <v>46034</v>
      </c>
      <c r="D2471" s="88">
        <v>858</v>
      </c>
      <c r="E2471" s="88"/>
      <c r="F2471" s="1451"/>
      <c r="G2471" t="s">
        <v>2028</v>
      </c>
    </row>
    <row r="2472" spans="1:7">
      <c r="A2472" s="247" t="s">
        <v>428</v>
      </c>
      <c r="B2472" s="157" t="s">
        <v>139</v>
      </c>
      <c r="C2472" s="56">
        <v>46034</v>
      </c>
      <c r="D2472" s="1437">
        <v>4915</v>
      </c>
      <c r="E2472" s="88"/>
      <c r="F2472" s="1451"/>
      <c r="G2472" t="s">
        <v>2028</v>
      </c>
    </row>
    <row r="2473" spans="1:7">
      <c r="A2473" s="247" t="s">
        <v>309</v>
      </c>
      <c r="B2473" s="157" t="s">
        <v>139</v>
      </c>
      <c r="C2473" s="56">
        <v>46034</v>
      </c>
      <c r="D2473" s="88">
        <v>813</v>
      </c>
      <c r="E2473" s="88"/>
      <c r="F2473" s="1451"/>
      <c r="G2473" t="s">
        <v>2028</v>
      </c>
    </row>
    <row r="2474" spans="1:7">
      <c r="A2474" s="247" t="s">
        <v>402</v>
      </c>
      <c r="B2474" s="157" t="s">
        <v>139</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139</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139</v>
      </c>
      <c r="C2480" s="56">
        <v>46035</v>
      </c>
      <c r="D2480" s="88"/>
      <c r="E2480" s="1437">
        <v>1208</v>
      </c>
      <c r="F2480" s="1449"/>
      <c r="G2480" t="s">
        <v>2028</v>
      </c>
    </row>
    <row r="2481" spans="1:7">
      <c r="A2481" s="247" t="s">
        <v>428</v>
      </c>
      <c r="B2481" s="157" t="s">
        <v>139</v>
      </c>
      <c r="C2481" s="56">
        <v>46035</v>
      </c>
      <c r="D2481" s="88">
        <v>914</v>
      </c>
      <c r="E2481" s="88"/>
      <c r="F2481" s="1451" t="s">
        <v>2040</v>
      </c>
      <c r="G2481" t="s">
        <v>2028</v>
      </c>
    </row>
    <row r="2482" spans="1:7">
      <c r="A2482" s="247" t="s">
        <v>430</v>
      </c>
      <c r="B2482" s="157" t="s">
        <v>139</v>
      </c>
      <c r="C2482" s="56">
        <v>46035</v>
      </c>
      <c r="D2482" s="1437">
        <v>6092</v>
      </c>
      <c r="E2482" s="88"/>
      <c r="F2482" s="1451"/>
      <c r="G2482" t="s">
        <v>2028</v>
      </c>
    </row>
    <row r="2483" spans="1:7">
      <c r="A2483" s="247" t="s">
        <v>309</v>
      </c>
      <c r="B2483" s="157" t="s">
        <v>139</v>
      </c>
      <c r="C2483" s="56">
        <v>46035</v>
      </c>
      <c r="D2483" s="1437">
        <v>1491</v>
      </c>
      <c r="E2483" s="88"/>
      <c r="F2483" s="1451"/>
      <c r="G2483" t="s">
        <v>2028</v>
      </c>
    </row>
    <row r="2484" spans="1:7">
      <c r="A2484" s="247" t="s">
        <v>312</v>
      </c>
      <c r="B2484" s="157" t="s">
        <v>139</v>
      </c>
      <c r="C2484" s="56">
        <v>46035</v>
      </c>
      <c r="D2484" s="88">
        <v>822</v>
      </c>
      <c r="E2484" s="88"/>
      <c r="F2484" s="1451"/>
      <c r="G2484" t="s">
        <v>2028</v>
      </c>
    </row>
    <row r="2485" spans="1:7">
      <c r="A2485" s="247" t="s">
        <v>402</v>
      </c>
      <c r="B2485" s="157" t="s">
        <v>139</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139</v>
      </c>
      <c r="C2492" s="56">
        <v>46036</v>
      </c>
      <c r="D2492" s="88">
        <v>0</v>
      </c>
      <c r="E2492" s="43"/>
      <c r="F2492" s="1450" t="s">
        <v>1397</v>
      </c>
      <c r="G2492" t="s">
        <v>2028</v>
      </c>
    </row>
    <row r="2493" spans="1:7">
      <c r="A2493" s="247" t="s">
        <v>430</v>
      </c>
      <c r="B2493" s="157" t="s">
        <v>139</v>
      </c>
      <c r="C2493" s="56">
        <v>46036</v>
      </c>
      <c r="D2493" s="88">
        <v>0</v>
      </c>
      <c r="E2493" s="43"/>
      <c r="F2493" s="1451" t="s">
        <v>2045</v>
      </c>
      <c r="G2493" t="s">
        <v>2028</v>
      </c>
    </row>
    <row r="2494" spans="1:7">
      <c r="A2494" s="247" t="s">
        <v>309</v>
      </c>
      <c r="B2494" s="157" t="s">
        <v>139</v>
      </c>
      <c r="C2494" s="56">
        <v>46036</v>
      </c>
      <c r="D2494" s="1437">
        <v>1062</v>
      </c>
      <c r="E2494" s="43"/>
      <c r="F2494" s="1451"/>
      <c r="G2494" t="s">
        <v>2028</v>
      </c>
    </row>
    <row r="2495" spans="1:7">
      <c r="A2495" s="247" t="s">
        <v>312</v>
      </c>
      <c r="B2495" s="157" t="s">
        <v>139</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139</v>
      </c>
      <c r="C2499" s="56">
        <v>46036</v>
      </c>
      <c r="D2499" s="1437">
        <v>1295</v>
      </c>
      <c r="E2499" s="43"/>
      <c r="F2499" s="1451" t="s">
        <v>2048</v>
      </c>
      <c r="G2499" t="s">
        <v>2028</v>
      </c>
    </row>
    <row r="2500" spans="1:7">
      <c r="A2500" s="247" t="s">
        <v>314</v>
      </c>
      <c r="B2500" s="157" t="s">
        <v>139</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139</v>
      </c>
      <c r="C2502" s="56">
        <v>46036</v>
      </c>
      <c r="D2502" s="88">
        <v>0</v>
      </c>
      <c r="E2502" s="43"/>
      <c r="F2502" s="1451" t="s">
        <v>2050</v>
      </c>
      <c r="G2502" t="s">
        <v>2028</v>
      </c>
    </row>
    <row r="2503" spans="1:7">
      <c r="A2503" s="247" t="s">
        <v>432</v>
      </c>
      <c r="B2503" s="157" t="s">
        <v>139</v>
      </c>
      <c r="C2503" s="56">
        <v>46036</v>
      </c>
      <c r="D2503" s="1437">
        <v>1728</v>
      </c>
      <c r="E2503" s="43"/>
      <c r="F2503" s="1451" t="s">
        <v>1692</v>
      </c>
      <c r="G2503" t="s">
        <v>2028</v>
      </c>
    </row>
    <row r="2504" spans="1:7">
      <c r="A2504" s="247" t="s">
        <v>309</v>
      </c>
      <c r="B2504" s="157" t="s">
        <v>139</v>
      </c>
      <c r="C2504" s="56">
        <v>46037</v>
      </c>
      <c r="D2504" s="88">
        <v>527</v>
      </c>
      <c r="E2504" s="43"/>
      <c r="F2504" s="1451" t="s">
        <v>1763</v>
      </c>
      <c r="G2504" t="s">
        <v>2028</v>
      </c>
    </row>
    <row r="2505" spans="1:7">
      <c r="A2505" s="247" t="s">
        <v>316</v>
      </c>
      <c r="B2505" s="157" t="s">
        <v>139</v>
      </c>
      <c r="C2505" s="56">
        <v>46037</v>
      </c>
      <c r="D2505" s="1437">
        <v>1562</v>
      </c>
      <c r="E2505" s="43"/>
      <c r="F2505" s="1451"/>
      <c r="G2505" t="s">
        <v>2028</v>
      </c>
    </row>
    <row r="2506" spans="1:7">
      <c r="A2506" s="247" t="s">
        <v>314</v>
      </c>
      <c r="B2506" s="157" t="s">
        <v>139</v>
      </c>
      <c r="C2506" s="56">
        <v>46037</v>
      </c>
      <c r="D2506" s="1437">
        <v>2832</v>
      </c>
      <c r="E2506" s="43"/>
      <c r="F2506" s="1451"/>
      <c r="G2506" t="s">
        <v>2028</v>
      </c>
    </row>
    <row r="2507" spans="1:7">
      <c r="A2507" s="247" t="s">
        <v>430</v>
      </c>
      <c r="B2507" s="157" t="s">
        <v>139</v>
      </c>
      <c r="C2507" s="56">
        <v>46037</v>
      </c>
      <c r="D2507" s="88">
        <v>0</v>
      </c>
      <c r="E2507" s="43"/>
      <c r="F2507" s="1451" t="s">
        <v>2051</v>
      </c>
      <c r="G2507" t="s">
        <v>2028</v>
      </c>
    </row>
    <row r="2508" spans="1:7">
      <c r="A2508" s="247" t="s">
        <v>318</v>
      </c>
      <c r="B2508" s="157" t="s">
        <v>139</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139</v>
      </c>
      <c r="C2514" s="344">
        <v>46038</v>
      </c>
      <c r="D2514" s="332">
        <v>987</v>
      </c>
      <c r="E2514" s="253"/>
      <c r="F2514" s="1451"/>
      <c r="G2514" t="s">
        <v>2028</v>
      </c>
    </row>
    <row r="2515" spans="1:7">
      <c r="A2515" s="247" t="s">
        <v>314</v>
      </c>
      <c r="B2515" s="157" t="s">
        <v>139</v>
      </c>
      <c r="C2515" s="56">
        <v>46038</v>
      </c>
      <c r="D2515" s="88">
        <v>457</v>
      </c>
      <c r="F2515" s="1451"/>
      <c r="G2515" t="s">
        <v>2028</v>
      </c>
    </row>
    <row r="2516" spans="1:7">
      <c r="A2516" s="247" t="s">
        <v>432</v>
      </c>
      <c r="B2516" s="157" t="s">
        <v>139</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139</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139</v>
      </c>
      <c r="C2525" s="56">
        <v>46042</v>
      </c>
      <c r="D2525" s="43">
        <v>0</v>
      </c>
      <c r="E2525" s="253"/>
      <c r="F2525" s="1485" t="s">
        <v>1397</v>
      </c>
      <c r="G2525" t="s">
        <v>2028</v>
      </c>
    </row>
    <row r="2526" spans="1:7">
      <c r="A2526" s="311" t="s">
        <v>175</v>
      </c>
      <c r="B2526" s="311" t="s">
        <v>139</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139</v>
      </c>
      <c r="C2531" s="56">
        <v>46042</v>
      </c>
      <c r="F2531" s="311" t="s">
        <v>1850</v>
      </c>
      <c r="G2531" t="s">
        <v>2028</v>
      </c>
    </row>
    <row r="2532" spans="1:7">
      <c r="A2532" s="315" t="s">
        <v>434</v>
      </c>
      <c r="B2532" s="315" t="s">
        <v>139</v>
      </c>
      <c r="C2532" s="56">
        <v>46042</v>
      </c>
      <c r="D2532" s="155">
        <v>1277</v>
      </c>
      <c r="F2532" s="1449"/>
      <c r="G2532" t="s">
        <v>2028</v>
      </c>
    </row>
    <row r="2533" spans="1:7">
      <c r="A2533" s="315" t="s">
        <v>314</v>
      </c>
      <c r="B2533" s="315" t="s">
        <v>139</v>
      </c>
      <c r="C2533" s="56">
        <v>46042</v>
      </c>
      <c r="D2533" s="43">
        <v>506</v>
      </c>
      <c r="F2533" s="1449"/>
      <c r="G2533" t="s">
        <v>2028</v>
      </c>
    </row>
    <row r="2534" spans="1:7">
      <c r="A2534" s="311" t="s">
        <v>75</v>
      </c>
      <c r="B2534" s="311" t="s">
        <v>1095</v>
      </c>
      <c r="C2534" s="56">
        <v>46043</v>
      </c>
      <c r="F2534" s="1449"/>
      <c r="G2534" t="s">
        <v>2028</v>
      </c>
    </row>
    <row r="2535" spans="1:7">
      <c r="A2535" s="311" t="s">
        <v>72</v>
      </c>
      <c r="B2535" s="311" t="s">
        <v>60</v>
      </c>
      <c r="C2535" s="56">
        <v>46043</v>
      </c>
      <c r="F2535" s="1449"/>
      <c r="G2535" t="s">
        <v>2028</v>
      </c>
    </row>
    <row r="2536" spans="1:7">
      <c r="A2536" s="311" t="s">
        <v>127</v>
      </c>
      <c r="B2536" s="311" t="s">
        <v>123</v>
      </c>
      <c r="C2536" s="56">
        <v>46043</v>
      </c>
      <c r="F2536" s="1449"/>
      <c r="G2536" t="s">
        <v>2028</v>
      </c>
    </row>
    <row r="2537" spans="1:7">
      <c r="A2537" s="315" t="s">
        <v>122</v>
      </c>
      <c r="B2537" s="315" t="s">
        <v>181</v>
      </c>
      <c r="C2537" s="56">
        <v>46043</v>
      </c>
      <c r="F2537" s="1449"/>
      <c r="G2537" t="s">
        <v>2028</v>
      </c>
    </row>
    <row r="2538" spans="1:7">
      <c r="A2538" s="315" t="s">
        <v>413</v>
      </c>
      <c r="B2538" s="315" t="s">
        <v>1095</v>
      </c>
      <c r="C2538" s="56">
        <v>46043</v>
      </c>
      <c r="F2538" s="1449"/>
      <c r="G2538" t="s">
        <v>2028</v>
      </c>
    </row>
    <row r="2539" spans="1:7">
      <c r="A2539" s="311" t="s">
        <v>1165</v>
      </c>
      <c r="B2539" s="311" t="s">
        <v>60</v>
      </c>
      <c r="C2539" s="56">
        <v>46043</v>
      </c>
      <c r="F2539" s="1449"/>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139</v>
      </c>
      <c r="C2542" s="56">
        <v>46043</v>
      </c>
      <c r="D2542" s="43">
        <v>575</v>
      </c>
      <c r="F2542" s="1449"/>
      <c r="G2542" t="s">
        <v>2028</v>
      </c>
    </row>
    <row r="2543" spans="1:7">
      <c r="A2543" s="315" t="s">
        <v>316</v>
      </c>
      <c r="B2543" s="315" t="s">
        <v>139</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2060</v>
      </c>
      <c r="W2" s="3" t="s">
        <v>2061</v>
      </c>
      <c r="X2" s="3" t="s">
        <v>2061</v>
      </c>
      <c r="Y2" s="3" t="s">
        <v>2061</v>
      </c>
      <c r="Z2" s="3" t="s">
        <v>2061</v>
      </c>
      <c r="AA2" s="8" t="s">
        <v>2062</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2063</v>
      </c>
      <c r="T3" s="19" t="s">
        <v>2064</v>
      </c>
      <c r="U3" s="19" t="s">
        <v>2065</v>
      </c>
      <c r="V3" s="5" t="s">
        <v>2066</v>
      </c>
      <c r="W3" s="5" t="s">
        <v>44</v>
      </c>
      <c r="X3" s="5" t="s">
        <v>43</v>
      </c>
      <c r="Y3" s="5" t="s">
        <v>2067</v>
      </c>
      <c r="Z3" s="5" t="s">
        <v>46</v>
      </c>
      <c r="AA3" s="89" t="s">
        <v>653</v>
      </c>
      <c r="AB3" s="68" t="s">
        <v>48</v>
      </c>
    </row>
    <row r="4" spans="1:30" ht="24.75" customHeight="1" thickBot="1">
      <c r="A4" s="440" t="s">
        <v>2068</v>
      </c>
      <c r="B4" s="440" t="s">
        <v>2069</v>
      </c>
      <c r="C4" s="16">
        <v>45717</v>
      </c>
      <c r="D4" s="63" t="s">
        <v>2070</v>
      </c>
      <c r="E4" s="51">
        <v>45707</v>
      </c>
      <c r="F4" s="51" t="s">
        <v>188</v>
      </c>
      <c r="G4" s="382" t="s">
        <v>2071</v>
      </c>
      <c r="H4" s="97">
        <v>0</v>
      </c>
      <c r="I4" s="105"/>
      <c r="J4" s="76" t="s">
        <v>63</v>
      </c>
      <c r="K4" s="76" t="s">
        <v>2072</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2073</v>
      </c>
    </row>
    <row r="5" spans="1:30" ht="24.75" customHeight="1" thickBot="1">
      <c r="A5" s="440" t="s">
        <v>2074</v>
      </c>
      <c r="B5" s="440" t="s">
        <v>2069</v>
      </c>
      <c r="C5" s="16">
        <v>45717</v>
      </c>
      <c r="D5" s="63" t="s">
        <v>2070</v>
      </c>
      <c r="E5" s="51">
        <v>45707</v>
      </c>
      <c r="F5" s="381" t="s">
        <v>188</v>
      </c>
      <c r="G5" s="382" t="s">
        <v>2075</v>
      </c>
      <c r="H5" s="97">
        <v>0</v>
      </c>
      <c r="I5" s="105"/>
      <c r="J5" s="76" t="s">
        <v>63</v>
      </c>
      <c r="K5" s="76" t="s">
        <v>2072</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2076</v>
      </c>
      <c r="B6" s="440" t="s">
        <v>2069</v>
      </c>
      <c r="C6" s="16">
        <v>45717</v>
      </c>
      <c r="D6" s="63" t="s">
        <v>2070</v>
      </c>
      <c r="E6" s="51">
        <v>45707</v>
      </c>
      <c r="F6" s="381" t="s">
        <v>188</v>
      </c>
      <c r="G6" s="382" t="s">
        <v>2077</v>
      </c>
      <c r="H6" s="97">
        <v>0</v>
      </c>
      <c r="I6" s="105"/>
      <c r="J6" s="76" t="s">
        <v>63</v>
      </c>
      <c r="K6" s="76" t="s">
        <v>2072</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144</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2078</v>
      </c>
      <c r="B8" s="440" t="s">
        <v>2079</v>
      </c>
      <c r="C8" s="16">
        <v>45748</v>
      </c>
      <c r="D8" s="16" t="s">
        <v>2070</v>
      </c>
      <c r="E8" s="94" t="s">
        <v>52</v>
      </c>
      <c r="F8" s="95" t="s">
        <v>52</v>
      </c>
      <c r="G8" s="617" t="s">
        <v>2080</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2081</v>
      </c>
      <c r="AC8" s="435"/>
      <c r="AD8" s="70"/>
    </row>
    <row r="9" spans="1:30" ht="24.75" customHeight="1">
      <c r="A9" s="449" t="s">
        <v>2082</v>
      </c>
      <c r="B9" s="449" t="s">
        <v>2083</v>
      </c>
      <c r="C9" s="23">
        <v>45741</v>
      </c>
      <c r="D9" s="16" t="s">
        <v>2070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2084</v>
      </c>
    </row>
    <row r="10" spans="1:30" ht="24.75" customHeight="1" thickBot="1">
      <c r="A10" s="26" t="s">
        <v>2085</v>
      </c>
      <c r="B10" s="26" t="s">
        <v>2083</v>
      </c>
      <c r="C10" s="27">
        <v>45741</v>
      </c>
      <c r="D10" s="16" t="s">
        <v>2070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2086</v>
      </c>
      <c r="B11" s="36" t="s">
        <v>2083</v>
      </c>
      <c r="C11" s="37">
        <v>45747</v>
      </c>
      <c r="D11" s="16" t="s">
        <v>2070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2087</v>
      </c>
      <c r="B12" s="26" t="s">
        <v>2083</v>
      </c>
      <c r="C12" s="27">
        <v>45741</v>
      </c>
      <c r="D12" s="16" t="s">
        <v>2070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2084</v>
      </c>
    </row>
    <row r="13" spans="1:30" ht="24.75" customHeight="1" thickBot="1">
      <c r="A13" s="26" t="s">
        <v>2088</v>
      </c>
      <c r="B13" s="26" t="s">
        <v>2083</v>
      </c>
      <c r="C13" s="27">
        <v>45741</v>
      </c>
      <c r="D13" s="27" t="s">
        <v>2070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2084</v>
      </c>
    </row>
    <row r="14" spans="1:30" ht="24.75" customHeight="1" thickBot="1">
      <c r="A14" s="26" t="s">
        <v>2089</v>
      </c>
      <c r="B14" s="26" t="s">
        <v>2083</v>
      </c>
      <c r="C14" s="27">
        <v>45747</v>
      </c>
      <c r="D14" s="27" t="s">
        <v>2070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2090</v>
      </c>
      <c r="B15" s="26" t="s">
        <v>2083</v>
      </c>
      <c r="C15" s="27">
        <v>45741</v>
      </c>
      <c r="D15" s="27" t="s">
        <v>2070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2084</v>
      </c>
    </row>
    <row r="16" spans="1:30" ht="24.75" customHeight="1" thickBot="1">
      <c r="A16" s="26" t="s">
        <v>2091</v>
      </c>
      <c r="B16" s="26" t="s">
        <v>2083</v>
      </c>
      <c r="C16" s="27">
        <v>45741</v>
      </c>
      <c r="D16" s="27" t="s">
        <v>2070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2084</v>
      </c>
    </row>
    <row r="17" spans="1:30" ht="24.75" customHeight="1" thickBot="1">
      <c r="A17" s="36" t="s">
        <v>2092</v>
      </c>
      <c r="B17" s="36" t="s">
        <v>2083</v>
      </c>
      <c r="C17" s="37">
        <v>45747</v>
      </c>
      <c r="D17" s="37" t="s">
        <v>2070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2093</v>
      </c>
      <c r="B18" s="374" t="s">
        <v>2083</v>
      </c>
      <c r="C18" s="51">
        <v>45717</v>
      </c>
      <c r="D18" s="27" t="s">
        <v>2070</v>
      </c>
      <c r="E18" s="85">
        <v>45700</v>
      </c>
      <c r="F18" s="51"/>
      <c r="G18" s="51" t="s">
        <v>2094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2084</v>
      </c>
    </row>
    <row r="19" spans="1:30" ht="24.75" customHeight="1" thickBot="1">
      <c r="A19" s="50" t="s">
        <v>2095</v>
      </c>
      <c r="B19" s="26" t="s">
        <v>2083</v>
      </c>
      <c r="C19" s="51">
        <v>45747</v>
      </c>
      <c r="D19" s="27" t="s">
        <v>2070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2096</v>
      </c>
    </row>
    <row r="20" spans="1:30" ht="24.75" customHeight="1" thickBot="1">
      <c r="A20" s="374" t="s">
        <v>2097</v>
      </c>
      <c r="B20" s="374" t="s">
        <v>2083</v>
      </c>
      <c r="C20" s="375">
        <v>45717</v>
      </c>
      <c r="D20" s="27" t="s">
        <v>2070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2084</v>
      </c>
    </row>
    <row r="21" spans="1:30" ht="24.75" customHeight="1" thickBot="1">
      <c r="A21" s="374" t="s">
        <v>2098</v>
      </c>
      <c r="B21" s="112" t="s">
        <v>50</v>
      </c>
      <c r="C21" s="51">
        <v>45717</v>
      </c>
      <c r="D21" s="27" t="s">
        <v>2099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2100</v>
      </c>
      <c r="B22" s="378" t="s">
        <v>50</v>
      </c>
      <c r="C22" s="51">
        <v>45717</v>
      </c>
      <c r="D22" s="51" t="s">
        <v>2099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2101</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2102</v>
      </c>
      <c r="B24" s="378" t="s">
        <v>50</v>
      </c>
      <c r="C24" s="381">
        <v>45688</v>
      </c>
      <c r="D24" s="390" t="s">
        <v>2101</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2103</v>
      </c>
      <c r="B25" s="113" t="s">
        <v>50</v>
      </c>
      <c r="C25" s="51">
        <v>45747</v>
      </c>
      <c r="D25" s="51" t="s">
        <v>2099</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2104</v>
      </c>
    </row>
    <row r="26" spans="1:30" ht="24.75" customHeight="1">
      <c r="A26" s="101" t="s">
        <v>2105</v>
      </c>
      <c r="B26" s="102" t="s">
        <v>50</v>
      </c>
      <c r="C26" s="77">
        <v>45716</v>
      </c>
      <c r="D26" s="26" t="s">
        <v>2101</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2106</v>
      </c>
      <c r="B27" s="102" t="s">
        <v>50</v>
      </c>
      <c r="C27" s="77">
        <v>45716</v>
      </c>
      <c r="D27" s="50" t="s">
        <v>2101</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2107</v>
      </c>
      <c r="B28" s="1107" t="s">
        <v>50</v>
      </c>
      <c r="C28" s="1100">
        <v>45991</v>
      </c>
      <c r="D28" s="375" t="s">
        <v>187</v>
      </c>
      <c r="E28" s="77">
        <v>45734</v>
      </c>
      <c r="F28" s="1098" t="s">
        <v>77</v>
      </c>
      <c r="G28" s="1109" t="s">
        <v>2108</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2109</v>
      </c>
      <c r="B29" s="1107" t="s">
        <v>50</v>
      </c>
      <c r="C29" s="1100">
        <v>46021</v>
      </c>
      <c r="D29" s="375" t="s">
        <v>187</v>
      </c>
      <c r="E29" s="77">
        <v>45743</v>
      </c>
      <c r="F29" s="1098" t="s">
        <v>77</v>
      </c>
      <c r="G29" s="1108" t="s">
        <v>2110</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2111</v>
      </c>
      <c r="AC29" s="1104"/>
      <c r="AD29" s="1106"/>
    </row>
    <row r="30" spans="1:30" ht="24.75" customHeight="1">
      <c r="A30" s="374" t="s">
        <v>2112</v>
      </c>
      <c r="B30" s="666" t="s">
        <v>50</v>
      </c>
      <c r="C30" s="375">
        <v>45991</v>
      </c>
      <c r="D30" s="50" t="s">
        <v>187</v>
      </c>
      <c r="E30" s="51">
        <v>45743</v>
      </c>
      <c r="F30" s="50" t="s">
        <v>77</v>
      </c>
      <c r="G30" s="379" t="s">
        <v>2113</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2114</v>
      </c>
      <c r="AC30" s="333"/>
      <c r="AD30" s="115"/>
    </row>
    <row r="31" spans="1:30" ht="24.75" customHeight="1">
      <c r="A31" s="374" t="s">
        <v>1112</v>
      </c>
      <c r="B31" s="666" t="s">
        <v>50</v>
      </c>
      <c r="C31" s="375">
        <v>46021</v>
      </c>
      <c r="D31" s="375" t="s">
        <v>187</v>
      </c>
      <c r="E31" s="51">
        <v>45735</v>
      </c>
      <c r="F31" s="50" t="s">
        <v>77</v>
      </c>
      <c r="G31" s="667" t="s">
        <v>2115</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2116</v>
      </c>
      <c r="W31" s="34">
        <v>0</v>
      </c>
      <c r="X31" s="34">
        <v>0</v>
      </c>
      <c r="Y31" s="31">
        <v>0</v>
      </c>
      <c r="Z31" s="34">
        <v>0</v>
      </c>
      <c r="AA31" s="31">
        <v>0</v>
      </c>
      <c r="AB31" s="353" t="s">
        <v>2111</v>
      </c>
    </row>
    <row r="32" spans="1:30" ht="24.75" customHeight="1">
      <c r="A32" s="900" t="s">
        <v>2117</v>
      </c>
      <c r="B32" s="1099" t="s">
        <v>50</v>
      </c>
      <c r="C32" s="978">
        <v>45717</v>
      </c>
      <c r="D32" s="978" t="s">
        <v>2099</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2118</v>
      </c>
      <c r="B33" s="982" t="s">
        <v>50</v>
      </c>
      <c r="C33" s="902">
        <v>45989</v>
      </c>
      <c r="D33" s="902" t="s">
        <v>2119</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2120</v>
      </c>
    </row>
    <row r="34" spans="1:30" ht="24.75" customHeight="1">
      <c r="A34" s="900" t="s">
        <v>2121</v>
      </c>
      <c r="B34" s="1099" t="s">
        <v>50</v>
      </c>
      <c r="C34" s="978">
        <v>45717</v>
      </c>
      <c r="D34" s="978" t="s">
        <v>2099</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2122</v>
      </c>
      <c r="B35" s="1099" t="s">
        <v>50</v>
      </c>
      <c r="C35" s="978">
        <v>45717</v>
      </c>
      <c r="D35" s="978" t="s">
        <v>2099</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2123</v>
      </c>
      <c r="B36" s="1099" t="s">
        <v>50</v>
      </c>
      <c r="C36" s="978">
        <v>45717</v>
      </c>
      <c r="D36" s="978" t="s">
        <v>2099</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2124</v>
      </c>
      <c r="Q1" s="159" t="s">
        <v>2125</v>
      </c>
      <c r="R1" s="127" t="s">
        <v>2126</v>
      </c>
      <c r="S1" s="127" t="s">
        <v>2127</v>
      </c>
      <c r="T1" s="159" t="s">
        <v>2128</v>
      </c>
      <c r="U1" s="127" t="s">
        <v>1241</v>
      </c>
      <c r="V1" s="160" t="s">
        <v>2129</v>
      </c>
      <c r="W1" s="160" t="s">
        <v>2130</v>
      </c>
      <c r="X1" s="163" t="s">
        <v>2131</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2132</v>
      </c>
      <c r="B4" s="407" t="s">
        <v>186</v>
      </c>
      <c r="C4" s="408">
        <v>45742</v>
      </c>
      <c r="D4" s="693" t="s">
        <v>2133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2134</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2134</v>
      </c>
      <c r="S7" s="43" t="s">
        <v>345</v>
      </c>
      <c r="T7" s="43" t="s">
        <v>345</v>
      </c>
      <c r="U7" s="43" t="s">
        <v>345</v>
      </c>
      <c r="V7" s="69" t="s">
        <v>83</v>
      </c>
      <c r="W7" s="30"/>
      <c r="X7" s="69" t="s">
        <v>83</v>
      </c>
      <c r="Y7" t="e">
        <f>VLOOKUP(A7,#REF!,2,FALSE)</f>
        <v>#REF!</v>
      </c>
    </row>
    <row r="8" spans="1:25">
      <c r="A8" s="175" t="s">
        <v>537</v>
      </c>
      <c r="B8" s="180" t="s">
        <v>186</v>
      </c>
      <c r="C8" s="176">
        <v>45742</v>
      </c>
      <c r="D8" s="185" t="s">
        <v>2135</v>
      </c>
      <c r="E8" s="120"/>
      <c r="F8" s="108"/>
      <c r="G8" s="108"/>
      <c r="H8" s="179">
        <v>84</v>
      </c>
      <c r="I8" s="181"/>
      <c r="J8" s="185" t="s">
        <v>57</v>
      </c>
      <c r="K8" s="185" t="s">
        <v>57</v>
      </c>
      <c r="L8" s="185" t="s">
        <v>63</v>
      </c>
      <c r="M8" s="193">
        <v>45716</v>
      </c>
      <c r="N8" s="30" t="s">
        <v>345</v>
      </c>
      <c r="O8" s="30" t="s">
        <v>345</v>
      </c>
      <c r="P8" s="708" t="s">
        <v>345</v>
      </c>
      <c r="Q8" s="69" t="s">
        <v>345</v>
      </c>
      <c r="R8" s="43" t="s">
        <v>2134</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2134</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2134</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2134</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2134</v>
      </c>
      <c r="S12" s="43" t="s">
        <v>345</v>
      </c>
      <c r="T12" s="43" t="s">
        <v>345</v>
      </c>
      <c r="U12" s="69" t="s">
        <v>83</v>
      </c>
      <c r="V12" s="69" t="s">
        <v>83</v>
      </c>
      <c r="W12" s="30"/>
      <c r="X12" s="69" t="s">
        <v>83</v>
      </c>
      <c r="Y12" t="e">
        <f>VLOOKUP(A12,#REF!,2,FALSE)</f>
        <v>#REF!</v>
      </c>
    </row>
    <row r="13" spans="1:25">
      <c r="A13" s="178" t="s">
        <v>241</v>
      </c>
      <c r="B13" s="180" t="s">
        <v>186</v>
      </c>
      <c r="C13" s="409">
        <v>45960</v>
      </c>
      <c r="D13" s="418" t="s">
        <v>2136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2137</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2138</v>
      </c>
      <c r="N16" s="30" t="s">
        <v>345</v>
      </c>
      <c r="O16" s="54" t="s">
        <v>2138</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2137</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2137</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2137</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2137</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2137</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2137</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2137</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2134</v>
      </c>
      <c r="S31" s="43" t="s">
        <v>345</v>
      </c>
      <c r="T31" s="139" t="s">
        <v>345</v>
      </c>
      <c r="U31" s="115" t="s">
        <v>345</v>
      </c>
      <c r="V31" s="69" t="s">
        <v>345</v>
      </c>
      <c r="W31" s="54">
        <v>45779</v>
      </c>
      <c r="X31" s="69" t="s">
        <v>2137</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2134</v>
      </c>
      <c r="S32" s="43" t="s">
        <v>345</v>
      </c>
      <c r="T32" s="139" t="s">
        <v>345</v>
      </c>
      <c r="U32" s="43" t="s">
        <v>345</v>
      </c>
      <c r="V32" s="69" t="s">
        <v>345</v>
      </c>
      <c r="W32" s="54">
        <v>45792</v>
      </c>
      <c r="X32" s="69" t="s">
        <v>2137</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2134</v>
      </c>
      <c r="S33" s="43" t="s">
        <v>345</v>
      </c>
      <c r="T33" s="139" t="s">
        <v>345</v>
      </c>
      <c r="U33" s="43" t="s">
        <v>345</v>
      </c>
      <c r="V33" s="334" t="s">
        <v>345</v>
      </c>
      <c r="W33" s="54">
        <v>45812</v>
      </c>
      <c r="X33" s="69" t="s">
        <v>2137</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2134</v>
      </c>
      <c r="S34" s="43" t="s">
        <v>345</v>
      </c>
      <c r="T34" s="139" t="s">
        <v>345</v>
      </c>
      <c r="U34" s="43" t="s">
        <v>345</v>
      </c>
      <c r="V34" s="404" t="s">
        <v>345</v>
      </c>
      <c r="W34" s="166">
        <v>45797</v>
      </c>
      <c r="X34" s="69" t="s">
        <v>2137</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2134</v>
      </c>
      <c r="S35" s="43" t="s">
        <v>345</v>
      </c>
      <c r="T35" s="139" t="s">
        <v>345</v>
      </c>
      <c r="U35" s="169" t="s">
        <v>345</v>
      </c>
      <c r="V35" s="69" t="s">
        <v>345</v>
      </c>
      <c r="W35" s="54">
        <v>45789</v>
      </c>
      <c r="X35" s="334" t="s">
        <v>2137</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2134</v>
      </c>
      <c r="S36" s="43" t="s">
        <v>345</v>
      </c>
      <c r="T36" s="139" t="s">
        <v>345</v>
      </c>
      <c r="U36" s="43" t="s">
        <v>345</v>
      </c>
      <c r="V36" s="69" t="s">
        <v>345</v>
      </c>
      <c r="W36" s="54">
        <v>45824</v>
      </c>
      <c r="X36" s="334" t="s">
        <v>2137</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2134</v>
      </c>
      <c r="S37" s="43" t="s">
        <v>345</v>
      </c>
      <c r="T37" s="43" t="s">
        <v>345</v>
      </c>
      <c r="U37" s="169" t="s">
        <v>345</v>
      </c>
      <c r="V37" s="69" t="s">
        <v>345</v>
      </c>
      <c r="W37" s="156">
        <v>45789</v>
      </c>
      <c r="X37" s="69" t="s">
        <v>2137</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2134</v>
      </c>
      <c r="S38" s="43" t="s">
        <v>345</v>
      </c>
      <c r="T38" s="43" t="s">
        <v>345</v>
      </c>
      <c r="U38" s="169" t="s">
        <v>345</v>
      </c>
      <c r="V38" s="69" t="s">
        <v>345</v>
      </c>
      <c r="W38" s="54">
        <v>45789</v>
      </c>
      <c r="X38" s="69" t="s">
        <v>2137</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2134</v>
      </c>
      <c r="S39" s="43" t="s">
        <v>345</v>
      </c>
      <c r="T39" s="43" t="s">
        <v>345</v>
      </c>
      <c r="U39" s="169" t="s">
        <v>345</v>
      </c>
      <c r="V39" s="69" t="s">
        <v>345</v>
      </c>
      <c r="W39" s="54">
        <v>45789</v>
      </c>
      <c r="X39" s="69" t="s">
        <v>2137</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2137</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2137</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2137</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2137</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2137</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2137</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2137</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2137</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2137</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2137</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2137</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2137</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2134</v>
      </c>
      <c r="S57" s="43" t="s">
        <v>345</v>
      </c>
      <c r="T57" s="43" t="s">
        <v>345</v>
      </c>
      <c r="U57" s="43" t="s">
        <v>345</v>
      </c>
      <c r="V57" s="69" t="s">
        <v>345</v>
      </c>
      <c r="W57" s="54">
        <v>45813</v>
      </c>
      <c r="X57" s="69" t="s">
        <v>2137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2134</v>
      </c>
      <c r="S58" s="43" t="s">
        <v>345</v>
      </c>
      <c r="T58" s="43" t="s">
        <v>345</v>
      </c>
      <c r="U58" s="43" t="s">
        <v>345</v>
      </c>
      <c r="V58" s="334" t="s">
        <v>345</v>
      </c>
      <c r="W58" s="54">
        <v>45796</v>
      </c>
      <c r="X58" s="69" t="s">
        <v>2137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2116</v>
      </c>
      <c r="P59" s="328" t="s">
        <v>345</v>
      </c>
      <c r="Q59" s="43" t="s">
        <v>345</v>
      </c>
      <c r="R59" s="43" t="s">
        <v>2134</v>
      </c>
      <c r="S59" s="43" t="s">
        <v>345</v>
      </c>
      <c r="T59" s="43" t="s">
        <v>345</v>
      </c>
      <c r="U59" s="43" t="s">
        <v>345</v>
      </c>
      <c r="V59" s="334" t="s">
        <v>345</v>
      </c>
      <c r="W59" s="54">
        <v>45796</v>
      </c>
      <c r="X59" s="69" t="s">
        <v>2137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2134</v>
      </c>
      <c r="S60" s="43" t="s">
        <v>345</v>
      </c>
      <c r="T60" s="43" t="s">
        <v>345</v>
      </c>
      <c r="U60" s="43" t="s">
        <v>345</v>
      </c>
      <c r="V60" s="334" t="s">
        <v>345</v>
      </c>
      <c r="W60" s="54">
        <v>45824</v>
      </c>
      <c r="X60" s="69" t="s">
        <v>2137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2139</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2134</v>
      </c>
      <c r="S81" s="43" t="s">
        <v>345</v>
      </c>
      <c r="T81" s="43" t="s">
        <v>345</v>
      </c>
      <c r="U81" s="115" t="s">
        <v>345</v>
      </c>
      <c r="V81" s="69" t="s">
        <v>345</v>
      </c>
      <c r="W81" s="54">
        <v>45789</v>
      </c>
      <c r="X81" s="69" t="s">
        <v>2137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2134</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2134</v>
      </c>
      <c r="S84" s="169" t="s">
        <v>345</v>
      </c>
      <c r="T84" s="169" t="s">
        <v>345</v>
      </c>
      <c r="U84" s="91" t="s">
        <v>345</v>
      </c>
      <c r="V84" s="69" t="s">
        <v>345</v>
      </c>
      <c r="W84" s="195">
        <v>45875</v>
      </c>
      <c r="X84" s="69" t="s">
        <v>2137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2134</v>
      </c>
      <c r="S85" s="169" t="s">
        <v>345</v>
      </c>
      <c r="T85" s="169" t="s">
        <v>345</v>
      </c>
      <c r="U85" s="91" t="s">
        <v>345</v>
      </c>
      <c r="V85" s="91" t="s">
        <v>345</v>
      </c>
      <c r="W85" s="195">
        <v>45874</v>
      </c>
      <c r="X85" s="69" t="s">
        <v>2137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2134</v>
      </c>
      <c r="S86" s="43" t="s">
        <v>345</v>
      </c>
      <c r="T86" s="43" t="s">
        <v>345</v>
      </c>
      <c r="U86" s="69" t="s">
        <v>345</v>
      </c>
      <c r="V86" s="69" t="s">
        <v>345</v>
      </c>
      <c r="W86" s="54">
        <v>45824</v>
      </c>
      <c r="X86" s="69" t="s">
        <v>2137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2134</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2134</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2134</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2134</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2134</v>
      </c>
      <c r="S91" s="69" t="s">
        <v>345</v>
      </c>
      <c r="T91" s="69" t="s">
        <v>345</v>
      </c>
      <c r="U91" s="69" t="s">
        <v>345</v>
      </c>
      <c r="V91" s="69" t="s">
        <v>345</v>
      </c>
      <c r="W91" s="54">
        <v>45831</v>
      </c>
      <c r="X91" s="69" t="s">
        <v>2137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2134</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2134</v>
      </c>
      <c r="S93" s="43" t="s">
        <v>345</v>
      </c>
      <c r="T93" s="43" t="s">
        <v>345</v>
      </c>
      <c r="U93" s="334" t="s">
        <v>345</v>
      </c>
      <c r="V93" s="69" t="s">
        <v>345</v>
      </c>
      <c r="W93" s="54">
        <v>45789</v>
      </c>
      <c r="X93" s="69" t="s">
        <v>2137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2134</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2134</v>
      </c>
      <c r="S95" s="69" t="s">
        <v>345</v>
      </c>
      <c r="T95" s="43" t="s">
        <v>345</v>
      </c>
      <c r="U95" s="69" t="s">
        <v>345</v>
      </c>
      <c r="V95" s="69" t="s">
        <v>345</v>
      </c>
      <c r="W95" s="54">
        <v>45814</v>
      </c>
      <c r="X95" s="69" t="s">
        <v>2137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2134</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2134</v>
      </c>
      <c r="S97" s="69" t="s">
        <v>345</v>
      </c>
      <c r="T97" s="69" t="s">
        <v>345</v>
      </c>
      <c r="U97" s="69" t="s">
        <v>345</v>
      </c>
      <c r="V97" s="43" t="s">
        <v>345</v>
      </c>
      <c r="W97" s="54">
        <v>45824</v>
      </c>
      <c r="X97" s="69" t="s">
        <v>2137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2134</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2134</v>
      </c>
      <c r="S99" s="43" t="s">
        <v>345</v>
      </c>
      <c r="T99" s="115" t="s">
        <v>345</v>
      </c>
      <c r="U99" s="148" t="s">
        <v>345</v>
      </c>
      <c r="V99" s="69" t="s">
        <v>345</v>
      </c>
      <c r="W99" s="54">
        <v>45814</v>
      </c>
      <c r="X99" s="69" t="s">
        <v>2137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2134</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2134</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2134</v>
      </c>
      <c r="S102" s="43" t="s">
        <v>345</v>
      </c>
      <c r="T102" s="43" t="s">
        <v>345</v>
      </c>
      <c r="U102" s="43" t="s">
        <v>345</v>
      </c>
      <c r="V102" s="165" t="s">
        <v>345</v>
      </c>
      <c r="W102" s="54">
        <v>45835</v>
      </c>
      <c r="X102" s="69" t="s">
        <v>2137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2134</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2134</v>
      </c>
      <c r="S104" s="43" t="s">
        <v>345</v>
      </c>
      <c r="T104" s="43" t="s">
        <v>345</v>
      </c>
      <c r="U104" s="43" t="s">
        <v>345</v>
      </c>
      <c r="V104" s="139" t="s">
        <v>345</v>
      </c>
      <c r="W104" s="54">
        <v>45820</v>
      </c>
      <c r="X104" s="69" t="s">
        <v>2137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2134</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2134</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2134</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2134</v>
      </c>
      <c r="S108" s="43" t="s">
        <v>345</v>
      </c>
      <c r="T108" s="43" t="s">
        <v>345</v>
      </c>
      <c r="U108" s="88" t="s">
        <v>345</v>
      </c>
      <c r="V108" s="481" t="s">
        <v>345</v>
      </c>
      <c r="W108" s="356">
        <v>45798</v>
      </c>
      <c r="X108" s="69" t="s">
        <v>2137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2134</v>
      </c>
      <c r="S109" s="43" t="s">
        <v>345</v>
      </c>
      <c r="T109" s="43" t="s">
        <v>345</v>
      </c>
      <c r="U109" s="43" t="s">
        <v>2140</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2134</v>
      </c>
      <c r="S110" s="43" t="s">
        <v>345</v>
      </c>
      <c r="T110" s="43" t="s">
        <v>345</v>
      </c>
      <c r="U110" s="88" t="s">
        <v>345</v>
      </c>
      <c r="V110" s="481" t="s">
        <v>345</v>
      </c>
      <c r="W110" s="356">
        <v>45902</v>
      </c>
      <c r="X110" s="69" t="s">
        <v>2137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2134</v>
      </c>
      <c r="S111" s="43" t="s">
        <v>345</v>
      </c>
      <c r="T111" s="43" t="s">
        <v>345</v>
      </c>
      <c r="U111" s="43" t="s">
        <v>345</v>
      </c>
      <c r="V111" s="201" t="s">
        <v>345</v>
      </c>
      <c r="W111" s="166">
        <v>45790</v>
      </c>
      <c r="X111" s="69" t="s">
        <v>2137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2134</v>
      </c>
      <c r="S112" s="43" t="s">
        <v>345</v>
      </c>
      <c r="T112" s="43" t="s">
        <v>345</v>
      </c>
      <c r="U112" s="43" t="s">
        <v>345</v>
      </c>
      <c r="V112" s="201" t="s">
        <v>345</v>
      </c>
      <c r="W112" s="479">
        <v>45791</v>
      </c>
      <c r="X112" s="69" t="s">
        <v>2137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2134</v>
      </c>
      <c r="S113" s="115" t="s">
        <v>345</v>
      </c>
      <c r="T113" s="43" t="s">
        <v>345</v>
      </c>
      <c r="U113" s="43" t="s">
        <v>345</v>
      </c>
      <c r="V113" s="201" t="s">
        <v>345</v>
      </c>
      <c r="W113" s="479">
        <v>45791</v>
      </c>
      <c r="X113" s="148" t="s">
        <v>2137</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2134</v>
      </c>
      <c r="S114" s="115" t="s">
        <v>345</v>
      </c>
      <c r="T114" s="43" t="s">
        <v>345</v>
      </c>
      <c r="U114" s="157" t="s">
        <v>345</v>
      </c>
      <c r="V114" s="201" t="s">
        <v>345</v>
      </c>
      <c r="W114" s="54">
        <v>45798</v>
      </c>
      <c r="X114" s="69" t="s">
        <v>2137</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2134</v>
      </c>
      <c r="S115" s="43" t="s">
        <v>345</v>
      </c>
      <c r="T115" s="43" t="s">
        <v>345</v>
      </c>
      <c r="U115" s="43" t="s">
        <v>345</v>
      </c>
      <c r="V115" s="88" t="s">
        <v>345</v>
      </c>
      <c r="W115" s="54">
        <v>45814</v>
      </c>
      <c r="X115" s="69" t="s">
        <v>2137</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2134</v>
      </c>
      <c r="S116" s="43" t="s">
        <v>345</v>
      </c>
      <c r="T116" s="43" t="s">
        <v>345</v>
      </c>
      <c r="U116" s="43" t="s">
        <v>345</v>
      </c>
      <c r="V116" s="481" t="s">
        <v>345</v>
      </c>
      <c r="W116" s="54">
        <v>45807</v>
      </c>
      <c r="X116" s="69" t="s">
        <v>2137</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2134</v>
      </c>
      <c r="S117" s="43" t="s">
        <v>345</v>
      </c>
      <c r="T117" s="43" t="s">
        <v>345</v>
      </c>
      <c r="U117" s="43" t="s">
        <v>345</v>
      </c>
      <c r="V117" s="88" t="s">
        <v>345</v>
      </c>
      <c r="W117" s="54">
        <v>45811</v>
      </c>
      <c r="X117" s="69" t="s">
        <v>2137</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2134</v>
      </c>
      <c r="S118" s="43" t="s">
        <v>345</v>
      </c>
      <c r="T118" s="43" t="s">
        <v>345</v>
      </c>
      <c r="U118" s="157" t="s">
        <v>345</v>
      </c>
      <c r="V118" s="88" t="s">
        <v>345</v>
      </c>
      <c r="W118" s="54">
        <v>45810</v>
      </c>
      <c r="X118" s="69" t="s">
        <v>2137</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2134</v>
      </c>
      <c r="S119" s="43" t="s">
        <v>345</v>
      </c>
      <c r="T119" s="43" t="s">
        <v>345</v>
      </c>
      <c r="U119" s="157" t="s">
        <v>345</v>
      </c>
      <c r="V119" s="88" t="s">
        <v>345</v>
      </c>
      <c r="W119" s="54">
        <v>45813</v>
      </c>
      <c r="X119" s="69" t="s">
        <v>2137</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2134</v>
      </c>
      <c r="S120" s="43" t="s">
        <v>345</v>
      </c>
      <c r="T120" s="43" t="s">
        <v>345</v>
      </c>
      <c r="U120" s="43" t="s">
        <v>345</v>
      </c>
      <c r="V120" s="88" t="s">
        <v>345</v>
      </c>
      <c r="W120" s="54">
        <v>45811</v>
      </c>
      <c r="X120" s="69" t="s">
        <v>2137</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2134</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2134</v>
      </c>
      <c r="S122" s="43" t="s">
        <v>345</v>
      </c>
      <c r="T122" s="43" t="s">
        <v>345</v>
      </c>
      <c r="U122" s="157" t="s">
        <v>345</v>
      </c>
      <c r="V122" s="157" t="s">
        <v>345</v>
      </c>
      <c r="W122" s="54">
        <v>45789</v>
      </c>
      <c r="X122" s="69" t="s">
        <v>2137</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2134</v>
      </c>
      <c r="S123" s="43" t="s">
        <v>345</v>
      </c>
      <c r="T123" s="43" t="s">
        <v>345</v>
      </c>
      <c r="U123" s="43" t="s">
        <v>345</v>
      </c>
      <c r="V123" s="69" t="s">
        <v>345</v>
      </c>
      <c r="W123" s="54">
        <v>45811</v>
      </c>
      <c r="X123" s="69" t="s">
        <v>2137</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2134</v>
      </c>
      <c r="S124" s="43" t="s">
        <v>345</v>
      </c>
      <c r="T124" s="43" t="s">
        <v>345</v>
      </c>
      <c r="U124" s="43" t="s">
        <v>2140</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2134</v>
      </c>
      <c r="S125" s="43" t="s">
        <v>345</v>
      </c>
      <c r="T125" s="43" t="s">
        <v>345</v>
      </c>
      <c r="U125" s="43" t="s">
        <v>345</v>
      </c>
      <c r="V125" s="43" t="s">
        <v>345</v>
      </c>
      <c r="W125" s="54">
        <v>45814</v>
      </c>
      <c r="X125" s="69" t="s">
        <v>2137</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2134</v>
      </c>
      <c r="S126" s="43" t="s">
        <v>345</v>
      </c>
      <c r="T126" s="43" t="s">
        <v>345</v>
      </c>
      <c r="U126" s="43" t="s">
        <v>345</v>
      </c>
      <c r="V126" s="88" t="s">
        <v>345</v>
      </c>
      <c r="W126" s="54">
        <v>45819</v>
      </c>
      <c r="X126" s="69" t="s">
        <v>2137</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2134</v>
      </c>
      <c r="S127" s="43" t="s">
        <v>345</v>
      </c>
      <c r="T127" s="43" t="s">
        <v>345</v>
      </c>
      <c r="U127" s="43" t="s">
        <v>345</v>
      </c>
      <c r="V127" s="88" t="s">
        <v>345</v>
      </c>
      <c r="W127" s="54">
        <v>45812</v>
      </c>
      <c r="X127" s="69" t="s">
        <v>2137</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2134</v>
      </c>
      <c r="S128" s="43" t="s">
        <v>345</v>
      </c>
      <c r="T128" s="43" t="s">
        <v>345</v>
      </c>
      <c r="U128" s="43" t="s">
        <v>345</v>
      </c>
      <c r="V128" s="88" t="s">
        <v>345</v>
      </c>
      <c r="W128" s="166">
        <v>45883</v>
      </c>
      <c r="X128" s="69" t="s">
        <v>2137</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2134</v>
      </c>
      <c r="S129" s="43" t="s">
        <v>345</v>
      </c>
      <c r="T129" s="115" t="s">
        <v>345</v>
      </c>
      <c r="U129" s="115" t="s">
        <v>345</v>
      </c>
      <c r="V129" s="88" t="s">
        <v>345</v>
      </c>
      <c r="W129" s="166">
        <v>45814</v>
      </c>
      <c r="X129" s="69" t="s">
        <v>2137</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2134</v>
      </c>
      <c r="S130" s="43" t="s">
        <v>345</v>
      </c>
      <c r="T130" s="43" t="s">
        <v>345</v>
      </c>
      <c r="U130" s="43" t="s">
        <v>345</v>
      </c>
      <c r="V130" s="88" t="s">
        <v>345</v>
      </c>
      <c r="W130" s="54">
        <v>45798</v>
      </c>
      <c r="X130" s="69" t="s">
        <v>2137</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2134</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2134</v>
      </c>
      <c r="S132" s="43" t="s">
        <v>345</v>
      </c>
      <c r="T132" s="43" t="s">
        <v>345</v>
      </c>
      <c r="U132" s="43" t="s">
        <v>345</v>
      </c>
      <c r="V132" s="43" t="s">
        <v>345</v>
      </c>
      <c r="W132" s="54">
        <v>45820</v>
      </c>
      <c r="X132" s="69" t="s">
        <v>2137</v>
      </c>
      <c r="Y132" t="e">
        <f>VLOOKUP(A132,#REF!,2,FALSE)</f>
        <v>#REF!</v>
      </c>
    </row>
    <row r="133" spans="1:25" ht="15" customHeight="1">
      <c r="A133" s="358" t="s">
        <v>916</v>
      </c>
      <c r="B133" s="406" t="s">
        <v>50</v>
      </c>
      <c r="C133" s="367">
        <v>45742</v>
      </c>
      <c r="D133" s="419" t="s">
        <v>2141</v>
      </c>
      <c r="E133" s="361"/>
      <c r="F133" s="361"/>
      <c r="G133" s="361"/>
      <c r="H133" s="361">
        <v>38</v>
      </c>
      <c r="I133" s="360"/>
      <c r="J133" s="361" t="s">
        <v>57</v>
      </c>
      <c r="K133" s="361" t="s">
        <v>57</v>
      </c>
      <c r="L133" s="361" t="s">
        <v>63</v>
      </c>
      <c r="M133" s="49" t="s">
        <v>345</v>
      </c>
      <c r="N133" s="49" t="s">
        <v>345</v>
      </c>
      <c r="O133" s="54">
        <v>45701</v>
      </c>
      <c r="P133" s="30" t="s">
        <v>345</v>
      </c>
      <c r="Q133" s="69" t="s">
        <v>345</v>
      </c>
      <c r="R133" s="43" t="s">
        <v>2134</v>
      </c>
      <c r="S133" s="43" t="s">
        <v>345</v>
      </c>
      <c r="T133" s="43" t="s">
        <v>345</v>
      </c>
      <c r="U133" s="43" t="s">
        <v>345</v>
      </c>
      <c r="V133" s="69" t="s">
        <v>345</v>
      </c>
      <c r="W133" s="54">
        <v>45821</v>
      </c>
      <c r="X133" s="69" t="s">
        <v>2137</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2134</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2134</v>
      </c>
      <c r="S135" s="43" t="s">
        <v>345</v>
      </c>
      <c r="T135" s="43" t="s">
        <v>345</v>
      </c>
      <c r="U135" s="157" t="s">
        <v>345</v>
      </c>
      <c r="V135" s="43" t="s">
        <v>345</v>
      </c>
      <c r="W135" s="54">
        <v>45819</v>
      </c>
      <c r="X135" s="69" t="s">
        <v>2137</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2134</v>
      </c>
      <c r="S136" s="43" t="s">
        <v>345</v>
      </c>
      <c r="T136" s="43" t="s">
        <v>345</v>
      </c>
      <c r="U136" s="43" t="s">
        <v>345</v>
      </c>
      <c r="V136" s="43" t="s">
        <v>345</v>
      </c>
      <c r="W136" s="54">
        <v>45791</v>
      </c>
      <c r="X136" s="69" t="s">
        <v>2137</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2134</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2134</v>
      </c>
      <c r="S138" s="43" t="s">
        <v>345</v>
      </c>
      <c r="T138" s="43" t="s">
        <v>345</v>
      </c>
      <c r="U138" s="43" t="s">
        <v>345</v>
      </c>
      <c r="V138" s="43" t="s">
        <v>345</v>
      </c>
      <c r="W138" s="54">
        <v>45790</v>
      </c>
      <c r="X138" s="69" t="s">
        <v>2137</v>
      </c>
      <c r="Y138" t="e">
        <f>VLOOKUP(A138,#REF!,2,FALSE)</f>
        <v>#REF!</v>
      </c>
    </row>
    <row r="139" spans="1:25" ht="15" customHeight="1">
      <c r="A139" s="358" t="s">
        <v>2142</v>
      </c>
      <c r="B139" s="182" t="s">
        <v>50</v>
      </c>
      <c r="C139" s="408">
        <v>45742</v>
      </c>
      <c r="D139" s="361" t="s">
        <v>2143</v>
      </c>
      <c r="E139" s="520"/>
      <c r="F139" s="361"/>
      <c r="G139" s="361"/>
      <c r="H139" s="361">
        <v>87</v>
      </c>
      <c r="I139" s="360"/>
      <c r="J139" s="361" t="s">
        <v>57</v>
      </c>
      <c r="K139" s="361" t="s">
        <v>57</v>
      </c>
      <c r="L139" s="361" t="s">
        <v>63</v>
      </c>
      <c r="M139" s="49" t="s">
        <v>345</v>
      </c>
      <c r="N139" s="30" t="s">
        <v>345</v>
      </c>
      <c r="O139" s="30" t="s">
        <v>345</v>
      </c>
      <c r="P139" s="30" t="s">
        <v>345</v>
      </c>
      <c r="Q139" s="43" t="s">
        <v>345</v>
      </c>
      <c r="R139" s="43" t="s">
        <v>2134</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2134</v>
      </c>
      <c r="S140" s="43" t="s">
        <v>345</v>
      </c>
      <c r="T140" s="43" t="s">
        <v>345</v>
      </c>
      <c r="U140" s="88" t="s">
        <v>345</v>
      </c>
      <c r="V140" s="69" t="s">
        <v>345</v>
      </c>
      <c r="W140" s="54">
        <v>45819</v>
      </c>
      <c r="X140" s="69" t="s">
        <v>2137</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2134</v>
      </c>
      <c r="S141" s="43" t="s">
        <v>345</v>
      </c>
      <c r="T141" s="43" t="s">
        <v>345</v>
      </c>
      <c r="U141" s="88" t="s">
        <v>345</v>
      </c>
      <c r="V141" s="88" t="s">
        <v>345</v>
      </c>
      <c r="W141" s="54">
        <v>45811</v>
      </c>
      <c r="X141" s="69" t="s">
        <v>2137</v>
      </c>
      <c r="Y141" t="e">
        <f>VLOOKUP(A141,#REF!,2,FALSE)</f>
        <v>#REF!</v>
      </c>
    </row>
    <row r="142" spans="1:25" ht="15" customHeight="1">
      <c r="A142" s="358" t="s">
        <v>2144</v>
      </c>
      <c r="B142" s="406" t="s">
        <v>50</v>
      </c>
      <c r="C142" s="408">
        <v>45742</v>
      </c>
      <c r="D142" s="361" t="s">
        <v>2145</v>
      </c>
      <c r="E142" s="520"/>
      <c r="F142" s="361"/>
      <c r="G142" s="361"/>
      <c r="H142" s="361">
        <v>87</v>
      </c>
      <c r="I142" s="360"/>
      <c r="J142" s="361" t="s">
        <v>57</v>
      </c>
      <c r="K142" s="361" t="s">
        <v>57</v>
      </c>
      <c r="L142" s="361" t="s">
        <v>63</v>
      </c>
      <c r="M142" s="49" t="s">
        <v>345</v>
      </c>
      <c r="N142" s="49" t="s">
        <v>345</v>
      </c>
      <c r="O142" s="195">
        <v>45691</v>
      </c>
      <c r="P142" s="30" t="s">
        <v>345</v>
      </c>
      <c r="Q142" s="69" t="s">
        <v>345</v>
      </c>
      <c r="R142" s="43" t="s">
        <v>2134</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2134</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2137</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2107</v>
      </c>
      <c r="B146" s="406" t="s">
        <v>50</v>
      </c>
      <c r="C146" s="359">
        <v>45991</v>
      </c>
      <c r="D146" s="418" t="s">
        <v>2108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2110</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2146</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2134</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2134</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2134</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2134</v>
      </c>
      <c r="S153" s="43" t="s">
        <v>345</v>
      </c>
      <c r="T153" s="157" t="s">
        <v>345</v>
      </c>
      <c r="U153" s="157" t="s">
        <v>345</v>
      </c>
      <c r="V153" s="43" t="s">
        <v>345</v>
      </c>
      <c r="W153" s="54">
        <v>45807</v>
      </c>
      <c r="X153" s="69" t="s">
        <v>2137</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2134</v>
      </c>
      <c r="S154" s="43" t="s">
        <v>345</v>
      </c>
      <c r="T154" s="157" t="s">
        <v>345</v>
      </c>
      <c r="U154" s="157" t="s">
        <v>345</v>
      </c>
      <c r="V154" s="43" t="s">
        <v>345</v>
      </c>
      <c r="W154" s="166">
        <v>45792</v>
      </c>
      <c r="X154" s="148" t="s">
        <v>2137</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2134</v>
      </c>
      <c r="S155" s="43" t="s">
        <v>345</v>
      </c>
      <c r="T155" s="43" t="s">
        <v>345</v>
      </c>
      <c r="U155" s="157" t="s">
        <v>345</v>
      </c>
      <c r="V155" s="43" t="s">
        <v>345</v>
      </c>
      <c r="W155" s="356">
        <v>45821</v>
      </c>
      <c r="X155" s="69" t="s">
        <v>2137</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2134</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2115</v>
      </c>
      <c r="E157" s="701"/>
      <c r="F157" s="419"/>
      <c r="G157" s="419"/>
      <c r="H157" s="419">
        <v>79</v>
      </c>
      <c r="I157" s="360"/>
      <c r="J157" s="361" t="s">
        <v>57</v>
      </c>
      <c r="K157" s="550" t="s">
        <v>57</v>
      </c>
      <c r="L157" s="361" t="s">
        <v>63</v>
      </c>
      <c r="M157" s="195">
        <v>45735</v>
      </c>
      <c r="N157" s="30" t="s">
        <v>64</v>
      </c>
      <c r="O157" s="54">
        <v>45737</v>
      </c>
      <c r="P157" s="49" t="s">
        <v>64</v>
      </c>
      <c r="Q157" s="69" t="s">
        <v>64</v>
      </c>
      <c r="R157" s="69" t="s">
        <v>2134</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2134</v>
      </c>
      <c r="S158" s="43" t="s">
        <v>345</v>
      </c>
      <c r="T158" s="43" t="s">
        <v>345</v>
      </c>
      <c r="U158" s="157" t="s">
        <v>345</v>
      </c>
      <c r="V158" s="157" t="s">
        <v>345</v>
      </c>
      <c r="W158" s="356">
        <v>45817</v>
      </c>
      <c r="X158" s="69" t="s">
        <v>2137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2137</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2137</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2137</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2137</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2137</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2" t="s">
        <v>2147</v>
      </c>
      <c r="C1" s="1492"/>
      <c r="D1" s="555"/>
      <c r="E1" s="1492" t="s">
        <v>2148</v>
      </c>
      <c r="F1" s="1492"/>
    </row>
    <row r="2" spans="1:25">
      <c r="B2" s="44" t="s">
        <v>2149</v>
      </c>
      <c r="E2" s="44" t="s">
        <v>22</v>
      </c>
      <c r="F2" t="s">
        <v>1083</v>
      </c>
      <c r="P2" s="44" t="s">
        <v>27</v>
      </c>
      <c r="Q2" t="s">
        <v>2150</v>
      </c>
    </row>
    <row r="3" spans="1:25">
      <c r="B3" s="44" t="s">
        <v>22</v>
      </c>
      <c r="C3" t="s">
        <v>1089</v>
      </c>
      <c r="K3" s="44" t="s">
        <v>2151</v>
      </c>
      <c r="L3" t="s">
        <v>2152</v>
      </c>
      <c r="P3" s="44" t="s">
        <v>2151</v>
      </c>
      <c r="Q3" t="s">
        <v>2152</v>
      </c>
    </row>
    <row r="4" spans="1:25">
      <c r="B4" t="s">
        <v>139</v>
      </c>
      <c r="C4">
        <v>44534</v>
      </c>
      <c r="E4" s="44" t="s">
        <v>2149</v>
      </c>
      <c r="F4" t="s">
        <v>1089</v>
      </c>
      <c r="W4" t="s">
        <v>2153</v>
      </c>
      <c r="X4">
        <v>22</v>
      </c>
    </row>
    <row r="5" spans="1:25">
      <c r="B5" t="s">
        <v>187</v>
      </c>
      <c r="C5">
        <v>17860</v>
      </c>
      <c r="E5" t="s">
        <v>1089</v>
      </c>
      <c r="F5">
        <v>108083</v>
      </c>
      <c r="K5" s="44" t="s">
        <v>2154</v>
      </c>
      <c r="P5" s="44" t="s">
        <v>2154</v>
      </c>
      <c r="W5" t="s">
        <v>2155</v>
      </c>
      <c r="X5">
        <v>13</v>
      </c>
    </row>
    <row r="6" spans="1:25">
      <c r="B6" t="s">
        <v>1116</v>
      </c>
      <c r="C6">
        <v>187464</v>
      </c>
      <c r="K6" s="44" t="s">
        <v>27</v>
      </c>
      <c r="L6" s="44" t="s">
        <v>2156</v>
      </c>
      <c r="M6" t="s">
        <v>1089</v>
      </c>
      <c r="P6" s="44" t="s">
        <v>2157</v>
      </c>
      <c r="Q6" s="44" t="s">
        <v>2156</v>
      </c>
      <c r="R6" t="s">
        <v>1089</v>
      </c>
    </row>
    <row r="7" spans="1:25">
      <c r="B7" t="s">
        <v>51</v>
      </c>
      <c r="C7">
        <v>446</v>
      </c>
      <c r="K7" t="s">
        <v>2150</v>
      </c>
      <c r="L7" t="s">
        <v>666</v>
      </c>
      <c r="M7">
        <v>1</v>
      </c>
      <c r="P7" t="s">
        <v>2158</v>
      </c>
      <c r="R7">
        <v>1</v>
      </c>
      <c r="X7" t="s">
        <v>2159</v>
      </c>
      <c r="Y7" t="s">
        <v>2160</v>
      </c>
    </row>
    <row r="8" spans="1:25">
      <c r="B8" t="s">
        <v>22</v>
      </c>
      <c r="C8">
        <v>0</v>
      </c>
      <c r="L8" t="s">
        <v>668</v>
      </c>
      <c r="M8">
        <v>1</v>
      </c>
      <c r="P8" t="s">
        <v>2161</v>
      </c>
      <c r="R8">
        <v>1</v>
      </c>
      <c r="V8" t="s">
        <v>2162</v>
      </c>
      <c r="W8" s="257">
        <v>203521</v>
      </c>
      <c r="X8" s="313">
        <f>X5/X4</f>
        <v>0.59090909090909094</v>
      </c>
      <c r="Y8" s="313">
        <f>W9/W8</f>
        <v>0.31446386367991508</v>
      </c>
    </row>
    <row r="9" spans="1:25">
      <c r="B9" t="s">
        <v>198</v>
      </c>
      <c r="C9">
        <v>10811</v>
      </c>
      <c r="L9" t="s">
        <v>2163</v>
      </c>
      <c r="M9">
        <v>1</v>
      </c>
      <c r="P9" t="s">
        <v>2164</v>
      </c>
      <c r="Q9" t="s">
        <v>2163</v>
      </c>
      <c r="R9">
        <v>1</v>
      </c>
      <c r="V9" t="s">
        <v>2165</v>
      </c>
      <c r="W9">
        <v>64000</v>
      </c>
    </row>
    <row r="10" spans="1:25">
      <c r="B10" t="s">
        <v>209</v>
      </c>
      <c r="C10">
        <v>30887</v>
      </c>
      <c r="L10" t="s">
        <v>860</v>
      </c>
      <c r="M10">
        <v>1</v>
      </c>
      <c r="Q10" t="s">
        <v>864</v>
      </c>
      <c r="R10">
        <v>1</v>
      </c>
    </row>
    <row r="11" spans="1:25">
      <c r="B11" t="s">
        <v>181</v>
      </c>
      <c r="C11">
        <v>103</v>
      </c>
      <c r="L11" t="s">
        <v>864</v>
      </c>
      <c r="M11">
        <v>1</v>
      </c>
      <c r="Q11" t="s">
        <v>867</v>
      </c>
      <c r="R11">
        <v>1</v>
      </c>
    </row>
    <row r="12" spans="1:25">
      <c r="B12" t="s">
        <v>123</v>
      </c>
      <c r="C12">
        <v>13766</v>
      </c>
      <c r="L12" t="s">
        <v>867</v>
      </c>
      <c r="M12">
        <v>1</v>
      </c>
      <c r="Q12" t="s">
        <v>2166</v>
      </c>
      <c r="R12">
        <v>1</v>
      </c>
    </row>
    <row r="13" spans="1:25">
      <c r="B13" t="s">
        <v>157</v>
      </c>
      <c r="C13">
        <v>3</v>
      </c>
      <c r="L13" t="s">
        <v>2167</v>
      </c>
      <c r="M13">
        <v>1</v>
      </c>
      <c r="Q13" t="s">
        <v>1043</v>
      </c>
      <c r="R13">
        <v>1</v>
      </c>
    </row>
    <row r="14" spans="1:25">
      <c r="B14" t="s">
        <v>76</v>
      </c>
      <c r="C14">
        <v>831</v>
      </c>
      <c r="L14" t="s">
        <v>881</v>
      </c>
      <c r="M14">
        <v>1</v>
      </c>
      <c r="P14" t="s">
        <v>2168</v>
      </c>
      <c r="R14">
        <v>5</v>
      </c>
    </row>
    <row r="15" spans="1:25">
      <c r="B15" t="s">
        <v>242</v>
      </c>
      <c r="C15">
        <v>8622</v>
      </c>
      <c r="L15" t="s">
        <v>2166</v>
      </c>
      <c r="M15">
        <v>1</v>
      </c>
      <c r="P15" t="s">
        <v>1116</v>
      </c>
      <c r="R15">
        <v>12</v>
      </c>
    </row>
    <row r="16" spans="1:25">
      <c r="B16" t="s">
        <v>269</v>
      </c>
      <c r="C16">
        <v>6160</v>
      </c>
      <c r="L16" t="s">
        <v>883</v>
      </c>
      <c r="M16">
        <v>1</v>
      </c>
      <c r="P16" t="s">
        <v>1086</v>
      </c>
      <c r="R16">
        <v>19</v>
      </c>
    </row>
    <row r="17" spans="2:13">
      <c r="B17" t="s">
        <v>60</v>
      </c>
      <c r="C17">
        <v>22933</v>
      </c>
      <c r="L17" t="s">
        <v>887</v>
      </c>
      <c r="M17">
        <v>1</v>
      </c>
    </row>
    <row r="18" spans="2:13">
      <c r="B18" t="s">
        <v>1086</v>
      </c>
      <c r="C18">
        <v>344420</v>
      </c>
      <c r="L18" t="s">
        <v>889</v>
      </c>
      <c r="M18">
        <v>1</v>
      </c>
    </row>
    <row r="19" spans="2:13">
      <c r="L19" t="s">
        <v>893</v>
      </c>
      <c r="M19">
        <v>1</v>
      </c>
    </row>
    <row r="20" spans="2:13">
      <c r="L20" t="s">
        <v>897</v>
      </c>
      <c r="M20">
        <v>1</v>
      </c>
    </row>
    <row r="21" spans="2:13">
      <c r="L21" t="s">
        <v>2169</v>
      </c>
      <c r="M21">
        <v>1</v>
      </c>
    </row>
    <row r="22" spans="2:13">
      <c r="L22" t="s">
        <v>1043</v>
      </c>
      <c r="M22">
        <v>1</v>
      </c>
    </row>
    <row r="23" spans="2:13">
      <c r="L23" t="s">
        <v>929</v>
      </c>
      <c r="M23">
        <v>1</v>
      </c>
    </row>
    <row r="24" spans="2:13">
      <c r="L24" t="s">
        <v>958</v>
      </c>
      <c r="M24">
        <v>1</v>
      </c>
    </row>
    <row r="25" spans="2:13">
      <c r="L25" t="s">
        <v>153</v>
      </c>
      <c r="M25">
        <v>1</v>
      </c>
    </row>
    <row r="26" spans="2:13">
      <c r="K26" t="s">
        <v>2170</v>
      </c>
      <c r="M26">
        <v>19</v>
      </c>
    </row>
    <row r="27" spans="2:13">
      <c r="K27" t="s">
        <v>2171</v>
      </c>
      <c r="L27" t="s">
        <v>875</v>
      </c>
      <c r="M27">
        <v>1</v>
      </c>
    </row>
    <row r="28" spans="2:13">
      <c r="L28" t="s">
        <v>877</v>
      </c>
      <c r="M28">
        <v>1</v>
      </c>
    </row>
    <row r="29" spans="2:13">
      <c r="L29" t="s">
        <v>879</v>
      </c>
      <c r="M29">
        <v>1</v>
      </c>
    </row>
    <row r="30" spans="2:13">
      <c r="L30" t="s">
        <v>895</v>
      </c>
      <c r="M30">
        <v>1</v>
      </c>
    </row>
    <row r="31" spans="2:13">
      <c r="L31" t="s">
        <v>899</v>
      </c>
      <c r="M31">
        <v>1</v>
      </c>
    </row>
    <row r="32" spans="2:13">
      <c r="L32" t="s">
        <v>2172</v>
      </c>
      <c r="M32">
        <v>1</v>
      </c>
    </row>
    <row r="33" spans="11:13">
      <c r="L33" t="s">
        <v>901</v>
      </c>
      <c r="M33">
        <v>1</v>
      </c>
    </row>
    <row r="34" spans="11:13">
      <c r="L34" t="s">
        <v>932</v>
      </c>
      <c r="M34">
        <v>1</v>
      </c>
    </row>
    <row r="35" spans="11:13">
      <c r="L35" t="s">
        <v>709</v>
      </c>
      <c r="M35">
        <v>1</v>
      </c>
    </row>
    <row r="36" spans="11:13">
      <c r="L36" t="s">
        <v>711</v>
      </c>
      <c r="M36">
        <v>1</v>
      </c>
    </row>
    <row r="37" spans="11:13">
      <c r="L37" t="s">
        <v>715</v>
      </c>
      <c r="M37">
        <v>1</v>
      </c>
    </row>
    <row r="38" spans="11:13">
      <c r="L38" t="s">
        <v>717</v>
      </c>
      <c r="M38">
        <v>1</v>
      </c>
    </row>
    <row r="39" spans="11:13">
      <c r="K39" t="s">
        <v>2173</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2174</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2175</v>
      </c>
      <c r="S2" s="3" t="s">
        <v>2060</v>
      </c>
      <c r="T2" s="264" t="s">
        <v>2061</v>
      </c>
      <c r="U2" s="264" t="s">
        <v>2061</v>
      </c>
      <c r="V2" s="264" t="s">
        <v>2061</v>
      </c>
      <c r="W2" s="264" t="s">
        <v>2061</v>
      </c>
      <c r="X2" s="264" t="s">
        <v>2062</v>
      </c>
      <c r="Y2" s="264" t="s">
        <v>2176</v>
      </c>
    </row>
    <row r="3" spans="1:26" ht="15.75" thickBot="1">
      <c r="A3" s="263" t="s">
        <v>2156</v>
      </c>
      <c r="B3" s="259" t="s">
        <v>20</v>
      </c>
      <c r="C3" s="259" t="s">
        <v>2177</v>
      </c>
      <c r="D3" s="259" t="s">
        <v>26</v>
      </c>
      <c r="E3" s="259" t="s">
        <v>2151</v>
      </c>
      <c r="F3" s="259" t="s">
        <v>2178</v>
      </c>
      <c r="G3" s="259" t="s">
        <v>27</v>
      </c>
      <c r="H3" s="207" t="s">
        <v>28</v>
      </c>
      <c r="I3" s="207" t="s">
        <v>2179</v>
      </c>
      <c r="J3" s="207" t="s">
        <v>2180</v>
      </c>
      <c r="K3" s="207" t="s">
        <v>2181</v>
      </c>
      <c r="L3" s="207" t="s">
        <v>2137</v>
      </c>
      <c r="M3" s="207" t="s">
        <v>2182</v>
      </c>
      <c r="N3" s="207" t="s">
        <v>2183</v>
      </c>
      <c r="O3" s="206" t="s">
        <v>2065</v>
      </c>
      <c r="P3" s="260" t="s">
        <v>2157</v>
      </c>
      <c r="Q3" s="261" t="s">
        <v>34</v>
      </c>
      <c r="R3" s="261" t="s">
        <v>2179</v>
      </c>
      <c r="S3" s="5" t="s">
        <v>2066</v>
      </c>
      <c r="T3" s="261" t="s">
        <v>2184</v>
      </c>
      <c r="U3" s="261" t="s">
        <v>43</v>
      </c>
      <c r="V3" s="261" t="s">
        <v>2067</v>
      </c>
      <c r="W3" s="261" t="s">
        <v>46</v>
      </c>
      <c r="X3" s="261" t="s">
        <v>653</v>
      </c>
      <c r="Y3" s="261" t="s">
        <v>2185</v>
      </c>
      <c r="Z3" s="312" t="s">
        <v>2186</v>
      </c>
    </row>
    <row r="4" spans="1:26" ht="15.75" thickBot="1">
      <c r="A4" s="121" t="s">
        <v>72</v>
      </c>
      <c r="B4" s="102" t="s">
        <v>50</v>
      </c>
      <c r="C4" s="77">
        <v>45807</v>
      </c>
      <c r="D4" s="268"/>
      <c r="E4" s="269" t="s">
        <v>2187</v>
      </c>
      <c r="F4" s="268"/>
      <c r="G4" s="270" t="s">
        <v>2150</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2107</v>
      </c>
      <c r="B5" s="102" t="s">
        <v>50</v>
      </c>
      <c r="C5" s="215">
        <v>45807</v>
      </c>
      <c r="D5" s="268"/>
      <c r="E5" s="269" t="s">
        <v>2187</v>
      </c>
      <c r="F5" s="268"/>
      <c r="G5" s="270" t="s">
        <v>2150</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1113</v>
      </c>
      <c r="B6" s="102" t="s">
        <v>50</v>
      </c>
      <c r="C6" s="215">
        <v>45807</v>
      </c>
      <c r="D6" s="268"/>
      <c r="E6" s="269" t="s">
        <v>2187</v>
      </c>
      <c r="F6" s="268"/>
      <c r="G6" s="270" t="s">
        <v>2150</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1130</v>
      </c>
      <c r="B7" s="102" t="s">
        <v>50</v>
      </c>
      <c r="C7" s="215">
        <v>45807</v>
      </c>
      <c r="D7" s="268"/>
      <c r="E7" s="269" t="s">
        <v>2187</v>
      </c>
      <c r="F7" s="268"/>
      <c r="G7" s="270" t="s">
        <v>2150</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2150</v>
      </c>
      <c r="H8" s="268"/>
      <c r="I8" s="268"/>
      <c r="J8" s="279"/>
      <c r="K8" s="205"/>
      <c r="L8" s="205"/>
      <c r="M8" s="205"/>
      <c r="N8" s="272"/>
      <c r="O8" s="273"/>
      <c r="P8" s="274" t="s">
        <v>2161</v>
      </c>
      <c r="Q8" s="275" t="s">
        <v>2191</v>
      </c>
      <c r="R8" s="131" t="s">
        <v>2192</v>
      </c>
      <c r="S8" s="131"/>
      <c r="T8" s="276"/>
      <c r="U8" s="277"/>
      <c r="V8" s="277"/>
      <c r="W8" s="277"/>
      <c r="X8" s="277"/>
      <c r="Y8" s="277"/>
      <c r="Z8" t="e">
        <f>VLOOKUP(A8,#REF!,9,FALSE)</f>
        <v>#REF!</v>
      </c>
    </row>
    <row r="9" spans="1:26" ht="15.75" thickBot="1">
      <c r="A9" s="121" t="s">
        <v>1138</v>
      </c>
      <c r="B9" s="102" t="s">
        <v>50</v>
      </c>
      <c r="C9" s="215">
        <v>45807</v>
      </c>
      <c r="D9" s="280"/>
      <c r="E9" s="269" t="s">
        <v>2187</v>
      </c>
      <c r="F9" s="280"/>
      <c r="G9" s="281" t="s">
        <v>2150</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1115</v>
      </c>
      <c r="B10" s="102" t="s">
        <v>50</v>
      </c>
      <c r="C10" s="215" t="e">
        <v>#N/A</v>
      </c>
      <c r="D10" s="282"/>
      <c r="E10" s="269" t="s">
        <v>2187</v>
      </c>
      <c r="F10" s="282"/>
      <c r="G10" s="283" t="s">
        <v>2150</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512</v>
      </c>
      <c r="B11" s="102" t="s">
        <v>50</v>
      </c>
      <c r="C11" s="215">
        <v>45807</v>
      </c>
      <c r="D11" s="282"/>
      <c r="E11" s="269" t="s">
        <v>2187</v>
      </c>
      <c r="F11" s="282"/>
      <c r="G11" s="283" t="s">
        <v>2150</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1110</v>
      </c>
      <c r="B12" s="102" t="s">
        <v>50</v>
      </c>
      <c r="C12" s="215" t="e">
        <v>#N/A</v>
      </c>
      <c r="D12" s="282"/>
      <c r="E12" s="269" t="s">
        <v>2187</v>
      </c>
      <c r="F12" s="282"/>
      <c r="G12" s="283" t="s">
        <v>2150</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1136</v>
      </c>
      <c r="B13" s="102" t="s">
        <v>50</v>
      </c>
      <c r="C13" s="215" t="e">
        <v>#N/A</v>
      </c>
      <c r="D13" s="282"/>
      <c r="E13" s="269" t="s">
        <v>2187</v>
      </c>
      <c r="F13" s="282"/>
      <c r="G13" s="283" t="s">
        <v>2150</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508</v>
      </c>
      <c r="B14" s="102" t="s">
        <v>50</v>
      </c>
      <c r="C14" s="215">
        <v>45807</v>
      </c>
      <c r="D14" s="282"/>
      <c r="E14" s="269" t="s">
        <v>2187</v>
      </c>
      <c r="F14" s="282"/>
      <c r="G14" s="283" t="s">
        <v>2150</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1114</v>
      </c>
      <c r="B15" s="102" t="s">
        <v>50</v>
      </c>
      <c r="C15" s="215" t="e">
        <v>#N/A</v>
      </c>
      <c r="D15" s="282"/>
      <c r="E15" s="269" t="s">
        <v>2187</v>
      </c>
      <c r="F15" s="282"/>
      <c r="G15" s="283" t="s">
        <v>2150</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2150</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958</v>
      </c>
      <c r="B17" s="102" t="s">
        <v>50</v>
      </c>
      <c r="C17" s="215" t="e">
        <v>#N/A</v>
      </c>
      <c r="D17" s="282"/>
      <c r="E17" s="269" t="s">
        <v>2152</v>
      </c>
      <c r="F17" s="282"/>
      <c r="G17" s="283" t="s">
        <v>2150</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929</v>
      </c>
      <c r="B18" s="102" t="s">
        <v>50</v>
      </c>
      <c r="C18" s="215">
        <v>45807</v>
      </c>
      <c r="D18" s="282"/>
      <c r="E18" s="269" t="s">
        <v>2152</v>
      </c>
      <c r="F18" s="282"/>
      <c r="G18" s="283" t="s">
        <v>2150</v>
      </c>
      <c r="H18" s="230"/>
      <c r="I18" s="230"/>
      <c r="J18" s="45"/>
      <c r="K18" s="204"/>
      <c r="L18" s="204"/>
      <c r="M18" s="204"/>
      <c r="N18" s="284"/>
      <c r="O18" s="285"/>
      <c r="P18" s="274" t="s">
        <v>2158</v>
      </c>
      <c r="Q18" s="275"/>
      <c r="R18" s="131" t="s">
        <v>2189</v>
      </c>
      <c r="S18" s="131"/>
      <c r="T18" s="276"/>
      <c r="U18" s="277"/>
      <c r="V18" s="277"/>
      <c r="W18" s="277"/>
      <c r="X18" s="277"/>
      <c r="Y18" s="277"/>
      <c r="Z18" t="e">
        <f>VLOOKUP(A18,#REF!,9,FALSE)</f>
        <v>#REF!</v>
      </c>
    </row>
    <row r="19" spans="1:26" ht="15.75" thickBot="1">
      <c r="A19" s="275" t="s">
        <v>932</v>
      </c>
      <c r="B19" s="102" t="s">
        <v>50</v>
      </c>
      <c r="C19" s="215" t="e">
        <v>#N/A</v>
      </c>
      <c r="D19" s="282"/>
      <c r="E19" s="269" t="s">
        <v>2152</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875</v>
      </c>
      <c r="B20" s="102" t="s">
        <v>50</v>
      </c>
      <c r="C20" s="215" t="e">
        <v>#N/A</v>
      </c>
      <c r="D20" s="282"/>
      <c r="E20" s="269" t="s">
        <v>2152</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2167</v>
      </c>
      <c r="B21" s="102" t="e">
        <v>#N/A</v>
      </c>
      <c r="C21" s="231">
        <v>45807</v>
      </c>
      <c r="D21" s="282"/>
      <c r="E21" s="269" t="s">
        <v>2152</v>
      </c>
      <c r="F21" s="282"/>
      <c r="G21" s="283" t="s">
        <v>2150</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877</v>
      </c>
      <c r="B22" s="102" t="s">
        <v>50</v>
      </c>
      <c r="C22" s="215" t="e">
        <v>#N/A</v>
      </c>
      <c r="D22" s="282"/>
      <c r="E22" s="269" t="s">
        <v>2152</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860</v>
      </c>
      <c r="B23" s="102" t="s">
        <v>50</v>
      </c>
      <c r="C23" s="215" t="e">
        <v>#N/A</v>
      </c>
      <c r="D23" s="282"/>
      <c r="E23" s="269" t="s">
        <v>2152</v>
      </c>
      <c r="F23" s="282"/>
      <c r="G23" s="283" t="s">
        <v>2150</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2163</v>
      </c>
      <c r="B24" s="232" t="e">
        <v>#N/A</v>
      </c>
      <c r="C24" s="231">
        <v>45716</v>
      </c>
      <c r="D24" s="282"/>
      <c r="E24" s="269" t="s">
        <v>2152</v>
      </c>
      <c r="F24" s="282"/>
      <c r="G24" s="283" t="s">
        <v>2150</v>
      </c>
      <c r="H24" s="230"/>
      <c r="I24" s="230"/>
      <c r="J24" s="230"/>
      <c r="K24" s="229"/>
      <c r="L24" s="229"/>
      <c r="M24" s="229"/>
      <c r="N24" s="284"/>
      <c r="O24" s="285"/>
      <c r="P24" s="274" t="s">
        <v>2164</v>
      </c>
      <c r="Q24" s="225" t="s">
        <v>64</v>
      </c>
      <c r="R24" s="131" t="s">
        <v>2189</v>
      </c>
      <c r="S24" s="228"/>
      <c r="T24" s="227"/>
      <c r="U24" s="226"/>
      <c r="V24" s="226"/>
      <c r="W24" s="226"/>
      <c r="X24" s="226"/>
      <c r="Y24" s="226" t="s">
        <v>2195</v>
      </c>
      <c r="Z24" t="e">
        <f>VLOOKUP(A24,#REF!,9,FALSE)</f>
        <v>#REF!</v>
      </c>
    </row>
    <row r="25" spans="1:26" ht="15.75" thickBot="1">
      <c r="A25" s="275" t="s">
        <v>864</v>
      </c>
      <c r="B25" s="102" t="s">
        <v>50</v>
      </c>
      <c r="C25" s="215">
        <v>45772</v>
      </c>
      <c r="D25" s="282"/>
      <c r="E25" s="269" t="s">
        <v>2152</v>
      </c>
      <c r="F25" s="282"/>
      <c r="G25" s="283" t="s">
        <v>2150</v>
      </c>
      <c r="H25" s="230"/>
      <c r="I25" s="230"/>
      <c r="J25" s="45"/>
      <c r="K25" s="204"/>
      <c r="L25" s="204"/>
      <c r="M25" s="204"/>
      <c r="N25" s="284"/>
      <c r="O25" s="285"/>
      <c r="P25" s="274" t="s">
        <v>2164</v>
      </c>
      <c r="Q25" s="275" t="s">
        <v>64</v>
      </c>
      <c r="R25" s="131" t="s">
        <v>2189</v>
      </c>
      <c r="S25" s="131"/>
      <c r="T25" s="276"/>
      <c r="U25" s="277"/>
      <c r="V25" s="277"/>
      <c r="W25" s="277"/>
      <c r="X25" s="277"/>
      <c r="Y25" s="277"/>
      <c r="Z25" t="e">
        <f>VLOOKUP(A25,#REF!,9,FALSE)</f>
        <v>#REF!</v>
      </c>
    </row>
    <row r="26" spans="1:26" ht="15.75" thickBot="1">
      <c r="A26" s="275" t="s">
        <v>867</v>
      </c>
      <c r="B26" s="102" t="s">
        <v>50</v>
      </c>
      <c r="C26" s="215">
        <v>45772</v>
      </c>
      <c r="D26" s="282"/>
      <c r="E26" s="269" t="s">
        <v>2152</v>
      </c>
      <c r="F26" s="282"/>
      <c r="G26" s="283" t="s">
        <v>2150</v>
      </c>
      <c r="H26" s="230"/>
      <c r="I26" s="230"/>
      <c r="J26" s="45"/>
      <c r="K26" s="204"/>
      <c r="L26" s="204"/>
      <c r="M26" s="204"/>
      <c r="N26" s="284"/>
      <c r="O26" s="285"/>
      <c r="P26" s="274" t="s">
        <v>2164</v>
      </c>
      <c r="Q26" s="275" t="s">
        <v>64</v>
      </c>
      <c r="R26" s="131" t="s">
        <v>2189</v>
      </c>
      <c r="S26" s="131"/>
      <c r="T26" s="276"/>
      <c r="U26" s="277"/>
      <c r="V26" s="277"/>
      <c r="W26" s="277"/>
      <c r="X26" s="277"/>
      <c r="Y26" s="277"/>
      <c r="Z26" t="e">
        <f>VLOOKUP(A26,#REF!,9,FALSE)</f>
        <v>#REF!</v>
      </c>
    </row>
    <row r="27" spans="1:26" ht="15.75" thickBot="1">
      <c r="A27" s="275" t="s">
        <v>1043</v>
      </c>
      <c r="B27" s="102" t="s">
        <v>50</v>
      </c>
      <c r="C27" s="215">
        <v>45772</v>
      </c>
      <c r="D27" s="282"/>
      <c r="E27" s="269" t="s">
        <v>2152</v>
      </c>
      <c r="F27" s="282"/>
      <c r="G27" s="283" t="s">
        <v>2150</v>
      </c>
      <c r="H27" s="230"/>
      <c r="I27" s="230"/>
      <c r="J27" s="45"/>
      <c r="K27" s="204"/>
      <c r="L27" s="204"/>
      <c r="M27" s="204"/>
      <c r="N27" s="284"/>
      <c r="O27" s="285"/>
      <c r="P27" s="274" t="s">
        <v>2164</v>
      </c>
      <c r="Q27" s="275" t="s">
        <v>64</v>
      </c>
      <c r="R27" s="131" t="s">
        <v>2189</v>
      </c>
      <c r="S27" s="131"/>
      <c r="T27" s="276"/>
      <c r="U27" s="277"/>
      <c r="V27" s="277"/>
      <c r="W27" s="277"/>
      <c r="X27" s="277"/>
      <c r="Y27" s="277"/>
      <c r="Z27" t="e">
        <f>VLOOKUP(A27,#REF!,9,FALSE)</f>
        <v>#REF!</v>
      </c>
    </row>
    <row r="28" spans="1:26" ht="70.150000000000006" customHeight="1" thickBot="1">
      <c r="A28" s="225" t="s">
        <v>2166</v>
      </c>
      <c r="B28" s="232"/>
      <c r="C28" s="231"/>
      <c r="D28" s="282"/>
      <c r="E28" s="269" t="s">
        <v>2152</v>
      </c>
      <c r="F28" s="282"/>
      <c r="G28" s="283" t="s">
        <v>2150</v>
      </c>
      <c r="H28" s="230"/>
      <c r="I28" s="230"/>
      <c r="J28" s="230"/>
      <c r="K28" s="229"/>
      <c r="L28" s="229"/>
      <c r="M28" s="229"/>
      <c r="N28" s="284"/>
      <c r="O28" s="285"/>
      <c r="P28" s="274" t="s">
        <v>2164</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2152</v>
      </c>
      <c r="F29" s="282"/>
      <c r="G29" s="283" t="s">
        <v>2150</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895</v>
      </c>
      <c r="B30" s="102" t="s">
        <v>50</v>
      </c>
      <c r="C30" s="215">
        <v>45772</v>
      </c>
      <c r="D30" s="282"/>
      <c r="E30" s="269" t="s">
        <v>2152</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2152</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899</v>
      </c>
      <c r="B32" s="102" t="s">
        <v>50</v>
      </c>
      <c r="C32" s="215">
        <v>45772</v>
      </c>
      <c r="D32" s="282"/>
      <c r="E32" s="269" t="s">
        <v>2152</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887</v>
      </c>
      <c r="B33" s="102" t="s">
        <v>50</v>
      </c>
      <c r="C33" s="215">
        <v>45831</v>
      </c>
      <c r="D33" s="282"/>
      <c r="E33" s="269" t="s">
        <v>2152</v>
      </c>
      <c r="F33" s="282"/>
      <c r="G33" s="283" t="s">
        <v>2150</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881</v>
      </c>
      <c r="B34" s="102" t="s">
        <v>50</v>
      </c>
      <c r="C34" s="215">
        <v>45831</v>
      </c>
      <c r="D34" s="282"/>
      <c r="E34" s="269" t="s">
        <v>2152</v>
      </c>
      <c r="F34" s="282"/>
      <c r="G34" s="283" t="s">
        <v>2150</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883</v>
      </c>
      <c r="B35" s="102" t="s">
        <v>50</v>
      </c>
      <c r="C35" s="215">
        <v>45831</v>
      </c>
      <c r="D35" s="282"/>
      <c r="E35" s="269" t="s">
        <v>2152</v>
      </c>
      <c r="F35" s="282"/>
      <c r="G35" s="283" t="s">
        <v>2150</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879</v>
      </c>
      <c r="B36" s="102" t="s">
        <v>50</v>
      </c>
      <c r="C36" s="215">
        <v>45772</v>
      </c>
      <c r="D36" s="282"/>
      <c r="E36" s="269" t="s">
        <v>2152</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889</v>
      </c>
      <c r="B37" s="102" t="s">
        <v>50</v>
      </c>
      <c r="C37" s="215">
        <v>45831</v>
      </c>
      <c r="D37" s="282"/>
      <c r="E37" s="269" t="s">
        <v>2152</v>
      </c>
      <c r="F37" s="282"/>
      <c r="G37" s="283" t="s">
        <v>2150</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893</v>
      </c>
      <c r="B38" s="102" t="s">
        <v>50</v>
      </c>
      <c r="C38" s="215">
        <v>45831</v>
      </c>
      <c r="D38" s="282"/>
      <c r="E38" s="269" t="s">
        <v>2152</v>
      </c>
      <c r="F38" s="282"/>
      <c r="G38" s="283" t="s">
        <v>2150</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2152</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897</v>
      </c>
      <c r="B40" s="102" t="s">
        <v>50</v>
      </c>
      <c r="C40" s="215">
        <v>45831</v>
      </c>
      <c r="D40" s="282"/>
      <c r="E40" s="269" t="s">
        <v>2152</v>
      </c>
      <c r="F40" s="282"/>
      <c r="G40" s="283" t="s">
        <v>2150</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2150</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518</v>
      </c>
      <c r="B42" s="102" t="s">
        <v>50</v>
      </c>
      <c r="C42" s="215">
        <v>45807</v>
      </c>
      <c r="D42" s="282"/>
      <c r="E42" s="269" t="s">
        <v>2187</v>
      </c>
      <c r="F42" s="282"/>
      <c r="G42" s="283" t="s">
        <v>2150</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515</v>
      </c>
      <c r="B43" s="102" t="s">
        <v>50</v>
      </c>
      <c r="C43" s="215">
        <v>45807</v>
      </c>
      <c r="D43" s="282"/>
      <c r="E43" s="269" t="s">
        <v>2187</v>
      </c>
      <c r="F43" s="282"/>
      <c r="G43" s="283" t="s">
        <v>2150</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2150</v>
      </c>
      <c r="H44" s="230"/>
      <c r="I44" s="230"/>
      <c r="J44" s="45"/>
      <c r="K44" s="204"/>
      <c r="L44" s="204"/>
      <c r="M44" s="204"/>
      <c r="N44" s="284"/>
      <c r="O44" s="285"/>
      <c r="P44" s="274" t="s">
        <v>2158</v>
      </c>
      <c r="Q44" s="275" t="s">
        <v>64</v>
      </c>
      <c r="R44" s="131" t="s">
        <v>2189</v>
      </c>
      <c r="S44" s="131"/>
      <c r="T44" s="276"/>
      <c r="U44" s="277"/>
      <c r="V44" s="277"/>
      <c r="W44" s="277"/>
      <c r="X44" s="277"/>
      <c r="Y44" s="277"/>
      <c r="Z44" t="e">
        <f>VLOOKUP(A44,#REF!,9,FALSE)</f>
        <v>#REF!</v>
      </c>
    </row>
    <row r="45" spans="1:26" ht="15.75" thickBot="1">
      <c r="A45" s="335" t="s">
        <v>666</v>
      </c>
      <c r="B45" s="102" t="s">
        <v>50</v>
      </c>
      <c r="C45" s="215">
        <v>45807</v>
      </c>
      <c r="D45" s="282"/>
      <c r="E45" s="269" t="s">
        <v>2152</v>
      </c>
      <c r="F45" s="282"/>
      <c r="G45" s="283" t="s">
        <v>2150</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668</v>
      </c>
      <c r="B46" s="102" t="s">
        <v>50</v>
      </c>
      <c r="C46" s="215">
        <v>45807</v>
      </c>
      <c r="D46" s="282"/>
      <c r="E46" s="269" t="s">
        <v>2152</v>
      </c>
      <c r="F46" s="282"/>
      <c r="G46" s="290" t="s">
        <v>2150</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2152</v>
      </c>
      <c r="F47" s="282"/>
      <c r="G47" s="283" t="s">
        <v>2150</v>
      </c>
      <c r="H47" s="230"/>
      <c r="I47" s="230"/>
      <c r="J47" s="45"/>
      <c r="K47" s="204"/>
      <c r="L47" s="204"/>
      <c r="M47" s="204"/>
      <c r="N47" s="284"/>
      <c r="O47" s="285"/>
      <c r="P47" s="274" t="s">
        <v>2161</v>
      </c>
      <c r="Q47" s="275" t="s">
        <v>58</v>
      </c>
      <c r="R47" s="131" t="s">
        <v>2192</v>
      </c>
      <c r="S47" s="131"/>
      <c r="T47" s="276"/>
      <c r="U47" s="277"/>
      <c r="V47" s="277"/>
      <c r="W47" s="277"/>
      <c r="X47" s="277"/>
      <c r="Y47" s="277"/>
      <c r="Z47" t="e">
        <f>VLOOKUP(A47,#REF!,9,FALSE)</f>
        <v>#REF!</v>
      </c>
    </row>
    <row r="48" spans="1:26" ht="15.75" thickBot="1">
      <c r="A48" s="292" t="s">
        <v>717</v>
      </c>
      <c r="B48" s="102" t="s">
        <v>50</v>
      </c>
      <c r="C48" s="215">
        <v>45807</v>
      </c>
      <c r="D48" s="282"/>
      <c r="E48" s="269" t="s">
        <v>2152</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711</v>
      </c>
      <c r="B49" s="102" t="s">
        <v>101</v>
      </c>
      <c r="C49" s="215">
        <v>45772</v>
      </c>
      <c r="D49" s="282"/>
      <c r="E49" s="269" t="s">
        <v>2152</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709</v>
      </c>
      <c r="B50" s="102" t="s">
        <v>101</v>
      </c>
      <c r="C50" s="215">
        <v>45772</v>
      </c>
      <c r="D50" s="282"/>
      <c r="E50" s="269" t="s">
        <v>2152</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715</v>
      </c>
      <c r="B51" s="102" t="e">
        <v>#N/A</v>
      </c>
      <c r="C51" s="215" t="e">
        <v>#N/A</v>
      </c>
      <c r="D51" s="282"/>
      <c r="E51" s="269" t="s">
        <v>2152</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691</v>
      </c>
      <c r="B52" s="102" t="s">
        <v>101</v>
      </c>
      <c r="C52" s="215">
        <v>45925</v>
      </c>
      <c r="D52" s="282"/>
      <c r="E52" s="269" t="s">
        <v>2187</v>
      </c>
      <c r="F52" s="282"/>
      <c r="G52" s="283" t="s">
        <v>2150</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693</v>
      </c>
      <c r="B53" s="102" t="s">
        <v>101</v>
      </c>
      <c r="C53" s="215">
        <v>45925</v>
      </c>
      <c r="D53" s="282"/>
      <c r="E53" s="269" t="s">
        <v>2187</v>
      </c>
      <c r="F53" s="282"/>
      <c r="G53" s="283" t="s">
        <v>2150</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689</v>
      </c>
      <c r="B54" s="102" t="s">
        <v>101</v>
      </c>
      <c r="C54" s="215">
        <v>45925</v>
      </c>
      <c r="D54" s="282"/>
      <c r="E54" s="269" t="s">
        <v>2187</v>
      </c>
      <c r="F54" s="282"/>
      <c r="G54" s="283" t="s">
        <v>2150</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747</v>
      </c>
      <c r="B55" s="102" t="s">
        <v>101</v>
      </c>
      <c r="C55" s="215">
        <v>45862</v>
      </c>
      <c r="D55" s="282"/>
      <c r="E55" s="269" t="s">
        <v>2187</v>
      </c>
      <c r="F55" s="282"/>
      <c r="G55" s="283" t="s">
        <v>2150</v>
      </c>
      <c r="H55" s="230"/>
      <c r="I55" s="230"/>
      <c r="J55" s="45"/>
      <c r="K55" s="204"/>
      <c r="L55" s="204"/>
      <c r="M55" s="204"/>
      <c r="N55" s="284"/>
      <c r="O55" s="285"/>
      <c r="P55" s="274" t="s">
        <v>2161</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2150</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2150</v>
      </c>
      <c r="H57" s="230"/>
      <c r="I57" s="230"/>
      <c r="J57" s="45"/>
      <c r="K57" s="204"/>
      <c r="L57" s="204"/>
      <c r="M57" s="204"/>
      <c r="N57" s="284"/>
      <c r="O57" s="285"/>
      <c r="P57" s="274" t="s">
        <v>2161</v>
      </c>
      <c r="Q57" s="275" t="s">
        <v>2201</v>
      </c>
      <c r="R57" s="131" t="s">
        <v>2192</v>
      </c>
      <c r="S57" s="131"/>
      <c r="T57" s="276"/>
      <c r="U57" s="277"/>
      <c r="V57" s="277"/>
      <c r="W57" s="277"/>
      <c r="X57" s="277"/>
      <c r="Y57" s="277"/>
      <c r="Z57" t="e">
        <f>VLOOKUP(A57,#REF!,9,FALSE)</f>
        <v>#REF!</v>
      </c>
    </row>
    <row r="58" spans="1:26" ht="15.75" thickBot="1">
      <c r="A58" s="619" t="s">
        <v>689</v>
      </c>
      <c r="B58" s="102" t="s">
        <v>50</v>
      </c>
      <c r="C58" s="296">
        <v>45807</v>
      </c>
      <c r="D58" s="282"/>
      <c r="E58" s="269" t="s">
        <v>2152</v>
      </c>
      <c r="F58" s="282"/>
      <c r="G58" s="283" t="s">
        <v>2150</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691</v>
      </c>
      <c r="B59" s="102" t="s">
        <v>101</v>
      </c>
      <c r="C59" s="296">
        <v>45772</v>
      </c>
      <c r="D59" s="282"/>
      <c r="E59" s="269" t="s">
        <v>2152</v>
      </c>
      <c r="F59" s="282"/>
      <c r="G59" s="283" t="s">
        <v>2150</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693</v>
      </c>
      <c r="B60" s="102" t="s">
        <v>101</v>
      </c>
      <c r="C60" s="296">
        <v>45772</v>
      </c>
      <c r="D60" s="282"/>
      <c r="E60" s="269" t="s">
        <v>2152</v>
      </c>
      <c r="F60" s="282"/>
      <c r="G60" s="283" t="s">
        <v>2150</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2137</v>
      </c>
      <c r="B71" s="301">
        <f>SUM(L4:L9)</f>
        <v>0</v>
      </c>
      <c r="C71" s="302" t="e">
        <f>B71/B73</f>
        <v>#DIV/0!</v>
      </c>
    </row>
    <row r="72" spans="1:25">
      <c r="A72" s="300" t="s">
        <v>2182</v>
      </c>
      <c r="B72" s="301">
        <f>SUM(M4:M9)</f>
        <v>0</v>
      </c>
      <c r="C72" s="302" t="e">
        <f>B72/B73</f>
        <v>#DIV/0!</v>
      </c>
    </row>
    <row r="73" spans="1:25">
      <c r="A73" s="300" t="s">
        <v>1089</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55486E0-3FF6-42FB-9C87-6B42BC467A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2026-01-21T18:33:51Z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