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61" documentId="8_{E14B221E-02E2-46A3-8CEC-C736815F2DD5}" xr6:coauthVersionLast="47" xr6:coauthVersionMax="47" xr10:uidLastSave="{0012EEE1-408D-48E5-AB2D-B47701BD255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86" r:id="rId12"/>
    <pivotCache cacheId="387" r:id="rId13"/>
    <pivotCache cacheId="388" r:id="rId14"/>
    <pivotCache cacheId="389" r:id="rId15"/>
    <pivotCache cacheId="3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<sst xmlns="http://schemas.openxmlformats.org/spreadsheetml/2006/main" count="15782" uniqueCount="2043">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</sst>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S48" activePane="topRight" state="frozen"/>
      <selection pane="topRight" activeCell="AD62" sqref="AD6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134" t="s">
        <v>346</v>
      </c>
      <c r="B110" s="463" t="s">
        <v>339</v>
      </c>
      <c r="C110" s="386">
        <v>46019</v>
      </c>
      <c r="D110" s="1021" t="s">
        <v>178</v>
      </c>
      <c r="E110" s="386">
        <v>45959</v>
      </c>
      <c r="F110" s="385" t="s">
        <v>144</v>
      </c>
      <c r="G110" s="653" t="s">
        <v>347</v>
      </c>
      <c r="H110" s="387">
        <v>90</v>
      </c>
      <c r="I110" s="1025" t="s">
        <v>330</v>
      </c>
      <c r="J110" s="1026" t="s">
        <v>63</v>
      </c>
      <c r="K110" s="666"/>
      <c r="L110" s="51">
        <v>45961</v>
      </c>
      <c r="M110" s="1026" t="s">
        <v>57</v>
      </c>
      <c r="N110" s="865">
        <v>91897</v>
      </c>
      <c r="O110" s="52" t="s">
        <v>57</v>
      </c>
      <c r="P110" s="1133" t="s">
        <v>331</v>
      </c>
      <c r="Q110" s="54">
        <v>45961</v>
      </c>
      <c r="R110" s="1055"/>
      <c r="S110" s="669"/>
      <c r="T110" s="669"/>
      <c r="U110" s="669"/>
      <c r="V110" s="107">
        <v>7457</v>
      </c>
      <c r="W110" s="1067">
        <v>7468</v>
      </c>
      <c r="X110" s="485">
        <f t="shared" ref="X110:X123" si="9">SUM(V110-W110)</f>
        <v>-11</v>
      </c>
      <c r="Y110" s="898">
        <f t="shared" ref="Y110:Y123" si="10">IFERROR($W110/$V110, 0)</f>
        <v>1.0014751240445219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966564F-9E12-4487-B606-B55EA5B5617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2025-12-12T12:47:52Z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