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59" documentId="8_{E14B221E-02E2-46A3-8CEC-C736815F2DD5}" xr6:coauthVersionLast="47" xr6:coauthVersionMax="47" xr10:uidLastSave="{61F33E18-F28E-4FFF-B6DF-0391187A157C}"/>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440" r:id="rId12"/>
    <pivotCache cacheId="12444" r:id="rId13"/>
    <pivotCache cacheId="12449" r:id="rId14"/>
    <pivotCache cacheId="12456" r:id="rId15"/>
    <pivotCache cacheId="1246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<sst xmlns="http://schemas.openxmlformats.org/spreadsheetml/2006/main" count="14174" uniqueCount="1734">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</sst>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13889" createdVersion="8" refreshedVersion="8" minRefreshableVersion="3" recordCount="1999" xr:uid="{E3D0A88A-CBD0-4D66-B171-1D8684787A19}">
  <cacheSource type="worksheet">
    <worksheetSource ref="A1:F1048576" sheet="Daily Production_RAW DATA"/>
  </cacheSource>
  <cacheFields count="6">
    <cacheField name="Project" numFmtId="0">
      <sharedItems containsBlank="1" count="25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1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1617048611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m/>
    <m/>
    <m/>
  </r>
  <r>
    <x v="250"/>
    <x v="56"/>
    <x v="194"/>
    <n v="748"/>
    <m/>
    <m/>
  </r>
  <r>
    <x v="235"/>
    <x v="35"/>
    <x v="194"/>
    <n v="96"/>
    <m/>
    <m/>
  </r>
  <r>
    <x v="238"/>
    <x v="50"/>
    <x v="194"/>
    <m/>
    <m/>
    <m/>
  </r>
  <r>
    <x v="249"/>
    <x v="5"/>
    <x v="194"/>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m/>
    <m/>
    <m/>
    <x v="10"/>
  </r>
  <r>
    <s v="Sherwood Estates"/>
    <x v="56"/>
    <d v="2025-11-10T00:00:00"/>
    <n v="748"/>
    <m/>
    <m/>
    <x v="10"/>
  </r>
  <r>
    <s v="D-HLR203"/>
    <x v="35"/>
    <d v="2025-11-10T00:00:00"/>
    <n v="96"/>
    <m/>
    <m/>
    <x v="10"/>
  </r>
  <r>
    <s v="D-HLR204"/>
    <x v="50"/>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9">
    <i>
      <x v="234"/>
    </i>
    <i>
      <x v="239"/>
    </i>
    <i>
      <x v="240"/>
    </i>
    <i>
      <x v="241"/>
    </i>
    <i>
      <x v="242"/>
    </i>
    <i>
      <x v="247"/>
    </i>
    <i>
      <x v="254"/>
    </i>
    <i>
      <x v="255"/>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3"/>
        <item x="170"/>
        <item x="171"/>
        <item x="172"/>
        <item x="173"/>
        <item x="174"/>
        <item x="175"/>
        <item x="176"/>
        <item x="177"/>
        <item x="178"/>
        <item x="179"/>
        <item x="186"/>
        <item x="181"/>
        <item x="180"/>
        <item x="182"/>
        <item x="183"/>
        <item x="184"/>
        <item x="185"/>
        <item x="187"/>
        <item x="188"/>
        <item x="189"/>
        <item x="190"/>
        <item x="191"/>
        <item x="192"/>
        <item m="1" x="25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1"/>
        <item x="248"/>
        <item x="242"/>
        <item x="244"/>
        <item x="246"/>
        <item x="249"/>
        <item x="250"/>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U52" activePane="topRight" state="frozen"/>
      <selection pane="topRight" activeCell="W67" sqref="W6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941" t="s">
        <v>189</v>
      </c>
      <c r="B61" s="479" t="s">
        <v>109</v>
      </c>
      <c r="C61" s="490">
        <v>45991</v>
      </c>
      <c r="D61" s="481" t="s">
        <v>146</v>
      </c>
      <c r="E61" s="481">
        <v>45953</v>
      </c>
      <c r="F61" s="479" t="s">
        <v>133</v>
      </c>
      <c r="G61" s="709" t="s">
        <v>190</v>
      </c>
      <c r="H61" s="483">
        <v>0</v>
      </c>
      <c r="I61" s="483" t="s">
        <v>55</v>
      </c>
      <c r="J61" s="483" t="s">
        <v>63</v>
      </c>
      <c r="K61" s="483"/>
      <c r="L61" s="481" t="s">
        <v>166</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6"/>
  <sheetViews>
    <sheetView topLeftCell="A922" workbookViewId="0">
      <selection activeCell="B938" sqref="B938:B939"/>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c r="C940" s="1161"/>
    </row>
    <row r="941" spans="1:7">
      <c r="A941" t="s">
        <v>200</v>
      </c>
      <c r="B941" s="1161">
        <v>558</v>
      </c>
      <c r="C941" s="1161">
        <v>558</v>
      </c>
    </row>
    <row r="942" spans="1:7">
      <c r="A942" t="s">
        <v>235</v>
      </c>
      <c r="B942" s="1161"/>
      <c r="C942" s="1161"/>
    </row>
    <row r="943" spans="1:7">
      <c r="A943" t="s">
        <v>203</v>
      </c>
      <c r="B943" s="1161">
        <v>1351</v>
      </c>
      <c r="C943" s="1161">
        <v>1351</v>
      </c>
    </row>
    <row r="944" spans="1:7">
      <c r="A944" t="s">
        <v>313</v>
      </c>
      <c r="B944" s="1161"/>
      <c r="C944" s="1161"/>
    </row>
    <row r="945" spans="1:3">
      <c r="A945" t="s">
        <v>910</v>
      </c>
      <c r="B945" s="1161">
        <v>748</v>
      </c>
      <c r="C945" s="1161">
        <v>748</v>
      </c>
    </row>
    <row r="946" spans="1:3">
      <c r="A946" t="s">
        <v>845</v>
      </c>
      <c r="B946" s="1161">
        <v>2891</v>
      </c>
      <c r="C946" s="1161">
        <v>2891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9"/>
  <sheetViews>
    <sheetView workbookViewId="0">
      <pane ySplit="1" topLeftCell="A1982" activePane="bottomLeft" state="frozen"/>
      <selection pane="bottomLeft" activeCell="D2004" sqref="D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G1998" t="s">
        <v>1576</v>
      </c>
    </row>
    <row r="1999" spans="1:7">
      <c r="A1999" s="1153" t="s">
        <v>313</v>
      </c>
      <c r="B1999" s="315" t="s">
        <v>132</v>
      </c>
      <c r="C1999" s="56">
        <v>45971</v>
      </c>
      <c r="G1999"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D215EC6-1558-4BE7-ADD2-B3298952A2E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2025-11-10T22:12:55Z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