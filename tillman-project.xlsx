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86" documentId="8_{E14B221E-02E2-46A3-8CEC-C736815F2DD5}" xr6:coauthVersionLast="47" xr6:coauthVersionMax="47" xr10:uidLastSave="{965CC91B-F22F-4F7E-B5D1-6338180E834E}"/>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4" i="31"/>
  <c r="X44" i="31"/>
  <c r="Y43" i="31"/>
  <c r="X43" i="31"/>
  <c r="Y42" i="31"/>
  <c r="X42" i="31"/>
  <c r="Y41" i="31"/>
  <c r="X41" i="31"/>
  <c r="Y40" i="31"/>
  <c r="X40" i="31"/>
  <c r="Y39" i="31"/>
  <c r="X39" i="31"/>
  <c r="Y38" i="31"/>
  <c r="X38" i="31"/>
  <c r="Y37" i="31"/>
  <c r="X37" i="31"/>
  <c r="Y36" i="31"/>
  <c r="X36" i="31"/>
  <c r="Y35" i="31"/>
  <c r="X35" i="31"/>
  <c r="Y17" i="31"/>
  <c r="X17" i="31"/>
  <c r="Y28" i="31"/>
  <c r="X28" i="31"/>
  <c r="Y20" i="31"/>
  <c r="X20" i="31"/>
  <c r="Y19" i="31"/>
  <c r="X19" i="31"/>
  <c r="Y70" i="2"/>
  <c r="X70" i="2"/>
  <c r="Y60" i="2"/>
  <c r="Y59" i="2"/>
  <c r="X59" i="2"/>
  <c r="X60" i="2"/>
  <c r="X17" i="2"/>
  <c r="Y17" i="2"/>
  <c r="X23" i="2"/>
  <c r="Y23" i="2"/>
  <c r="Y10" i="31"/>
  <c r="X10" i="31"/>
  <c r="Y26" i="31"/>
  <c r="X26" i="31"/>
  <c r="Y25" i="31"/>
  <c r="X25" i="31"/>
  <c r="Y23" i="31"/>
  <c r="X23" i="31"/>
  <c r="Y22" i="31"/>
  <c r="X22" i="31"/>
  <c r="X15" i="2"/>
  <c r="Y15" i="2"/>
  <c r="X16" i="2"/>
  <c r="Y16" i="2"/>
  <c r="Y29" i="2"/>
  <c r="X29" i="2"/>
  <c r="T142" i="30"/>
  <c r="X96" i="2"/>
  <c r="Y96" i="2"/>
  <c r="Y32" i="2"/>
  <c r="X32" i="2"/>
  <c r="Y16" i="32"/>
  <c r="X16" i="32"/>
  <c r="Y14" i="31"/>
  <c r="X14" i="31"/>
  <c r="Y17" i="32"/>
  <c r="X17" i="32"/>
  <c r="Y34" i="31"/>
  <c r="X34" i="31"/>
  <c r="Y21" i="31"/>
  <c r="X21" i="31"/>
  <c r="Y30" i="2"/>
  <c r="X30" i="2"/>
  <c r="X133" i="2"/>
  <c r="Y133" i="2"/>
  <c r="Y15" i="31"/>
  <c r="X15" i="31"/>
  <c r="Y12" i="31"/>
  <c r="X12" i="31"/>
  <c r="Y16" i="31"/>
  <c r="X16"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11" i="31"/>
  <c r="X11"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<sst xmlns="http://schemas.openxmlformats.org/spreadsheetml/2006/main" count="14669" uniqueCount="1800">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</sst>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15" fillId="4" borderId="27" xfId="0" applyFont="1" applyFill="1" applyBorder="1" applyAlignment="1">
      <alignment horizontal="center"/>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cellXfs>
  <cellStyles count="3">
    <cellStyle name="Currency" xfId="2" builtinId="4"/>
    <cellStyle name="Normal" xfId="0" builtinId="0"/>
    <cellStyle name="Percent" xfId="1" builtinId="5"/>
  </cellStyles>
  <dxfs count="20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solid">
          <fgColor rgb="FFFFFFFF"/>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filterColumn colId="0">
      <colorFilter dxfId="208"/>
    </filterColumn>
    <filterColumn colId="1">
      <filters>
        <filter val="Bradenton"/>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sortState xmlns:xlrd2="http://schemas.microsoft.com/office/spreadsheetml/2017/richdata2" ref="A2:AD33">
    <sortCondition ref="B131:B15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19" activePane="topRight" state="frozen"/>
      <selection pane="topRight" activeCell="AD25" sqref="AD2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7">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62">
        <v>65</v>
      </c>
      <c r="I28" s="683" t="s">
        <v>55</v>
      </c>
      <c r="J28" s="483" t="s">
        <v>95</v>
      </c>
      <c r="K28" s="483" t="s">
        <v>118</v>
      </c>
      <c r="L28" s="481"/>
      <c r="M28" s="492" t="s">
        <v>57</v>
      </c>
      <c r="N28" s="1163">
        <v>60922</v>
      </c>
      <c r="O28" s="492" t="s">
        <v>57</v>
      </c>
      <c r="P28" s="1164" t="s">
        <v>58</v>
      </c>
      <c r="Q28" s="1165"/>
      <c r="R28" s="1165"/>
      <c r="S28" s="1165"/>
      <c r="T28" s="1165"/>
      <c r="U28" s="1165"/>
      <c r="V28" s="430">
        <v>4907</v>
      </c>
      <c r="W28" s="486"/>
      <c r="X28" s="116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3"/>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3"/>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70"/>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7"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v>3246</v>
      </c>
      <c r="X45" s="486">
        <f t="shared" si="3"/>
        <v>2671</v>
      </c>
      <c r="Y45" s="684">
        <f t="shared" si="4"/>
        <v>0.54858881189792119</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486">
        <v>4991</v>
      </c>
      <c r="X71" s="486">
        <f t="shared" si="3"/>
        <v>11299</v>
      </c>
      <c r="Y71" s="684">
        <f t="shared" ref="Y71:Y114" si="5">IFERROR($W71/$V71, 0)</f>
        <v>0.3063842848373235</v>
      </c>
      <c r="Z71" s="363"/>
      <c r="AA71" s="366">
        <v>0</v>
      </c>
      <c r="AB71" s="366">
        <v>0</v>
      </c>
      <c r="AC71" s="486">
        <v>0</v>
      </c>
      <c r="AD71" s="780" t="s">
        <v>212</v>
      </c>
      <c r="AE71" s="172"/>
      <c r="AF71" s="400"/>
    </row>
    <row r="72" spans="1:32" ht="24.75" customHeight="1">
      <c r="A72" s="479"/>
      <c r="B72" s="1040"/>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40"/>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6">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6">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6">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6">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6"/>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6"/>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6">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6"/>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6">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6">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6">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6"/>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7">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6"/>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6"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3" t="s">
        <v>287</v>
      </c>
      <c r="B114" s="1048" t="s">
        <v>272</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288</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289</v>
      </c>
      <c r="B118" s="464" t="s">
        <v>290</v>
      </c>
      <c r="C118" s="386">
        <v>46045</v>
      </c>
      <c r="D118" s="1032" t="s">
        <v>152</v>
      </c>
      <c r="E118" s="386">
        <v>45959</v>
      </c>
      <c r="F118" s="385" t="s">
        <v>291</v>
      </c>
      <c r="G118" s="656"/>
      <c r="H118" s="1148"/>
      <c r="I118" s="953"/>
      <c r="J118" s="1079"/>
      <c r="K118" s="1080"/>
      <c r="L118" s="386">
        <v>45964</v>
      </c>
      <c r="M118" s="1079"/>
      <c r="N118" s="1149"/>
      <c r="O118" s="1078"/>
      <c r="P118" s="1151" t="s">
        <v>292</v>
      </c>
      <c r="Q118" s="125">
        <v>45964</v>
      </c>
      <c r="R118" s="672"/>
      <c r="S118" s="672"/>
      <c r="T118" s="672"/>
      <c r="U118" s="672"/>
      <c r="V118" s="1082">
        <v>7522</v>
      </c>
      <c r="W118" s="1083">
        <v>7522</v>
      </c>
      <c r="X118" s="1082">
        <f t="shared" ref="X118:X120" si="7">SUM(V118-W118)</f>
        <v>0</v>
      </c>
      <c r="Y118" s="903">
        <f t="shared" ref="Y118:Y120" si="8">IFERROR($W118/$V118, 0)</f>
        <v>1</v>
      </c>
      <c r="Z118" s="125">
        <v>45964</v>
      </c>
      <c r="AA118" s="619">
        <v>0</v>
      </c>
      <c r="AB118" s="619">
        <v>0</v>
      </c>
      <c r="AC118" s="1038">
        <v>0</v>
      </c>
      <c r="AD118" s="450" t="s">
        <v>293</v>
      </c>
      <c r="AE118" s="400"/>
    </row>
    <row r="119" spans="1:31" ht="24.75" customHeight="1">
      <c r="A119" s="1077" t="s">
        <v>294</v>
      </c>
      <c r="B119" s="464" t="s">
        <v>290</v>
      </c>
      <c r="C119" s="386">
        <v>46045</v>
      </c>
      <c r="D119" s="1032" t="s">
        <v>152</v>
      </c>
      <c r="E119" s="386">
        <v>45959</v>
      </c>
      <c r="F119" s="385" t="s">
        <v>291</v>
      </c>
      <c r="G119" s="656"/>
      <c r="H119" s="1148"/>
      <c r="I119" s="953"/>
      <c r="J119" s="1079"/>
      <c r="K119" s="1080"/>
      <c r="L119" s="386">
        <v>45964</v>
      </c>
      <c r="M119" s="1079"/>
      <c r="N119" s="1149"/>
      <c r="O119" s="1078"/>
      <c r="P119" s="365" t="s">
        <v>64</v>
      </c>
      <c r="Q119" s="125">
        <v>45964</v>
      </c>
      <c r="R119" s="672"/>
      <c r="S119" s="672"/>
      <c r="T119" s="672"/>
      <c r="U119" s="672"/>
      <c r="V119" s="1082">
        <v>8523</v>
      </c>
      <c r="W119" s="107">
        <v>5358</v>
      </c>
      <c r="X119" s="1082">
        <f t="shared" si="7"/>
        <v>3165</v>
      </c>
      <c r="Y119" s="903">
        <f t="shared" si="8"/>
        <v>0.62865188313973952</v>
      </c>
      <c r="Z119" s="125">
        <v>45966</v>
      </c>
      <c r="AA119" s="619">
        <v>0</v>
      </c>
      <c r="AB119" s="619">
        <v>0</v>
      </c>
      <c r="AC119" s="1038">
        <v>0</v>
      </c>
      <c r="AD119" s="450" t="s">
        <v>295</v>
      </c>
      <c r="AE119" s="400"/>
    </row>
    <row r="120" spans="1:31" ht="24.75" customHeight="1">
      <c r="A120" s="1077" t="s">
        <v>296</v>
      </c>
      <c r="B120" s="464" t="s">
        <v>290</v>
      </c>
      <c r="C120" s="386">
        <v>46045</v>
      </c>
      <c r="D120" s="1032" t="s">
        <v>152</v>
      </c>
      <c r="E120" s="386">
        <v>45959</v>
      </c>
      <c r="F120" s="385" t="s">
        <v>291</v>
      </c>
      <c r="G120" s="656"/>
      <c r="H120" s="1148"/>
      <c r="I120" s="953"/>
      <c r="J120" s="1079"/>
      <c r="K120" s="1080"/>
      <c r="L120" s="386"/>
      <c r="M120" s="1079"/>
      <c r="N120" s="1149"/>
      <c r="O120" s="1078"/>
      <c r="P120" s="365" t="s">
        <v>64</v>
      </c>
      <c r="Q120" s="125"/>
      <c r="R120" s="672"/>
      <c r="S120" s="672"/>
      <c r="T120" s="672"/>
      <c r="U120" s="672"/>
      <c r="V120" s="1082">
        <v>5827</v>
      </c>
      <c r="W120" s="107">
        <v>2778</v>
      </c>
      <c r="X120" s="1082">
        <f t="shared" si="7"/>
        <v>3049</v>
      </c>
      <c r="Y120" s="903">
        <f t="shared" si="8"/>
        <v>0.47674618156856013</v>
      </c>
      <c r="Z120" s="125">
        <v>45965</v>
      </c>
      <c r="AA120" s="619">
        <v>0</v>
      </c>
      <c r="AB120" s="619">
        <v>0</v>
      </c>
      <c r="AC120" s="1038">
        <v>0</v>
      </c>
      <c r="AD120" s="450" t="s">
        <v>297</v>
      </c>
      <c r="AE120" s="400"/>
    </row>
    <row r="121" spans="1:31" ht="24.75" customHeight="1">
      <c r="A121" s="1055" t="s">
        <v>298</v>
      </c>
      <c r="B121" s="464" t="s">
        <v>290</v>
      </c>
      <c r="C121" s="386">
        <v>46045</v>
      </c>
      <c r="D121" s="1032" t="s">
        <v>152</v>
      </c>
      <c r="E121" s="386">
        <v>45959</v>
      </c>
      <c r="F121" s="385" t="s">
        <v>136</v>
      </c>
      <c r="G121" s="656"/>
      <c r="H121" s="387">
        <v>59</v>
      </c>
      <c r="I121" s="1036" t="s">
        <v>55</v>
      </c>
      <c r="J121" s="1037" t="s">
        <v>63</v>
      </c>
      <c r="K121" s="669"/>
      <c r="L121" s="51">
        <v>45964</v>
      </c>
      <c r="M121" s="1037" t="s">
        <v>57</v>
      </c>
      <c r="N121" s="868">
        <v>65066.5</v>
      </c>
      <c r="O121" s="52" t="s">
        <v>57</v>
      </c>
      <c r="P121" s="365" t="s">
        <v>58</v>
      </c>
      <c r="Q121" s="54">
        <v>45964</v>
      </c>
      <c r="R121" s="1069"/>
      <c r="S121" s="672"/>
      <c r="T121" s="672"/>
      <c r="U121" s="672"/>
      <c r="V121" s="107">
        <v>5421</v>
      </c>
      <c r="W121" s="107"/>
      <c r="X121" s="486">
        <f t="shared" ref="X121:X134" si="9">SUM(V121-W121)</f>
        <v>5421</v>
      </c>
      <c r="Y121" s="903">
        <f t="shared" ref="Y121:Y134" si="10">IFERROR($W121/$V121, 0)</f>
        <v>0</v>
      </c>
      <c r="Z121" s="55"/>
      <c r="AA121" s="619">
        <v>0</v>
      </c>
      <c r="AB121" s="619">
        <v>0</v>
      </c>
      <c r="AC121" s="1038">
        <v>0</v>
      </c>
      <c r="AD121" s="450" t="s">
        <v>299</v>
      </c>
      <c r="AE121" s="400"/>
    </row>
    <row r="122" spans="1:31" ht="24.75" customHeight="1">
      <c r="A122" s="1055" t="s">
        <v>300</v>
      </c>
      <c r="B122" s="464" t="s">
        <v>290</v>
      </c>
      <c r="C122" s="386">
        <v>46045</v>
      </c>
      <c r="D122" s="1032" t="s">
        <v>152</v>
      </c>
      <c r="E122" s="386">
        <v>45959</v>
      </c>
      <c r="F122" s="385" t="s">
        <v>136</v>
      </c>
      <c r="G122" s="656"/>
      <c r="H122" s="387">
        <v>89</v>
      </c>
      <c r="I122" s="1036" t="s">
        <v>55</v>
      </c>
      <c r="J122" s="1037" t="s">
        <v>63</v>
      </c>
      <c r="K122" s="669"/>
      <c r="L122" s="51">
        <v>45964</v>
      </c>
      <c r="M122" s="1037" t="s">
        <v>57</v>
      </c>
      <c r="N122" s="868">
        <v>81602</v>
      </c>
      <c r="O122" s="52" t="s">
        <v>57</v>
      </c>
      <c r="P122" s="365" t="s">
        <v>58</v>
      </c>
      <c r="Q122" s="54">
        <v>45964</v>
      </c>
      <c r="R122" s="1069"/>
      <c r="S122" s="672"/>
      <c r="T122" s="672"/>
      <c r="U122" s="672"/>
      <c r="V122" s="107">
        <v>6752</v>
      </c>
      <c r="W122" s="107"/>
      <c r="X122" s="486">
        <f t="shared" si="9"/>
        <v>6752</v>
      </c>
      <c r="Y122" s="903">
        <f t="shared" si="10"/>
        <v>0</v>
      </c>
      <c r="Z122" s="55"/>
      <c r="AA122" s="619">
        <v>0</v>
      </c>
      <c r="AB122" s="619">
        <v>0</v>
      </c>
      <c r="AC122" s="1038">
        <v>0</v>
      </c>
      <c r="AD122" s="450" t="s">
        <v>299</v>
      </c>
      <c r="AE122" s="400"/>
    </row>
    <row r="123" spans="1:31" ht="24.75" customHeight="1">
      <c r="A123" s="1055" t="s">
        <v>301</v>
      </c>
      <c r="B123" s="464" t="s">
        <v>290</v>
      </c>
      <c r="C123" s="386">
        <v>46045</v>
      </c>
      <c r="D123" s="1032" t="s">
        <v>152</v>
      </c>
      <c r="E123" s="386">
        <v>45959</v>
      </c>
      <c r="F123" s="385" t="s">
        <v>136</v>
      </c>
      <c r="G123" s="656"/>
      <c r="H123" s="387">
        <v>87</v>
      </c>
      <c r="I123" s="1036" t="s">
        <v>55</v>
      </c>
      <c r="J123" s="1037" t="s">
        <v>63</v>
      </c>
      <c r="K123" s="669"/>
      <c r="L123" s="51">
        <v>45964</v>
      </c>
      <c r="M123" s="1037" t="s">
        <v>57</v>
      </c>
      <c r="N123" s="868">
        <v>93578</v>
      </c>
      <c r="O123" s="52" t="s">
        <v>57</v>
      </c>
      <c r="P123" s="365" t="s">
        <v>58</v>
      </c>
      <c r="Q123" s="54">
        <v>45964</v>
      </c>
      <c r="R123" s="1069"/>
      <c r="S123" s="672"/>
      <c r="T123" s="672"/>
      <c r="U123" s="672"/>
      <c r="V123" s="107">
        <v>7782</v>
      </c>
      <c r="W123" s="107">
        <v>5466</v>
      </c>
      <c r="X123" s="486">
        <f t="shared" si="9"/>
        <v>2316</v>
      </c>
      <c r="Y123" s="903">
        <f t="shared" si="10"/>
        <v>0.70239013107170389</v>
      </c>
      <c r="Z123" s="125">
        <v>45975</v>
      </c>
      <c r="AA123" s="619">
        <v>0</v>
      </c>
      <c r="AB123" s="619">
        <v>0</v>
      </c>
      <c r="AC123" s="1038">
        <v>0</v>
      </c>
      <c r="AD123" s="450" t="s">
        <v>302</v>
      </c>
      <c r="AE123" s="400"/>
    </row>
    <row r="124" spans="1:31" ht="24.75" customHeight="1">
      <c r="A124" s="1055" t="s">
        <v>303</v>
      </c>
      <c r="B124" s="464" t="s">
        <v>290</v>
      </c>
      <c r="C124" s="386">
        <v>46045</v>
      </c>
      <c r="D124" s="1032" t="s">
        <v>152</v>
      </c>
      <c r="E124" s="386">
        <v>45959</v>
      </c>
      <c r="F124" s="385" t="s">
        <v>136</v>
      </c>
      <c r="G124" s="656"/>
      <c r="H124" s="387">
        <v>90</v>
      </c>
      <c r="I124" s="1036" t="s">
        <v>55</v>
      </c>
      <c r="J124" s="1037" t="s">
        <v>63</v>
      </c>
      <c r="K124" s="669"/>
      <c r="L124" s="51">
        <v>45961</v>
      </c>
      <c r="M124" s="1037" t="s">
        <v>57</v>
      </c>
      <c r="N124" s="868">
        <v>91897</v>
      </c>
      <c r="O124" s="52" t="s">
        <v>57</v>
      </c>
      <c r="P124" s="365" t="s">
        <v>64</v>
      </c>
      <c r="Q124" s="54">
        <v>45961</v>
      </c>
      <c r="R124" s="1069"/>
      <c r="S124" s="672"/>
      <c r="T124" s="672"/>
      <c r="U124" s="672"/>
      <c r="V124" s="107">
        <v>7457</v>
      </c>
      <c r="W124" s="107">
        <v>5809</v>
      </c>
      <c r="X124" s="486">
        <f t="shared" si="9"/>
        <v>1648</v>
      </c>
      <c r="Y124" s="903">
        <f t="shared" si="10"/>
        <v>0.7789995976934424</v>
      </c>
      <c r="Z124" s="125">
        <v>45974</v>
      </c>
      <c r="AA124" s="619">
        <v>0</v>
      </c>
      <c r="AB124" s="619">
        <v>0</v>
      </c>
      <c r="AC124" s="1038">
        <v>0</v>
      </c>
      <c r="AD124" s="450" t="s">
        <v>304</v>
      </c>
      <c r="AE124" s="400"/>
    </row>
    <row r="125" spans="1:31" ht="24.75" customHeight="1">
      <c r="A125" s="1055" t="s">
        <v>305</v>
      </c>
      <c r="B125" s="464" t="s">
        <v>290</v>
      </c>
      <c r="C125" s="386">
        <v>46045</v>
      </c>
      <c r="D125" s="1032" t="s">
        <v>152</v>
      </c>
      <c r="E125" s="386">
        <v>45959</v>
      </c>
      <c r="F125" s="385" t="s">
        <v>136</v>
      </c>
      <c r="G125" s="656"/>
      <c r="H125" s="387">
        <v>90</v>
      </c>
      <c r="I125" s="1036" t="s">
        <v>55</v>
      </c>
      <c r="J125" s="1037" t="s">
        <v>63</v>
      </c>
      <c r="K125" s="669"/>
      <c r="L125" s="51">
        <v>45964</v>
      </c>
      <c r="M125" s="1037" t="s">
        <v>57</v>
      </c>
      <c r="N125" s="868">
        <v>96685</v>
      </c>
      <c r="O125" s="52" t="s">
        <v>57</v>
      </c>
      <c r="P125" s="365" t="s">
        <v>58</v>
      </c>
      <c r="Q125" s="54">
        <v>45964</v>
      </c>
      <c r="R125" s="1069"/>
      <c r="S125" s="672"/>
      <c r="T125" s="672"/>
      <c r="U125" s="672"/>
      <c r="V125" s="107">
        <v>8042</v>
      </c>
      <c r="W125" s="107"/>
      <c r="X125" s="486">
        <f t="shared" si="9"/>
        <v>8042</v>
      </c>
      <c r="Y125" s="903">
        <f t="shared" si="10"/>
        <v>0</v>
      </c>
      <c r="Z125" s="55"/>
      <c r="AA125" s="619">
        <v>0</v>
      </c>
      <c r="AB125" s="619">
        <v>0</v>
      </c>
      <c r="AC125" s="1038">
        <v>0</v>
      </c>
      <c r="AD125" s="450" t="s">
        <v>306</v>
      </c>
      <c r="AE125" s="400"/>
    </row>
    <row r="126" spans="1:31" ht="24.75" customHeight="1">
      <c r="A126" s="1055" t="s">
        <v>307</v>
      </c>
      <c r="B126" s="464" t="s">
        <v>290</v>
      </c>
      <c r="C126" s="386">
        <v>46045</v>
      </c>
      <c r="D126" s="1032" t="s">
        <v>152</v>
      </c>
      <c r="E126" s="386">
        <v>45959</v>
      </c>
      <c r="F126" s="385" t="s">
        <v>136</v>
      </c>
      <c r="G126" s="656"/>
      <c r="H126" s="387">
        <v>90</v>
      </c>
      <c r="I126" s="1036" t="s">
        <v>55</v>
      </c>
      <c r="J126" s="1037" t="s">
        <v>63</v>
      </c>
      <c r="K126" s="669"/>
      <c r="L126" s="51">
        <v>45964</v>
      </c>
      <c r="M126" s="1037" t="s">
        <v>57</v>
      </c>
      <c r="N126" s="868">
        <v>85815</v>
      </c>
      <c r="O126" s="52" t="s">
        <v>57</v>
      </c>
      <c r="P126" s="365" t="s">
        <v>58</v>
      </c>
      <c r="Q126" s="54">
        <v>45964</v>
      </c>
      <c r="R126" s="1069"/>
      <c r="S126" s="672"/>
      <c r="T126" s="672"/>
      <c r="U126" s="672"/>
      <c r="V126" s="107">
        <v>6981</v>
      </c>
      <c r="W126" s="107"/>
      <c r="X126" s="486">
        <f t="shared" si="9"/>
        <v>6981</v>
      </c>
      <c r="Y126" s="903">
        <f t="shared" si="10"/>
        <v>0</v>
      </c>
      <c r="Z126" s="55"/>
      <c r="AA126" s="619">
        <v>0</v>
      </c>
      <c r="AB126" s="619">
        <v>0</v>
      </c>
      <c r="AC126" s="1038">
        <v>0</v>
      </c>
      <c r="AD126" s="450" t="s">
        <v>306</v>
      </c>
      <c r="AE126" s="400"/>
    </row>
    <row r="127" spans="1:31" ht="24.75" customHeight="1">
      <c r="A127" s="1055" t="s">
        <v>308</v>
      </c>
      <c r="B127" s="464" t="s">
        <v>290</v>
      </c>
      <c r="C127" s="386">
        <v>46045</v>
      </c>
      <c r="D127" s="1032" t="s">
        <v>152</v>
      </c>
      <c r="E127" s="386">
        <v>45959</v>
      </c>
      <c r="F127" s="385" t="s">
        <v>136</v>
      </c>
      <c r="G127" s="656"/>
      <c r="H127" s="387">
        <v>89</v>
      </c>
      <c r="I127" s="1036" t="s">
        <v>55</v>
      </c>
      <c r="J127" s="1037" t="s">
        <v>63</v>
      </c>
      <c r="K127" s="669"/>
      <c r="L127" s="51">
        <v>45961</v>
      </c>
      <c r="M127" s="1037" t="s">
        <v>57</v>
      </c>
      <c r="N127" s="868">
        <v>83615</v>
      </c>
      <c r="O127" s="52" t="s">
        <v>57</v>
      </c>
      <c r="P127" s="365" t="s">
        <v>58</v>
      </c>
      <c r="Q127" s="54">
        <v>45961</v>
      </c>
      <c r="R127" s="1069"/>
      <c r="S127" s="672"/>
      <c r="T127" s="672"/>
      <c r="U127" s="672"/>
      <c r="V127" s="107">
        <v>7010</v>
      </c>
      <c r="W127" s="107"/>
      <c r="X127" s="486">
        <f t="shared" si="9"/>
        <v>7010</v>
      </c>
      <c r="Y127" s="903">
        <f t="shared" si="10"/>
        <v>0</v>
      </c>
      <c r="Z127" s="55"/>
      <c r="AA127" s="619">
        <v>0</v>
      </c>
      <c r="AB127" s="619">
        <v>0</v>
      </c>
      <c r="AC127" s="1038">
        <v>0</v>
      </c>
      <c r="AD127" s="450" t="s">
        <v>306</v>
      </c>
      <c r="AE127" s="400"/>
    </row>
    <row r="128" spans="1:31" ht="24.75" customHeight="1">
      <c r="A128" s="1055" t="s">
        <v>309</v>
      </c>
      <c r="B128" s="464" t="s">
        <v>290</v>
      </c>
      <c r="C128" s="386">
        <v>46045</v>
      </c>
      <c r="D128" s="1032" t="s">
        <v>152</v>
      </c>
      <c r="E128" s="386">
        <v>45959</v>
      </c>
      <c r="F128" s="385" t="s">
        <v>136</v>
      </c>
      <c r="G128" s="656"/>
      <c r="H128" s="387">
        <v>88</v>
      </c>
      <c r="I128" s="1036" t="s">
        <v>55</v>
      </c>
      <c r="J128" s="1037" t="s">
        <v>63</v>
      </c>
      <c r="K128" s="669"/>
      <c r="L128" s="51">
        <v>45964</v>
      </c>
      <c r="M128" s="1037" t="s">
        <v>57</v>
      </c>
      <c r="N128" s="868">
        <v>78736.5</v>
      </c>
      <c r="O128" s="52" t="s">
        <v>57</v>
      </c>
      <c r="P128" s="365" t="s">
        <v>58</v>
      </c>
      <c r="Q128" s="54">
        <v>45964</v>
      </c>
      <c r="R128" s="1069"/>
      <c r="S128" s="672"/>
      <c r="T128" s="672"/>
      <c r="U128" s="672"/>
      <c r="V128" s="107">
        <v>6403</v>
      </c>
      <c r="W128" s="107"/>
      <c r="X128" s="486">
        <f t="shared" si="9"/>
        <v>6403</v>
      </c>
      <c r="Y128" s="903">
        <f t="shared" si="10"/>
        <v>0</v>
      </c>
      <c r="Z128" s="55"/>
      <c r="AA128" s="619">
        <v>0</v>
      </c>
      <c r="AB128" s="619">
        <v>0</v>
      </c>
      <c r="AC128" s="1038">
        <v>0</v>
      </c>
      <c r="AD128" s="450" t="s">
        <v>306</v>
      </c>
      <c r="AE128" s="400"/>
    </row>
    <row r="129" spans="1:31" ht="24.75" customHeight="1">
      <c r="A129" s="1055" t="s">
        <v>310</v>
      </c>
      <c r="B129" s="464" t="s">
        <v>290</v>
      </c>
      <c r="C129" s="386">
        <v>46045</v>
      </c>
      <c r="D129" s="1032" t="s">
        <v>152</v>
      </c>
      <c r="E129" s="386">
        <v>45959</v>
      </c>
      <c r="F129" s="385" t="s">
        <v>136</v>
      </c>
      <c r="G129" s="656"/>
      <c r="H129" s="387">
        <v>86</v>
      </c>
      <c r="I129" s="1036" t="s">
        <v>55</v>
      </c>
      <c r="J129" s="1037" t="s">
        <v>63</v>
      </c>
      <c r="K129" s="669"/>
      <c r="L129" s="51">
        <v>45964</v>
      </c>
      <c r="M129" s="1037" t="s">
        <v>57</v>
      </c>
      <c r="N129" s="868">
        <v>80698</v>
      </c>
      <c r="O129" s="52" t="s">
        <v>57</v>
      </c>
      <c r="P129" s="365" t="s">
        <v>58</v>
      </c>
      <c r="Q129" s="54">
        <v>45964</v>
      </c>
      <c r="R129" s="1069"/>
      <c r="S129" s="672"/>
      <c r="T129" s="672"/>
      <c r="U129" s="672"/>
      <c r="V129" s="107">
        <v>6739</v>
      </c>
      <c r="W129" s="107"/>
      <c r="X129" s="486">
        <f t="shared" si="9"/>
        <v>6739</v>
      </c>
      <c r="Y129" s="903">
        <f t="shared" si="10"/>
        <v>0</v>
      </c>
      <c r="Z129" s="55"/>
      <c r="AA129" s="619">
        <v>0</v>
      </c>
      <c r="AB129" s="619">
        <v>0</v>
      </c>
      <c r="AC129" s="1038">
        <v>0</v>
      </c>
      <c r="AD129" s="450" t="s">
        <v>306</v>
      </c>
      <c r="AE129" s="400"/>
    </row>
    <row r="130" spans="1:31" ht="24.75" customHeight="1">
      <c r="A130" s="1055" t="s">
        <v>311</v>
      </c>
      <c r="B130" s="464" t="s">
        <v>290</v>
      </c>
      <c r="C130" s="386">
        <v>46045</v>
      </c>
      <c r="D130" s="1032" t="s">
        <v>152</v>
      </c>
      <c r="E130" s="386">
        <v>45959</v>
      </c>
      <c r="F130" s="385" t="s">
        <v>136</v>
      </c>
      <c r="G130" s="656"/>
      <c r="H130" s="387">
        <v>87</v>
      </c>
      <c r="I130" s="1036" t="s">
        <v>55</v>
      </c>
      <c r="J130" s="1037" t="s">
        <v>63</v>
      </c>
      <c r="K130" s="669"/>
      <c r="L130" s="51">
        <v>45964</v>
      </c>
      <c r="M130" s="1037" t="s">
        <v>57</v>
      </c>
      <c r="N130" s="868">
        <v>79552</v>
      </c>
      <c r="O130" s="52" t="s">
        <v>57</v>
      </c>
      <c r="P130" s="365" t="s">
        <v>58</v>
      </c>
      <c r="Q130" s="54">
        <v>45964</v>
      </c>
      <c r="R130" s="1069"/>
      <c r="S130" s="672"/>
      <c r="T130" s="672"/>
      <c r="U130" s="672"/>
      <c r="V130" s="107">
        <v>6577</v>
      </c>
      <c r="W130" s="107"/>
      <c r="X130" s="486">
        <f t="shared" si="9"/>
        <v>6577</v>
      </c>
      <c r="Y130" s="903">
        <f t="shared" si="10"/>
        <v>0</v>
      </c>
      <c r="Z130" s="55"/>
      <c r="AA130" s="619">
        <v>0</v>
      </c>
      <c r="AB130" s="619">
        <v>0</v>
      </c>
      <c r="AC130" s="1038">
        <v>0</v>
      </c>
      <c r="AD130" s="450" t="s">
        <v>312</v>
      </c>
      <c r="AE130" s="400"/>
    </row>
    <row r="131" spans="1:31" ht="24.75" customHeight="1">
      <c r="A131" s="1055" t="s">
        <v>313</v>
      </c>
      <c r="B131" s="464" t="s">
        <v>290</v>
      </c>
      <c r="C131" s="386">
        <v>46045</v>
      </c>
      <c r="D131" s="1032" t="s">
        <v>152</v>
      </c>
      <c r="E131" s="386">
        <v>45959</v>
      </c>
      <c r="F131" s="385" t="s">
        <v>136</v>
      </c>
      <c r="G131" s="656"/>
      <c r="H131" s="387">
        <v>85</v>
      </c>
      <c r="I131" s="1036" t="s">
        <v>55</v>
      </c>
      <c r="J131" s="1037" t="s">
        <v>63</v>
      </c>
      <c r="K131" s="669"/>
      <c r="L131" s="51">
        <v>45964</v>
      </c>
      <c r="M131" s="1037" t="s">
        <v>57</v>
      </c>
      <c r="N131" s="868">
        <v>84770</v>
      </c>
      <c r="O131" s="52" t="s">
        <v>57</v>
      </c>
      <c r="P131" s="365" t="s">
        <v>58</v>
      </c>
      <c r="Q131" s="54">
        <v>45964</v>
      </c>
      <c r="R131" s="1069"/>
      <c r="S131" s="672"/>
      <c r="T131" s="672"/>
      <c r="U131" s="672"/>
      <c r="V131" s="107">
        <v>6965</v>
      </c>
      <c r="W131" s="107"/>
      <c r="X131" s="486">
        <f t="shared" si="9"/>
        <v>6965</v>
      </c>
      <c r="Y131" s="903">
        <f t="shared" si="10"/>
        <v>0</v>
      </c>
      <c r="Z131" s="55"/>
      <c r="AA131" s="619">
        <v>0</v>
      </c>
      <c r="AB131" s="619">
        <v>0</v>
      </c>
      <c r="AC131" s="1038">
        <v>0</v>
      </c>
      <c r="AD131" s="450" t="s">
        <v>306</v>
      </c>
      <c r="AE131" s="400"/>
    </row>
    <row r="132" spans="1:31" ht="24.75" customHeight="1">
      <c r="A132" s="1055" t="s">
        <v>314</v>
      </c>
      <c r="B132" s="464" t="s">
        <v>290</v>
      </c>
      <c r="C132" s="386">
        <v>46045</v>
      </c>
      <c r="D132" s="1032" t="s">
        <v>152</v>
      </c>
      <c r="E132" s="386">
        <v>45959</v>
      </c>
      <c r="F132" s="385" t="s">
        <v>136</v>
      </c>
      <c r="G132" s="656"/>
      <c r="H132" s="387">
        <v>87</v>
      </c>
      <c r="I132" s="1036" t="s">
        <v>55</v>
      </c>
      <c r="J132" s="1037" t="s">
        <v>63</v>
      </c>
      <c r="K132" s="669"/>
      <c r="L132" s="51">
        <v>45964</v>
      </c>
      <c r="M132" s="1037" t="s">
        <v>57</v>
      </c>
      <c r="N132" s="868">
        <v>87875</v>
      </c>
      <c r="O132" s="52" t="s">
        <v>57</v>
      </c>
      <c r="P132" s="365" t="s">
        <v>58</v>
      </c>
      <c r="Q132" s="54">
        <v>45964</v>
      </c>
      <c r="R132" s="1069"/>
      <c r="S132" s="672"/>
      <c r="T132" s="672"/>
      <c r="U132" s="672"/>
      <c r="V132" s="107">
        <v>7319</v>
      </c>
      <c r="W132" s="107"/>
      <c r="X132" s="486">
        <f t="shared" si="9"/>
        <v>7319</v>
      </c>
      <c r="Y132" s="903">
        <f t="shared" si="10"/>
        <v>0</v>
      </c>
      <c r="Z132" s="55"/>
      <c r="AA132" s="619">
        <v>0</v>
      </c>
      <c r="AB132" s="619">
        <v>0</v>
      </c>
      <c r="AC132" s="1038">
        <v>0</v>
      </c>
      <c r="AD132" s="450" t="s">
        <v>315</v>
      </c>
      <c r="AE132" s="400"/>
    </row>
    <row r="133" spans="1:31" ht="24.75" customHeight="1">
      <c r="A133" s="1056" t="s">
        <v>316</v>
      </c>
      <c r="B133" s="464" t="s">
        <v>290</v>
      </c>
      <c r="C133" s="386">
        <v>45991</v>
      </c>
      <c r="D133" s="1032"/>
      <c r="E133" s="386"/>
      <c r="F133" s="385"/>
      <c r="G133" s="656"/>
      <c r="H133" s="387">
        <v>0</v>
      </c>
      <c r="I133" s="1036" t="s">
        <v>55</v>
      </c>
      <c r="J133" s="1037" t="s">
        <v>63</v>
      </c>
      <c r="K133" s="669"/>
      <c r="L133" s="51"/>
      <c r="M133" s="1037"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8">
        <v>0</v>
      </c>
      <c r="AD133" s="450" t="s">
        <v>317</v>
      </c>
      <c r="AE133" s="400"/>
    </row>
    <row r="134" spans="1:31" ht="24.75" customHeight="1">
      <c r="A134" s="1056" t="s">
        <v>318</v>
      </c>
      <c r="B134" s="464" t="s">
        <v>290</v>
      </c>
      <c r="C134" s="386">
        <v>46045</v>
      </c>
      <c r="D134" s="1032" t="s">
        <v>152</v>
      </c>
      <c r="E134" s="386">
        <v>45959</v>
      </c>
      <c r="F134" s="385" t="s">
        <v>136</v>
      </c>
      <c r="G134" s="656"/>
      <c r="H134" s="387">
        <v>0</v>
      </c>
      <c r="I134" s="1036" t="s">
        <v>55</v>
      </c>
      <c r="J134" s="1037" t="s">
        <v>63</v>
      </c>
      <c r="K134" s="669"/>
      <c r="L134" s="51">
        <v>45961</v>
      </c>
      <c r="M134" s="1037" t="s">
        <v>57</v>
      </c>
      <c r="N134" s="868">
        <v>54043.5</v>
      </c>
      <c r="O134" s="52" t="s">
        <v>57</v>
      </c>
      <c r="P134" s="365" t="s">
        <v>64</v>
      </c>
      <c r="Q134" s="54">
        <v>45961</v>
      </c>
      <c r="R134" s="1069"/>
      <c r="S134" s="672"/>
      <c r="T134" s="672"/>
      <c r="U134" s="672"/>
      <c r="V134" s="107">
        <v>4140</v>
      </c>
      <c r="W134" s="107">
        <v>424</v>
      </c>
      <c r="X134" s="486">
        <f t="shared" si="9"/>
        <v>3716</v>
      </c>
      <c r="Y134" s="903">
        <f t="shared" si="10"/>
        <v>0.10241545893719807</v>
      </c>
      <c r="Z134" s="125">
        <v>45974</v>
      </c>
      <c r="AA134" s="619">
        <v>0</v>
      </c>
      <c r="AB134" s="619">
        <v>0</v>
      </c>
      <c r="AC134" s="1038">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45909</v>
      </c>
      <c r="F2" s="481" t="s">
        <v>216</v>
      </c>
      <c r="G2" s="704"/>
      <c r="H2" s="483">
        <v>0</v>
      </c>
      <c r="I2" s="483" t="s">
        <v>322</v>
      </c>
      <c r="J2" s="483" t="s">
        <v>63</v>
      </c>
      <c r="K2" s="483"/>
      <c r="L2" s="481">
        <v>45905</v>
      </c>
      <c r="M2" s="483" t="s">
        <v>57</v>
      </c>
      <c r="N2" s="560">
        <v>98170.1</v>
      </c>
      <c r="O2" s="483" t="s">
        <v>57</v>
      </c>
      <c r="P2" s="644" t="s">
        <v>292</v>
      </c>
      <c r="Q2" s="485">
        <v>45908</v>
      </c>
      <c r="R2" s="485"/>
      <c r="S2" s="485"/>
      <c r="T2" s="485"/>
      <c r="U2" s="485"/>
      <c r="V2" s="430">
        <v>9086</v>
      </c>
      <c r="W2" s="599">
        <v>8945</v>
      </c>
      <c r="X2" s="107">
        <f t="shared" ref="X2:X20" si="0">SUM(V2-W2)</f>
        <v>141</v>
      </c>
      <c r="Y2" s="679">
        <f t="shared" ref="Y2:Y20" si="1">IFERROR($W2/$V2, 0)</f>
        <v>0.98448162007484041</v>
      </c>
      <c r="Z2" s="700">
        <v>45922</v>
      </c>
      <c r="AA2" s="366">
        <v>0</v>
      </c>
      <c r="AB2" s="366">
        <v>0</v>
      </c>
      <c r="AC2" s="41">
        <v>0</v>
      </c>
      <c r="AD2" s="488" t="s">
        <v>323</v>
      </c>
    </row>
    <row r="3" spans="1:30" ht="39.75" customHeight="1">
      <c r="A3" s="969" t="s">
        <v>324</v>
      </c>
      <c r="B3" s="860" t="s">
        <v>215</v>
      </c>
      <c r="C3" s="481">
        <v>45960</v>
      </c>
      <c r="D3" s="481" t="s">
        <v>325</v>
      </c>
      <c r="E3" s="481">
        <v>45897</v>
      </c>
      <c r="F3" s="479" t="s">
        <v>237</v>
      </c>
      <c r="G3" s="704"/>
      <c r="H3" s="483">
        <v>0</v>
      </c>
      <c r="I3" s="683" t="s">
        <v>322</v>
      </c>
      <c r="J3" s="483" t="s">
        <v>63</v>
      </c>
      <c r="K3" s="483"/>
      <c r="L3" s="481">
        <v>45891</v>
      </c>
      <c r="M3" s="483" t="s">
        <v>57</v>
      </c>
      <c r="N3" s="560">
        <v>184994.5</v>
      </c>
      <c r="O3" s="483" t="s">
        <v>57</v>
      </c>
      <c r="P3" s="644" t="s">
        <v>292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326</v>
      </c>
    </row>
    <row r="4" spans="1:30" ht="39.75" customHeight="1">
      <c r="A4" s="969" t="s">
        <v>327</v>
      </c>
      <c r="B4" s="860" t="s">
        <v>215</v>
      </c>
      <c r="C4" s="481">
        <v>45960</v>
      </c>
      <c r="D4" s="481" t="s">
        <v>227</v>
      </c>
      <c r="E4" s="481">
        <v>45852</v>
      </c>
      <c r="F4" s="661" t="s">
        <v>228</v>
      </c>
      <c r="G4" s="704" t="s">
        <v>328</v>
      </c>
      <c r="H4" s="483">
        <v>0</v>
      </c>
      <c r="I4" s="483" t="s">
        <v>322</v>
      </c>
      <c r="J4" s="483" t="s">
        <v>63</v>
      </c>
      <c r="K4" s="483"/>
      <c r="L4" s="481">
        <v>45852</v>
      </c>
      <c r="M4" s="483" t="s">
        <v>57</v>
      </c>
      <c r="N4" s="560">
        <v>42837.2</v>
      </c>
      <c r="O4" s="483" t="s">
        <v>57</v>
      </c>
      <c r="P4" s="644" t="s">
        <v>292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 t="shared" si="0"/>
        <v>-271</v>
      </c>
      <c r="Y5" s="679">
        <f t="shared" si="1"/>
        <v>2.7151898734177213</v>
      </c>
      <c r="Z5" s="72" t="s">
        <v>330</v>
      </c>
      <c r="AA5" s="366">
        <v>0</v>
      </c>
      <c r="AB5" s="366">
        <v>0</v>
      </c>
      <c r="AC5" s="41">
        <v>0</v>
      </c>
      <c r="AD5" s="173" t="s">
        <v>331</v>
      </c>
    </row>
    <row r="6" spans="1:30" ht="39.75" customHeight="1">
      <c r="A6" s="871" t="s">
        <v>332</v>
      </c>
      <c r="B6" s="508" t="s">
        <v>215</v>
      </c>
      <c r="C6" s="481">
        <v>45991</v>
      </c>
      <c r="D6" s="489" t="s">
        <v>333</v>
      </c>
      <c r="E6" s="490">
        <v>45716</v>
      </c>
      <c r="F6" s="489" t="s">
        <v>216</v>
      </c>
      <c r="G6" s="491" t="s">
        <v>334</v>
      </c>
      <c r="H6" s="492">
        <v>31</v>
      </c>
      <c r="I6" s="498" t="s">
        <v>322</v>
      </c>
      <c r="J6" s="492" t="s">
        <v>63</v>
      </c>
      <c r="K6" s="504"/>
      <c r="L6" s="481">
        <v>45716</v>
      </c>
      <c r="M6" s="492" t="s">
        <v>57</v>
      </c>
      <c r="N6" s="561">
        <v>28777</v>
      </c>
      <c r="O6" s="492" t="s">
        <v>57</v>
      </c>
      <c r="P6" s="644" t="s">
        <v>292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335</v>
      </c>
      <c r="B7" s="508" t="s">
        <v>215</v>
      </c>
      <c r="C7" s="481">
        <v>45991</v>
      </c>
      <c r="D7" s="489" t="s">
        <v>336</v>
      </c>
      <c r="E7" s="490">
        <v>45716</v>
      </c>
      <c r="F7" s="489" t="s">
        <v>228</v>
      </c>
      <c r="G7" s="491" t="s">
        <v>337</v>
      </c>
      <c r="H7" s="492">
        <v>44</v>
      </c>
      <c r="I7" s="498" t="s">
        <v>322</v>
      </c>
      <c r="J7" s="492" t="s">
        <v>63</v>
      </c>
      <c r="K7" s="492"/>
      <c r="L7" s="490">
        <v>45716</v>
      </c>
      <c r="M7" s="492" t="s">
        <v>57</v>
      </c>
      <c r="N7" s="561">
        <v>57973.5</v>
      </c>
      <c r="O7" s="492" t="s">
        <v>57</v>
      </c>
      <c r="P7" s="644" t="s">
        <v>292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338</v>
      </c>
      <c r="B8" s="860" t="s">
        <v>215</v>
      </c>
      <c r="C8" s="481">
        <v>45991</v>
      </c>
      <c r="D8" s="489" t="s">
        <v>227</v>
      </c>
      <c r="E8" s="490">
        <v>45880</v>
      </c>
      <c r="F8" s="489" t="s">
        <v>228</v>
      </c>
      <c r="G8" s="852" t="s">
        <v>339</v>
      </c>
      <c r="H8" s="492">
        <v>57</v>
      </c>
      <c r="I8" s="857" t="s">
        <v>322</v>
      </c>
      <c r="J8" s="492" t="s">
        <v>63</v>
      </c>
      <c r="K8" s="504"/>
      <c r="L8" s="490">
        <v>45863</v>
      </c>
      <c r="M8" s="492" t="s">
        <v>57</v>
      </c>
      <c r="N8" s="561">
        <v>49223.7</v>
      </c>
      <c r="O8" s="492" t="s">
        <v>57</v>
      </c>
      <c r="P8" s="644" t="s">
        <v>292</v>
      </c>
      <c r="Q8" s="493">
        <v>45863</v>
      </c>
      <c r="R8" s="493"/>
      <c r="S8" s="493"/>
      <c r="T8" s="493"/>
      <c r="U8" s="493"/>
      <c r="V8" s="486">
        <v>3394</v>
      </c>
      <c r="W8" s="526">
        <v>3394</v>
      </c>
      <c r="X8" s="107">
        <f t="shared" si="0"/>
        <v>0</v>
      </c>
      <c r="Y8" s="679">
        <f t="shared" si="1"/>
        <v>1</v>
      </c>
      <c r="Z8" s="700">
        <v>45916</v>
      </c>
      <c r="AA8" s="366">
        <v>1</v>
      </c>
      <c r="AB8" s="366">
        <v>1</v>
      </c>
      <c r="AC8" s="41">
        <v>0</v>
      </c>
      <c r="AD8" s="173" t="s">
        <v>340</v>
      </c>
    </row>
    <row r="9" spans="1:30" ht="39.75" customHeight="1">
      <c r="A9" s="969" t="s">
        <v>341</v>
      </c>
      <c r="B9" s="860" t="s">
        <v>215</v>
      </c>
      <c r="C9" s="481">
        <v>45991</v>
      </c>
      <c r="D9" s="489" t="s">
        <v>227</v>
      </c>
      <c r="E9" s="490">
        <v>45880</v>
      </c>
      <c r="F9" s="489" t="s">
        <v>228</v>
      </c>
      <c r="G9" s="852" t="s">
        <v>342</v>
      </c>
      <c r="H9" s="492">
        <v>75</v>
      </c>
      <c r="I9" s="857" t="s">
        <v>322</v>
      </c>
      <c r="J9" s="492" t="s">
        <v>63</v>
      </c>
      <c r="K9" s="504"/>
      <c r="L9" s="490">
        <v>45879</v>
      </c>
      <c r="M9" s="492" t="s">
        <v>57</v>
      </c>
      <c r="N9" s="561">
        <v>68151.75</v>
      </c>
      <c r="O9" s="492" t="s">
        <v>57</v>
      </c>
      <c r="P9" s="644" t="s">
        <v>292</v>
      </c>
      <c r="Q9" s="493">
        <v>45881</v>
      </c>
      <c r="R9" s="493"/>
      <c r="S9" s="493"/>
      <c r="T9" s="493"/>
      <c r="U9" s="493"/>
      <c r="V9" s="41">
        <v>5362</v>
      </c>
      <c r="W9" s="645">
        <v>5149</v>
      </c>
      <c r="X9" s="107">
        <f t="shared" si="0"/>
        <v>213</v>
      </c>
      <c r="Y9" s="679">
        <f t="shared" si="1"/>
        <v>0.96027601641178661</v>
      </c>
      <c r="Z9" s="700">
        <v>45926</v>
      </c>
      <c r="AA9" s="366">
        <v>1</v>
      </c>
      <c r="AB9" s="366">
        <v>1</v>
      </c>
      <c r="AC9" s="41">
        <v>0</v>
      </c>
      <c r="AD9" s="173"/>
    </row>
    <row r="10" spans="1:30" ht="39.75" customHeight="1">
      <c r="A10" s="969" t="s">
        <v>343</v>
      </c>
      <c r="B10" s="860" t="s">
        <v>215</v>
      </c>
      <c r="C10" s="481">
        <v>45991</v>
      </c>
      <c r="D10" s="490" t="s">
        <v>227</v>
      </c>
      <c r="E10" s="490">
        <v>45950</v>
      </c>
      <c r="F10" s="489" t="s">
        <v>228</v>
      </c>
      <c r="G10" s="856"/>
      <c r="H10" s="861">
        <v>82</v>
      </c>
      <c r="I10" s="857" t="s">
        <v>322</v>
      </c>
      <c r="J10" s="861" t="s">
        <v>63</v>
      </c>
      <c r="K10" s="504"/>
      <c r="L10" s="490">
        <v>45902</v>
      </c>
      <c r="M10" s="857" t="s">
        <v>57</v>
      </c>
      <c r="N10" s="862">
        <v>87830</v>
      </c>
      <c r="O10" s="857" t="s">
        <v>57</v>
      </c>
      <c r="P10" s="644" t="s">
        <v>292</v>
      </c>
      <c r="Q10" s="493">
        <v>45898</v>
      </c>
      <c r="R10" s="493"/>
      <c r="S10" s="493"/>
      <c r="T10" s="493"/>
      <c r="U10" s="493"/>
      <c r="V10" s="1046">
        <v>7022</v>
      </c>
      <c r="W10" s="1086">
        <v>6905</v>
      </c>
      <c r="X10" s="486">
        <f t="shared" si="0"/>
        <v>117</v>
      </c>
      <c r="Y10" s="684">
        <f t="shared" si="1"/>
        <v>0.98333808031899739</v>
      </c>
      <c r="Z10" s="493">
        <v>45958</v>
      </c>
      <c r="AA10" s="366">
        <v>0</v>
      </c>
      <c r="AB10" s="366">
        <v>0</v>
      </c>
      <c r="AC10" s="41">
        <v>0</v>
      </c>
      <c r="AD10" s="780" t="s">
        <v>344</v>
      </c>
    </row>
    <row r="11" spans="1:30" ht="39.75" customHeight="1">
      <c r="A11" s="969" t="s">
        <v>345</v>
      </c>
      <c r="B11" s="860" t="s">
        <v>215</v>
      </c>
      <c r="C11" s="481">
        <v>45960</v>
      </c>
      <c r="D11" s="490" t="s">
        <v>227</v>
      </c>
      <c r="E11" s="490">
        <v>45930</v>
      </c>
      <c r="F11" s="489" t="s">
        <v>228</v>
      </c>
      <c r="G11" s="856"/>
      <c r="H11" s="861">
        <v>80</v>
      </c>
      <c r="I11" s="857" t="s">
        <v>322</v>
      </c>
      <c r="J11" s="861" t="s">
        <v>63</v>
      </c>
      <c r="K11" s="857"/>
      <c r="L11" s="490">
        <v>45902</v>
      </c>
      <c r="M11" s="857" t="s">
        <v>57</v>
      </c>
      <c r="N11" s="862">
        <v>90173</v>
      </c>
      <c r="O11" s="857" t="s">
        <v>57</v>
      </c>
      <c r="P11" s="644" t="s">
        <v>292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344</v>
      </c>
    </row>
    <row r="12" spans="1:30" ht="39.75" customHeight="1">
      <c r="A12" s="969" t="s">
        <v>346</v>
      </c>
      <c r="B12" s="860" t="s">
        <v>215</v>
      </c>
      <c r="C12" s="481">
        <v>45960</v>
      </c>
      <c r="D12" s="490" t="s">
        <v>236</v>
      </c>
      <c r="E12" s="490">
        <v>45950</v>
      </c>
      <c r="F12" s="489" t="s">
        <v>237</v>
      </c>
      <c r="G12" s="856"/>
      <c r="H12" s="861">
        <v>80</v>
      </c>
      <c r="I12" s="857" t="s">
        <v>322</v>
      </c>
      <c r="J12" s="861" t="s">
        <v>63</v>
      </c>
      <c r="K12" s="857"/>
      <c r="L12" s="490">
        <v>45905</v>
      </c>
      <c r="M12" s="857" t="s">
        <v>57</v>
      </c>
      <c r="N12" s="862">
        <v>66674.3</v>
      </c>
      <c r="O12" s="857" t="s">
        <v>57</v>
      </c>
      <c r="P12" s="644" t="s">
        <v>292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347</v>
      </c>
    </row>
    <row r="13" spans="1:30" ht="39.75" customHeight="1">
      <c r="A13" s="969" t="s">
        <v>348</v>
      </c>
      <c r="B13" s="860" t="s">
        <v>215</v>
      </c>
      <c r="C13" s="481">
        <v>45960</v>
      </c>
      <c r="D13" s="490" t="s">
        <v>236</v>
      </c>
      <c r="E13" s="490">
        <v>45937</v>
      </c>
      <c r="F13" s="489" t="s">
        <v>237</v>
      </c>
      <c r="G13" s="856"/>
      <c r="H13" s="861">
        <v>82</v>
      </c>
      <c r="I13" s="857" t="s">
        <v>322</v>
      </c>
      <c r="J13" s="861" t="s">
        <v>63</v>
      </c>
      <c r="K13" s="483"/>
      <c r="L13" s="490">
        <v>45903</v>
      </c>
      <c r="M13" s="857" t="s">
        <v>57</v>
      </c>
      <c r="N13" s="862">
        <v>93666.75</v>
      </c>
      <c r="O13" s="857" t="s">
        <v>57</v>
      </c>
      <c r="P13" s="644" t="s">
        <v>292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344</v>
      </c>
    </row>
    <row r="14" spans="1:30" ht="39.75" customHeight="1">
      <c r="A14" s="969" t="s">
        <v>349</v>
      </c>
      <c r="B14" s="860" t="s">
        <v>215</v>
      </c>
      <c r="C14" s="481">
        <v>45960</v>
      </c>
      <c r="D14" s="489" t="s">
        <v>236</v>
      </c>
      <c r="E14" s="490">
        <v>45966</v>
      </c>
      <c r="F14" s="489" t="s">
        <v>237</v>
      </c>
      <c r="G14" s="852"/>
      <c r="H14" s="492">
        <v>0</v>
      </c>
      <c r="I14" s="857" t="s">
        <v>322</v>
      </c>
      <c r="J14" s="492" t="s">
        <v>63</v>
      </c>
      <c r="K14" s="504"/>
      <c r="L14" s="490" t="s">
        <v>52</v>
      </c>
      <c r="M14" s="492" t="s">
        <v>57</v>
      </c>
      <c r="N14" s="561">
        <v>29960</v>
      </c>
      <c r="O14" s="492" t="s">
        <v>57</v>
      </c>
      <c r="P14" s="644" t="s">
        <v>292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268</v>
      </c>
    </row>
    <row r="15" spans="1:30" ht="39.75" customHeight="1">
      <c r="A15" s="969" t="s">
        <v>350</v>
      </c>
      <c r="B15" s="860" t="s">
        <v>215</v>
      </c>
      <c r="C15" s="481">
        <v>45960</v>
      </c>
      <c r="D15" s="489" t="s">
        <v>236</v>
      </c>
      <c r="E15" s="490">
        <v>45944</v>
      </c>
      <c r="F15" s="489" t="s">
        <v>237</v>
      </c>
      <c r="G15" s="852"/>
      <c r="H15" s="492">
        <v>0</v>
      </c>
      <c r="I15" s="857" t="s">
        <v>322</v>
      </c>
      <c r="J15" s="492" t="s">
        <v>63</v>
      </c>
      <c r="K15" s="504"/>
      <c r="L15" s="490" t="s">
        <v>52</v>
      </c>
      <c r="M15" s="492" t="s">
        <v>57</v>
      </c>
      <c r="N15" s="561">
        <v>50539.6</v>
      </c>
      <c r="O15" s="492" t="s">
        <v>57</v>
      </c>
      <c r="P15" s="644" t="s">
        <v>292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351</v>
      </c>
    </row>
    <row r="16" spans="1:30" ht="39.75" customHeight="1">
      <c r="A16" s="969" t="s">
        <v>352</v>
      </c>
      <c r="B16" s="860" t="s">
        <v>215</v>
      </c>
      <c r="C16" s="481" t="s">
        <v>353</v>
      </c>
      <c r="D16" s="489" t="s">
        <v>71</v>
      </c>
      <c r="E16" s="490">
        <v>45964</v>
      </c>
      <c r="F16" s="489" t="s">
        <v>354</v>
      </c>
      <c r="G16" s="852"/>
      <c r="H16" s="492">
        <v>0</v>
      </c>
      <c r="I16" s="483" t="s">
        <v>322</v>
      </c>
      <c r="J16" s="492" t="s">
        <v>63</v>
      </c>
      <c r="K16" s="483"/>
      <c r="L16" s="490" t="s">
        <v>52</v>
      </c>
      <c r="M16" s="492" t="s">
        <v>57</v>
      </c>
      <c r="N16" s="561">
        <v>2670.65</v>
      </c>
      <c r="O16" s="492" t="s">
        <v>57</v>
      </c>
      <c r="P16" s="644" t="s">
        <v>292</v>
      </c>
      <c r="Q16" s="493">
        <v>45937</v>
      </c>
      <c r="R16" s="493"/>
      <c r="S16" s="493"/>
      <c r="T16" s="493"/>
      <c r="U16" s="493"/>
      <c r="V16" s="1047">
        <v>209</v>
      </c>
      <c r="W16" s="645">
        <v>207</v>
      </c>
      <c r="X16" s="486">
        <f t="shared" ref="X16:X17" si="5">SUM(V16-W16)</f>
        <v>2</v>
      </c>
      <c r="Y16" s="684">
        <f t="shared" si="1"/>
        <v>0.99043062200956933</v>
      </c>
      <c r="Z16" s="493">
        <v>45964</v>
      </c>
      <c r="AA16" s="366">
        <v>0</v>
      </c>
      <c r="AB16" s="366">
        <v>0</v>
      </c>
      <c r="AC16" s="664">
        <v>0</v>
      </c>
      <c r="AD16" s="488" t="s">
        <v>217</v>
      </c>
    </row>
    <row r="17" spans="1:30" ht="39.75" customHeight="1">
      <c r="A17" s="969" t="s">
        <v>355</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 t="shared" si="5"/>
        <v>128</v>
      </c>
      <c r="Y17" s="684">
        <f t="shared" si="1"/>
        <v>0.98419753086419748</v>
      </c>
      <c r="Z17" s="493">
        <v>45973</v>
      </c>
      <c r="AA17" s="366">
        <v>0</v>
      </c>
      <c r="AB17" s="366">
        <v>0</v>
      </c>
      <c r="AC17" s="41">
        <v>0</v>
      </c>
      <c r="AD17" s="780" t="s">
        <v>273</v>
      </c>
    </row>
    <row r="18" spans="1:30" ht="39.75" customHeight="1">
      <c r="A18" s="513" t="s">
        <v>356</v>
      </c>
      <c r="B18" s="479" t="s">
        <v>116</v>
      </c>
      <c r="C18" s="481">
        <v>45868</v>
      </c>
      <c r="D18" s="481" t="s">
        <v>71</v>
      </c>
      <c r="E18" s="481">
        <v>45793</v>
      </c>
      <c r="F18" s="505" t="s">
        <v>117</v>
      </c>
      <c r="G18" s="1066" t="s">
        <v>357</v>
      </c>
      <c r="H18" s="483">
        <v>0</v>
      </c>
      <c r="I18" s="483" t="s">
        <v>322</v>
      </c>
      <c r="J18" s="483" t="s">
        <v>63</v>
      </c>
      <c r="K18" s="983"/>
      <c r="L18" s="481">
        <v>45793</v>
      </c>
      <c r="M18" s="483" t="s">
        <v>57</v>
      </c>
      <c r="N18" s="560">
        <v>53589.8</v>
      </c>
      <c r="O18" s="483" t="s">
        <v>57</v>
      </c>
      <c r="P18" s="644" t="s">
        <v>292</v>
      </c>
      <c r="Q18" s="485">
        <v>45793</v>
      </c>
      <c r="R18" s="485" t="s">
        <v>358</v>
      </c>
      <c r="S18" s="485"/>
      <c r="T18" s="485"/>
      <c r="U18" s="485">
        <v>45917</v>
      </c>
      <c r="V18" s="486">
        <v>8305</v>
      </c>
      <c r="W18" s="645">
        <v>8818</v>
      </c>
      <c r="X18" s="107">
        <f t="shared" si="0"/>
        <v>-513</v>
      </c>
      <c r="Y18" s="22">
        <f t="shared" si="1"/>
        <v>1.0617700180614087</v>
      </c>
      <c r="Z18" s="674">
        <v>45810</v>
      </c>
      <c r="AA18" s="366">
        <v>1</v>
      </c>
      <c r="AB18" s="366">
        <v>1</v>
      </c>
      <c r="AC18" s="664">
        <v>0</v>
      </c>
      <c r="AD18" s="427" t="s">
        <v>359</v>
      </c>
    </row>
    <row r="19" spans="1:30" ht="39.75" customHeight="1">
      <c r="A19" s="969" t="s">
        <v>360</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 t="shared" si="0"/>
        <v>-120</v>
      </c>
      <c r="Y19" s="684">
        <f t="shared" si="1"/>
        <v>1.0474871388998812</v>
      </c>
      <c r="Z19" s="493">
        <v>45973</v>
      </c>
      <c r="AA19" s="366">
        <v>0</v>
      </c>
      <c r="AB19" s="366">
        <v>0</v>
      </c>
      <c r="AC19" s="811">
        <v>0</v>
      </c>
      <c r="AD19" s="450" t="s">
        <v>361</v>
      </c>
    </row>
    <row r="20" spans="1:30" ht="39.75" customHeight="1">
      <c r="A20" s="969" t="s">
        <v>362</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 t="shared" si="0"/>
        <v>13</v>
      </c>
      <c r="Y20" s="684">
        <f t="shared" si="1"/>
        <v>0.99544019642230797</v>
      </c>
      <c r="Z20" s="493">
        <v>45973</v>
      </c>
      <c r="AA20" s="366">
        <v>0</v>
      </c>
      <c r="AB20" s="366">
        <v>0</v>
      </c>
      <c r="AC20" s="811">
        <v>0</v>
      </c>
      <c r="AD20" s="43" t="s">
        <v>363</v>
      </c>
    </row>
    <row r="21" spans="1:30" ht="39.75" customHeight="1">
      <c r="A21" s="969" t="s">
        <v>364</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 t="shared" ref="X21:X23" si="6">SUM(V21-W21)</f>
        <v>0</v>
      </c>
      <c r="Y21" s="684">
        <f t="shared" ref="Y21:Y23" si="7">IFERROR($W21/$V21, 0)</f>
        <v>1</v>
      </c>
      <c r="Z21" s="493">
        <v>45964</v>
      </c>
      <c r="AA21" s="366">
        <v>1</v>
      </c>
      <c r="AB21" s="366">
        <v>1</v>
      </c>
      <c r="AC21" s="811">
        <v>0</v>
      </c>
      <c r="AD21" s="450" t="s">
        <v>365</v>
      </c>
    </row>
    <row r="22" spans="1:30" ht="39.75" customHeight="1">
      <c r="A22" s="969" t="s">
        <v>366</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 t="shared" si="6"/>
        <v>37</v>
      </c>
      <c r="Y22" s="684">
        <f t="shared" si="7"/>
        <v>0.99407051282051284</v>
      </c>
      <c r="Z22" s="493">
        <v>45951</v>
      </c>
      <c r="AA22" s="366">
        <v>1</v>
      </c>
      <c r="AB22" s="366">
        <v>0</v>
      </c>
      <c r="AC22" s="664">
        <v>0</v>
      </c>
      <c r="AD22" s="1150" t="s">
        <v>367</v>
      </c>
    </row>
    <row r="23" spans="1:30" ht="39.75" customHeight="1">
      <c r="A23" s="969" t="s">
        <v>368</v>
      </c>
      <c r="B23" s="479" t="s">
        <v>116</v>
      </c>
      <c r="C23" s="490">
        <v>45991</v>
      </c>
      <c r="D23" s="481" t="s">
        <v>206</v>
      </c>
      <c r="E23" s="481">
        <v>45953</v>
      </c>
      <c r="F23" s="479" t="s">
        <v>144</v>
      </c>
      <c r="G23" s="704" t="s">
        <v>369</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 t="shared" si="6"/>
        <v>-25</v>
      </c>
      <c r="Y23" s="684">
        <f t="shared" si="7"/>
        <v>1.0055017605633803</v>
      </c>
      <c r="Z23" s="493">
        <v>45960</v>
      </c>
      <c r="AA23" s="366">
        <v>0</v>
      </c>
      <c r="AB23" s="366">
        <v>0</v>
      </c>
      <c r="AC23" s="486">
        <v>0</v>
      </c>
      <c r="AD23" s="407" t="s">
        <v>370</v>
      </c>
    </row>
    <row r="24" spans="1:30" ht="39.75" customHeight="1">
      <c r="A24" s="969" t="s">
        <v>371</v>
      </c>
      <c r="B24" s="479" t="s">
        <v>116</v>
      </c>
      <c r="C24" s="505">
        <v>45838</v>
      </c>
      <c r="D24" s="505" t="s">
        <v>152</v>
      </c>
      <c r="E24" s="490">
        <v>45786</v>
      </c>
      <c r="F24" s="505" t="s">
        <v>136</v>
      </c>
      <c r="G24" s="981" t="s">
        <v>372</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customHeight="1">
      <c r="A25" s="969" t="s">
        <v>374</v>
      </c>
      <c r="B25" s="703" t="s">
        <v>116</v>
      </c>
      <c r="C25" s="490">
        <v>45991</v>
      </c>
      <c r="D25" s="479" t="s">
        <v>375</v>
      </c>
      <c r="E25" s="481">
        <v>45936</v>
      </c>
      <c r="F25" s="479" t="s">
        <v>117</v>
      </c>
      <c r="G25" s="704"/>
      <c r="H25" s="483">
        <v>0</v>
      </c>
      <c r="I25" s="483" t="s">
        <v>322</v>
      </c>
      <c r="J25" s="483" t="s">
        <v>63</v>
      </c>
      <c r="K25" s="483"/>
      <c r="L25" s="481" t="s">
        <v>170</v>
      </c>
      <c r="M25" s="483" t="s">
        <v>57</v>
      </c>
      <c r="N25" s="560">
        <v>74164.05</v>
      </c>
      <c r="O25" s="483" t="s">
        <v>57</v>
      </c>
      <c r="P25" s="1143" t="s">
        <v>292</v>
      </c>
      <c r="Q25" s="125">
        <v>45939</v>
      </c>
      <c r="R25" s="674"/>
      <c r="S25" s="485"/>
      <c r="T25" s="485"/>
      <c r="U25" s="485"/>
      <c r="V25" s="430">
        <v>5613</v>
      </c>
      <c r="W25" s="599">
        <v>5774</v>
      </c>
      <c r="X25" s="486">
        <f t="shared" ref="X25:X26" si="8">SUM(V25-W25)</f>
        <v>-161</v>
      </c>
      <c r="Y25" s="684">
        <f t="shared" ref="Y25:Y26" si="9">IFERROR($W25/$V25, 0)</f>
        <v>1.0286834135043648</v>
      </c>
      <c r="Z25" s="493">
        <v>45960</v>
      </c>
      <c r="AA25" s="366">
        <v>1</v>
      </c>
      <c r="AB25" s="366">
        <v>1</v>
      </c>
      <c r="AC25" s="486">
        <v>0</v>
      </c>
      <c r="AD25" s="173" t="s">
        <v>376</v>
      </c>
    </row>
    <row r="26" spans="1:30" ht="39.75" customHeight="1">
      <c r="A26" s="969" t="s">
        <v>377</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2" t="s">
        <v>292</v>
      </c>
      <c r="Q26" s="1070">
        <v>45950</v>
      </c>
      <c r="R26" s="485"/>
      <c r="S26" s="485"/>
      <c r="T26" s="485"/>
      <c r="U26" s="485"/>
      <c r="V26" s="430">
        <v>3078</v>
      </c>
      <c r="W26" s="599">
        <v>3272</v>
      </c>
      <c r="X26" s="486">
        <f t="shared" si="8"/>
        <v>-194</v>
      </c>
      <c r="Y26" s="684">
        <f t="shared" si="9"/>
        <v>1.0630279402209226</v>
      </c>
      <c r="Z26" s="493">
        <v>45966</v>
      </c>
      <c r="AA26" s="366">
        <v>1</v>
      </c>
      <c r="AB26" s="366">
        <v>1</v>
      </c>
      <c r="AC26" s="486">
        <v>0</v>
      </c>
      <c r="AD26" s="173" t="s">
        <v>378</v>
      </c>
    </row>
    <row r="27" spans="1:30" ht="39.75" customHeight="1">
      <c r="A27" s="969" t="s">
        <v>379</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 t="shared" ref="Y27:Y28" si="10">IFERROR($W27/$V27, 0)</f>
        <v>1</v>
      </c>
      <c r="Z27" s="493">
        <v>45944</v>
      </c>
      <c r="AA27" s="366">
        <v>1</v>
      </c>
      <c r="AB27" s="366">
        <v>1</v>
      </c>
      <c r="AC27" s="486">
        <v>0</v>
      </c>
      <c r="AD27" s="173" t="s">
        <v>380</v>
      </c>
    </row>
    <row r="28" spans="1:30" ht="39.75" customHeight="1">
      <c r="A28" s="969" t="s">
        <v>381</v>
      </c>
      <c r="B28" s="479" t="s">
        <v>116</v>
      </c>
      <c r="C28" s="481">
        <v>46017</v>
      </c>
      <c r="D28" s="481" t="s">
        <v>382</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 t="shared" ref="X28" si="11">SUM(V28-W28)</f>
        <v>0</v>
      </c>
      <c r="Y28" s="684">
        <f t="shared" si="10"/>
        <v>1</v>
      </c>
      <c r="Z28" s="493">
        <v>45971</v>
      </c>
      <c r="AA28" s="366">
        <v>0</v>
      </c>
      <c r="AB28" s="366">
        <v>0</v>
      </c>
      <c r="AC28" s="486">
        <v>0</v>
      </c>
      <c r="AD28" s="780" t="s">
        <v>383</v>
      </c>
    </row>
    <row r="29" spans="1:30" ht="39.75" customHeight="1">
      <c r="A29" s="646" t="s">
        <v>384</v>
      </c>
      <c r="B29" s="480" t="s">
        <v>50</v>
      </c>
      <c r="C29" s="490">
        <v>45742</v>
      </c>
      <c r="D29" s="490" t="s">
        <v>385</v>
      </c>
      <c r="E29" s="442">
        <v>45680</v>
      </c>
      <c r="F29" s="489" t="s">
        <v>61</v>
      </c>
      <c r="G29" s="509" t="s">
        <v>386</v>
      </c>
      <c r="H29" s="492">
        <v>79</v>
      </c>
      <c r="I29" s="498" t="s">
        <v>387</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customHeight="1">
      <c r="A30" s="969" t="s">
        <v>389</v>
      </c>
      <c r="B30" s="851" t="s">
        <v>50</v>
      </c>
      <c r="C30" s="481">
        <v>45991</v>
      </c>
      <c r="D30" s="481" t="s">
        <v>71</v>
      </c>
      <c r="E30" s="490">
        <v>45743</v>
      </c>
      <c r="F30" s="489" t="s">
        <v>61</v>
      </c>
      <c r="G30" s="852" t="s">
        <v>390</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 t="shared" ref="Y30" si="12">IFERROR($W30/$V30, 0)</f>
        <v>0.99875570302778927</v>
      </c>
      <c r="Z30" s="700">
        <v>45784</v>
      </c>
      <c r="AA30" s="366">
        <v>0</v>
      </c>
      <c r="AB30" s="366">
        <v>0</v>
      </c>
      <c r="AC30" s="664">
        <v>0</v>
      </c>
      <c r="AD30" s="1039"/>
    </row>
    <row r="31" spans="1:30" ht="39.75" customHeight="1">
      <c r="A31" s="871" t="s">
        <v>391</v>
      </c>
      <c r="B31" s="480" t="s">
        <v>50</v>
      </c>
      <c r="C31" s="481">
        <v>45991</v>
      </c>
      <c r="D31" s="489" t="s">
        <v>392</v>
      </c>
      <c r="E31" s="442">
        <v>45735</v>
      </c>
      <c r="F31" s="489" t="s">
        <v>61</v>
      </c>
      <c r="G31" s="491" t="s">
        <v>393</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customHeight="1">
      <c r="A32" s="969" t="s">
        <v>395</v>
      </c>
      <c r="B32" s="851" t="s">
        <v>50</v>
      </c>
      <c r="C32" s="481">
        <v>45991</v>
      </c>
      <c r="D32" s="481" t="s">
        <v>71</v>
      </c>
      <c r="E32" s="490">
        <v>45779</v>
      </c>
      <c r="F32" s="489" t="s">
        <v>61</v>
      </c>
      <c r="G32" s="852" t="s">
        <v>396</v>
      </c>
      <c r="H32" s="492">
        <v>0</v>
      </c>
      <c r="I32" s="492" t="s">
        <v>322</v>
      </c>
      <c r="J32" s="483" t="s">
        <v>63</v>
      </c>
      <c r="K32" s="853"/>
      <c r="L32" s="490">
        <v>45742</v>
      </c>
      <c r="M32" s="483" t="s">
        <v>57</v>
      </c>
      <c r="N32" s="561">
        <v>23800.25</v>
      </c>
      <c r="O32" s="483" t="s">
        <v>57</v>
      </c>
      <c r="P32" s="1023" t="s">
        <v>292</v>
      </c>
      <c r="Q32" s="493">
        <v>45743</v>
      </c>
      <c r="R32" s="493"/>
      <c r="S32" s="493"/>
      <c r="T32" s="493"/>
      <c r="U32" s="493"/>
      <c r="V32" s="41">
        <v>1697</v>
      </c>
      <c r="W32" s="645">
        <v>1815</v>
      </c>
      <c r="X32" s="107">
        <f t="shared" ref="X32" si="13">SUM(V32-W32)</f>
        <v>-118</v>
      </c>
      <c r="Y32" s="679">
        <f t="shared" ref="Y32:Y47" si="14">IFERROR($W32/$V32, 0)</f>
        <v>1.0695344725987035</v>
      </c>
      <c r="Z32" s="700">
        <v>45791</v>
      </c>
      <c r="AA32" s="366">
        <v>1</v>
      </c>
      <c r="AB32" s="366">
        <v>0</v>
      </c>
      <c r="AC32" s="664">
        <v>0</v>
      </c>
      <c r="AD32" s="503" t="s">
        <v>397</v>
      </c>
    </row>
    <row r="33" spans="1:30" ht="39.75" customHeight="1">
      <c r="A33" s="969" t="s">
        <v>398</v>
      </c>
      <c r="B33" s="851" t="s">
        <v>50</v>
      </c>
      <c r="C33" s="481">
        <v>46008</v>
      </c>
      <c r="D33" s="481" t="s">
        <v>399</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 t="shared" si="14"/>
        <v>1.0549335721749515</v>
      </c>
      <c r="Z33" s="493">
        <v>45954</v>
      </c>
      <c r="AA33" s="366">
        <v>1</v>
      </c>
      <c r="AB33" s="366">
        <v>1</v>
      </c>
      <c r="AC33" s="664">
        <v>0</v>
      </c>
      <c r="AD33" s="427"/>
    </row>
    <row r="34" spans="1:30" ht="39.75" customHeight="1">
      <c r="A34" s="969" t="s">
        <v>400</v>
      </c>
      <c r="B34" s="851" t="s">
        <v>50</v>
      </c>
      <c r="C34" s="481">
        <v>46008</v>
      </c>
      <c r="D34" s="481" t="s">
        <v>401</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 t="shared" ref="X34:X47" si="15">SUM(V34-W34)</f>
        <v>-634</v>
      </c>
      <c r="Y34" s="684">
        <f t="shared" si="14"/>
        <v>1.0828216851730894</v>
      </c>
      <c r="Z34" s="493">
        <v>45943</v>
      </c>
      <c r="AA34" s="366">
        <v>1</v>
      </c>
      <c r="AB34" s="366">
        <v>1</v>
      </c>
      <c r="AC34" s="664">
        <v>0</v>
      </c>
      <c r="AD34" s="173"/>
    </row>
    <row r="35" spans="1:30" ht="39.75" customHeight="1">
      <c r="A35" s="1154" t="s">
        <v>402</v>
      </c>
      <c r="B35" s="464" t="s">
        <v>290</v>
      </c>
      <c r="C35" s="386">
        <v>46045</v>
      </c>
      <c r="D35" s="1032" t="s">
        <v>152</v>
      </c>
      <c r="E35" s="386"/>
      <c r="F35" s="385" t="s">
        <v>291</v>
      </c>
      <c r="G35" s="656"/>
      <c r="H35" s="1148">
        <v>80</v>
      </c>
      <c r="I35" s="1036" t="s">
        <v>322</v>
      </c>
      <c r="J35" s="1037" t="s">
        <v>63</v>
      </c>
      <c r="K35" s="1080"/>
      <c r="L35" s="386"/>
      <c r="M35" s="1037" t="s">
        <v>57</v>
      </c>
      <c r="N35" s="1149">
        <v>170</v>
      </c>
      <c r="O35" s="52" t="s">
        <v>57</v>
      </c>
      <c r="P35" s="1151" t="s">
        <v>292</v>
      </c>
      <c r="Q35" s="125"/>
      <c r="R35" s="672"/>
      <c r="S35" s="672"/>
      <c r="T35" s="672"/>
      <c r="U35" s="672"/>
      <c r="V35" s="1082">
        <v>7137</v>
      </c>
      <c r="W35" s="1083">
        <v>7141</v>
      </c>
      <c r="X35" s="1082">
        <f t="shared" si="15"/>
        <v>-4</v>
      </c>
      <c r="Y35" s="903">
        <f t="shared" si="14"/>
        <v>1.0005604595768529</v>
      </c>
      <c r="Z35" s="125">
        <v>45964</v>
      </c>
      <c r="AA35" s="366">
        <v>0</v>
      </c>
      <c r="AB35" s="366">
        <v>0</v>
      </c>
      <c r="AC35" s="41">
        <v>0</v>
      </c>
      <c r="AD35" s="450" t="s">
        <v>403</v>
      </c>
    </row>
    <row r="36" spans="1:30" ht="39.75" customHeight="1">
      <c r="A36" s="1154" t="s">
        <v>404</v>
      </c>
      <c r="B36" s="464" t="s">
        <v>290</v>
      </c>
      <c r="C36" s="386">
        <v>46045</v>
      </c>
      <c r="D36" s="1032" t="s">
        <v>152</v>
      </c>
      <c r="E36" s="386"/>
      <c r="F36" s="385" t="s">
        <v>291</v>
      </c>
      <c r="G36" s="656"/>
      <c r="H36" s="1148">
        <v>89</v>
      </c>
      <c r="I36" s="1036" t="s">
        <v>322</v>
      </c>
      <c r="J36" s="1037" t="s">
        <v>63</v>
      </c>
      <c r="K36" s="1080"/>
      <c r="L36" s="386"/>
      <c r="M36" s="1037" t="s">
        <v>57</v>
      </c>
      <c r="N36" s="1149">
        <v>26696</v>
      </c>
      <c r="O36" s="52" t="s">
        <v>57</v>
      </c>
      <c r="P36" s="1151" t="s">
        <v>292</v>
      </c>
      <c r="Q36" s="125"/>
      <c r="R36" s="672"/>
      <c r="S36" s="672"/>
      <c r="T36" s="672"/>
      <c r="U36" s="672"/>
      <c r="V36" s="1082">
        <v>8153</v>
      </c>
      <c r="W36" s="1083">
        <v>8114</v>
      </c>
      <c r="X36" s="1082">
        <f t="shared" si="15"/>
        <v>39</v>
      </c>
      <c r="Y36" s="903">
        <f t="shared" si="14"/>
        <v>0.99521648472954738</v>
      </c>
      <c r="Z36" s="125">
        <v>45964</v>
      </c>
      <c r="AA36" s="366">
        <v>0</v>
      </c>
      <c r="AB36" s="366">
        <v>0</v>
      </c>
      <c r="AC36" s="41">
        <v>0</v>
      </c>
      <c r="AD36" s="450" t="s">
        <v>405</v>
      </c>
    </row>
    <row r="37" spans="1:30" ht="39.75" customHeight="1">
      <c r="A37" s="1154" t="s">
        <v>406</v>
      </c>
      <c r="B37" s="464" t="s">
        <v>290</v>
      </c>
      <c r="C37" s="386">
        <v>46045</v>
      </c>
      <c r="D37" s="1032" t="s">
        <v>152</v>
      </c>
      <c r="E37" s="386"/>
      <c r="F37" s="385"/>
      <c r="G37" s="656"/>
      <c r="H37" s="1148">
        <v>77</v>
      </c>
      <c r="I37" s="1036" t="s">
        <v>322</v>
      </c>
      <c r="J37" s="1037" t="s">
        <v>63</v>
      </c>
      <c r="K37" s="1080"/>
      <c r="L37" s="386"/>
      <c r="M37" s="1037" t="s">
        <v>57</v>
      </c>
      <c r="N37" s="1149">
        <v>4046.5</v>
      </c>
      <c r="O37" s="52" t="s">
        <v>57</v>
      </c>
      <c r="P37" s="1151" t="s">
        <v>292</v>
      </c>
      <c r="Q37" s="125"/>
      <c r="R37" s="672"/>
      <c r="S37" s="672"/>
      <c r="T37" s="672"/>
      <c r="U37" s="672"/>
      <c r="V37" s="1082">
        <v>5136</v>
      </c>
      <c r="W37" s="1083">
        <v>5136</v>
      </c>
      <c r="X37" s="1082">
        <f t="shared" si="15"/>
        <v>0</v>
      </c>
      <c r="Y37" s="903">
        <f t="shared" si="14"/>
        <v>1</v>
      </c>
      <c r="Z37" s="125">
        <v>45964</v>
      </c>
      <c r="AA37" s="366">
        <v>0</v>
      </c>
      <c r="AB37" s="366">
        <v>0</v>
      </c>
      <c r="AC37" s="41">
        <v>0</v>
      </c>
      <c r="AD37" s="450" t="s">
        <v>403</v>
      </c>
    </row>
    <row r="38" spans="1:30" ht="39.75" customHeight="1">
      <c r="A38" s="1154" t="s">
        <v>407</v>
      </c>
      <c r="B38" s="464" t="s">
        <v>290</v>
      </c>
      <c r="C38" s="386">
        <v>46045</v>
      </c>
      <c r="D38" s="1032" t="s">
        <v>152</v>
      </c>
      <c r="E38" s="386"/>
      <c r="F38" s="385"/>
      <c r="G38" s="656"/>
      <c r="H38" s="1148">
        <v>85</v>
      </c>
      <c r="I38" s="1036" t="s">
        <v>322</v>
      </c>
      <c r="J38" s="1037" t="s">
        <v>63</v>
      </c>
      <c r="K38" s="1080"/>
      <c r="L38" s="386"/>
      <c r="M38" s="1037" t="s">
        <v>57</v>
      </c>
      <c r="N38" s="1149">
        <v>29180.45</v>
      </c>
      <c r="O38" s="52" t="s">
        <v>57</v>
      </c>
      <c r="P38" s="1151" t="s">
        <v>292</v>
      </c>
      <c r="Q38" s="125"/>
      <c r="R38" s="672"/>
      <c r="S38" s="672"/>
      <c r="T38" s="672"/>
      <c r="U38" s="672"/>
      <c r="V38" s="1082">
        <v>6249</v>
      </c>
      <c r="W38" s="1083">
        <v>6183</v>
      </c>
      <c r="X38" s="1082">
        <f t="shared" si="15"/>
        <v>66</v>
      </c>
      <c r="Y38" s="903">
        <f t="shared" si="14"/>
        <v>0.98943831012962069</v>
      </c>
      <c r="Z38" s="125">
        <v>45964</v>
      </c>
      <c r="AA38" s="366">
        <v>0</v>
      </c>
      <c r="AB38" s="366">
        <v>0</v>
      </c>
      <c r="AC38" s="41">
        <v>0</v>
      </c>
      <c r="AD38" s="450" t="s">
        <v>408</v>
      </c>
    </row>
    <row r="39" spans="1:30" ht="39.75" customHeight="1">
      <c r="A39" s="1154" t="s">
        <v>409</v>
      </c>
      <c r="B39" s="464" t="s">
        <v>290</v>
      </c>
      <c r="C39" s="386">
        <v>46045</v>
      </c>
      <c r="D39" s="1032" t="s">
        <v>152</v>
      </c>
      <c r="E39" s="386"/>
      <c r="F39" s="385"/>
      <c r="G39" s="656"/>
      <c r="H39" s="1148">
        <v>62</v>
      </c>
      <c r="I39" s="1036" t="s">
        <v>322</v>
      </c>
      <c r="J39" s="1037" t="s">
        <v>63</v>
      </c>
      <c r="K39" s="1080"/>
      <c r="L39" s="386"/>
      <c r="M39" s="52" t="s">
        <v>57</v>
      </c>
      <c r="N39" s="1149">
        <v>170</v>
      </c>
      <c r="O39" s="52" t="s">
        <v>57</v>
      </c>
      <c r="P39" s="1151" t="s">
        <v>292</v>
      </c>
      <c r="Q39" s="125"/>
      <c r="R39" s="672"/>
      <c r="S39" s="672"/>
      <c r="T39" s="672"/>
      <c r="U39" s="672"/>
      <c r="V39" s="1082">
        <v>4095</v>
      </c>
      <c r="W39" s="1083">
        <v>4088</v>
      </c>
      <c r="X39" s="1082">
        <f t="shared" si="15"/>
        <v>7</v>
      </c>
      <c r="Y39" s="903">
        <f t="shared" si="14"/>
        <v>0.9982905982905983</v>
      </c>
      <c r="Z39" s="125">
        <v>45964</v>
      </c>
      <c r="AA39" s="366">
        <v>0</v>
      </c>
      <c r="AB39" s="366">
        <v>0</v>
      </c>
      <c r="AC39" s="41">
        <v>0</v>
      </c>
      <c r="AD39" s="450" t="s">
        <v>403</v>
      </c>
    </row>
    <row r="40" spans="1:30" ht="39.75" customHeight="1">
      <c r="A40" s="1154" t="s">
        <v>410</v>
      </c>
      <c r="B40" s="464" t="s">
        <v>290</v>
      </c>
      <c r="C40" s="386">
        <v>46045</v>
      </c>
      <c r="D40" s="1032" t="s">
        <v>152</v>
      </c>
      <c r="E40" s="386"/>
      <c r="F40" s="385"/>
      <c r="G40" s="656"/>
      <c r="H40" s="1148">
        <v>80</v>
      </c>
      <c r="I40" s="1036" t="s">
        <v>322</v>
      </c>
      <c r="J40" s="1037" t="s">
        <v>63</v>
      </c>
      <c r="K40" s="1080"/>
      <c r="L40" s="386"/>
      <c r="M40" s="52" t="s">
        <v>57</v>
      </c>
      <c r="N40" s="1149">
        <v>25891</v>
      </c>
      <c r="O40" s="52" t="s">
        <v>57</v>
      </c>
      <c r="P40" s="1151" t="s">
        <v>292</v>
      </c>
      <c r="Q40" s="125"/>
      <c r="R40" s="672"/>
      <c r="S40" s="672"/>
      <c r="T40" s="672"/>
      <c r="U40" s="672"/>
      <c r="V40" s="1082">
        <v>5254</v>
      </c>
      <c r="W40" s="1083">
        <v>5254</v>
      </c>
      <c r="X40" s="1082">
        <f t="shared" si="15"/>
        <v>0</v>
      </c>
      <c r="Y40" s="903">
        <f t="shared" si="14"/>
        <v>1</v>
      </c>
      <c r="Z40" s="125">
        <v>45964</v>
      </c>
      <c r="AA40" s="366">
        <v>0</v>
      </c>
      <c r="AB40" s="366">
        <v>0</v>
      </c>
      <c r="AC40" s="41">
        <v>0</v>
      </c>
      <c r="AD40" s="450" t="s">
        <v>403</v>
      </c>
    </row>
    <row r="41" spans="1:30" ht="39.75" customHeight="1">
      <c r="A41" s="1154" t="s">
        <v>411</v>
      </c>
      <c r="B41" s="464" t="s">
        <v>290</v>
      </c>
      <c r="C41" s="386">
        <v>46045</v>
      </c>
      <c r="D41" s="1032" t="s">
        <v>152</v>
      </c>
      <c r="E41" s="386"/>
      <c r="F41" s="385"/>
      <c r="G41" s="656"/>
      <c r="H41" s="1148">
        <v>83</v>
      </c>
      <c r="I41" s="1036" t="s">
        <v>322</v>
      </c>
      <c r="J41" s="1037" t="s">
        <v>63</v>
      </c>
      <c r="K41" s="1080"/>
      <c r="L41" s="386"/>
      <c r="M41" s="52" t="s">
        <v>57</v>
      </c>
      <c r="N41" s="1149">
        <v>170</v>
      </c>
      <c r="O41" s="52" t="s">
        <v>57</v>
      </c>
      <c r="P41" s="1151" t="s">
        <v>292</v>
      </c>
      <c r="Q41" s="125"/>
      <c r="R41" s="672"/>
      <c r="S41" s="672"/>
      <c r="T41" s="672"/>
      <c r="U41" s="672"/>
      <c r="V41" s="1082">
        <v>5947</v>
      </c>
      <c r="W41" s="1083">
        <v>5947</v>
      </c>
      <c r="X41" s="1082">
        <f t="shared" si="15"/>
        <v>0</v>
      </c>
      <c r="Y41" s="903">
        <f t="shared" si="14"/>
        <v>1</v>
      </c>
      <c r="Z41" s="125">
        <v>45964</v>
      </c>
      <c r="AA41" s="366">
        <v>0</v>
      </c>
      <c r="AB41" s="366">
        <v>0</v>
      </c>
      <c r="AC41" s="41">
        <v>0</v>
      </c>
      <c r="AD41" s="450" t="s">
        <v>403</v>
      </c>
    </row>
    <row r="42" spans="1:30" ht="39.75" customHeight="1">
      <c r="A42" s="1154" t="s">
        <v>412</v>
      </c>
      <c r="B42" s="464" t="s">
        <v>290</v>
      </c>
      <c r="C42" s="386">
        <v>46045</v>
      </c>
      <c r="D42" s="1032" t="s">
        <v>152</v>
      </c>
      <c r="E42" s="386"/>
      <c r="F42" s="385"/>
      <c r="G42" s="656"/>
      <c r="H42" s="1148">
        <v>85</v>
      </c>
      <c r="I42" s="1036" t="s">
        <v>322</v>
      </c>
      <c r="J42" s="1037" t="s">
        <v>63</v>
      </c>
      <c r="K42" s="1080"/>
      <c r="L42" s="386"/>
      <c r="M42" s="52" t="s">
        <v>57</v>
      </c>
      <c r="N42" s="1149">
        <v>30788</v>
      </c>
      <c r="O42" s="52" t="s">
        <v>57</v>
      </c>
      <c r="P42" s="1151" t="s">
        <v>292</v>
      </c>
      <c r="Q42" s="125"/>
      <c r="R42" s="672"/>
      <c r="S42" s="672"/>
      <c r="T42" s="672"/>
      <c r="U42" s="672"/>
      <c r="V42" s="1082">
        <v>5599</v>
      </c>
      <c r="W42" s="1083">
        <v>5599</v>
      </c>
      <c r="X42" s="1082">
        <f t="shared" si="15"/>
        <v>0</v>
      </c>
      <c r="Y42" s="903">
        <f t="shared" si="14"/>
        <v>1</v>
      </c>
      <c r="Z42" s="125">
        <v>45964</v>
      </c>
      <c r="AA42" s="366">
        <v>0</v>
      </c>
      <c r="AB42" s="366">
        <v>0</v>
      </c>
      <c r="AC42" s="41">
        <v>0</v>
      </c>
      <c r="AD42" s="450" t="s">
        <v>403</v>
      </c>
    </row>
    <row r="43" spans="1:30" ht="39.75" customHeight="1">
      <c r="A43" s="1155" t="s">
        <v>413</v>
      </c>
      <c r="B43" s="1034" t="s">
        <v>290</v>
      </c>
      <c r="C43" s="930">
        <v>46045</v>
      </c>
      <c r="D43" s="1152" t="s">
        <v>152</v>
      </c>
      <c r="E43" s="930"/>
      <c r="F43" s="936"/>
      <c r="G43" s="1099"/>
      <c r="H43" s="1153">
        <v>88</v>
      </c>
      <c r="I43" s="857" t="s">
        <v>322</v>
      </c>
      <c r="J43" s="492" t="s">
        <v>63</v>
      </c>
      <c r="K43" s="1080"/>
      <c r="L43" s="386"/>
      <c r="M43" s="52" t="s">
        <v>57</v>
      </c>
      <c r="N43" s="1149">
        <v>5668</v>
      </c>
      <c r="O43" s="52" t="s">
        <v>57</v>
      </c>
      <c r="P43" s="1151" t="s">
        <v>292</v>
      </c>
      <c r="Q43" s="125"/>
      <c r="R43" s="672"/>
      <c r="S43" s="672"/>
      <c r="T43" s="672"/>
      <c r="U43" s="672"/>
      <c r="V43" s="1082">
        <v>6646</v>
      </c>
      <c r="W43" s="1083">
        <v>6623</v>
      </c>
      <c r="X43" s="1082">
        <f t="shared" si="15"/>
        <v>23</v>
      </c>
      <c r="Y43" s="903">
        <f t="shared" si="14"/>
        <v>0.99653927174240142</v>
      </c>
      <c r="Z43" s="125">
        <v>45964</v>
      </c>
      <c r="AA43" s="366">
        <v>0</v>
      </c>
      <c r="AB43" s="366">
        <v>0</v>
      </c>
      <c r="AC43" s="41">
        <v>0</v>
      </c>
      <c r="AD43" s="450" t="s">
        <v>403</v>
      </c>
    </row>
    <row r="44" spans="1:30" ht="39.75" customHeight="1">
      <c r="A44" s="1155" t="s">
        <v>414</v>
      </c>
      <c r="B44" s="1034" t="s">
        <v>290</v>
      </c>
      <c r="C44" s="930">
        <v>46045</v>
      </c>
      <c r="D44" s="1152" t="s">
        <v>152</v>
      </c>
      <c r="E44" s="930"/>
      <c r="F44" s="936"/>
      <c r="G44" s="1099"/>
      <c r="H44" s="1153">
        <v>30</v>
      </c>
      <c r="I44" s="857" t="s">
        <v>322</v>
      </c>
      <c r="J44" s="492" t="s">
        <v>63</v>
      </c>
      <c r="K44" s="1080"/>
      <c r="L44" s="386"/>
      <c r="M44" s="52" t="s">
        <v>57</v>
      </c>
      <c r="N44" s="1149">
        <v>170</v>
      </c>
      <c r="O44" s="52" t="s">
        <v>57</v>
      </c>
      <c r="P44" s="1151" t="s">
        <v>292</v>
      </c>
      <c r="Q44" s="125"/>
      <c r="R44" s="672"/>
      <c r="S44" s="672"/>
      <c r="T44" s="672"/>
      <c r="U44" s="672"/>
      <c r="V44" s="1082">
        <v>2136</v>
      </c>
      <c r="W44" s="1083">
        <v>2136</v>
      </c>
      <c r="X44" s="1082">
        <f t="shared" si="15"/>
        <v>0</v>
      </c>
      <c r="Y44" s="903">
        <f t="shared" si="14"/>
        <v>1</v>
      </c>
      <c r="Z44" s="125">
        <v>45964</v>
      </c>
      <c r="AA44" s="366">
        <v>0</v>
      </c>
      <c r="AB44" s="366">
        <v>0</v>
      </c>
      <c r="AC44" s="41">
        <v>0</v>
      </c>
      <c r="AD44" s="450" t="s">
        <v>403</v>
      </c>
    </row>
    <row r="45" spans="1:30" ht="39.75" customHeight="1">
      <c r="A45" s="1155" t="s">
        <v>415</v>
      </c>
      <c r="B45" s="1034" t="s">
        <v>290</v>
      </c>
      <c r="C45" s="930">
        <v>46045</v>
      </c>
      <c r="D45" s="1152" t="s">
        <v>152</v>
      </c>
      <c r="E45" s="930">
        <v>45959</v>
      </c>
      <c r="F45" s="936" t="s">
        <v>136</v>
      </c>
      <c r="G45" s="1099"/>
      <c r="H45" s="815">
        <v>89</v>
      </c>
      <c r="I45" s="857" t="s">
        <v>322</v>
      </c>
      <c r="J45" s="492" t="s">
        <v>63</v>
      </c>
      <c r="K45" s="669"/>
      <c r="L45" s="51">
        <v>45964</v>
      </c>
      <c r="M45" s="1037" t="s">
        <v>57</v>
      </c>
      <c r="N45" s="868">
        <v>84750.5</v>
      </c>
      <c r="O45" s="52" t="s">
        <v>57</v>
      </c>
      <c r="P45" s="1151" t="s">
        <v>292</v>
      </c>
      <c r="Q45" s="54">
        <v>45964</v>
      </c>
      <c r="R45" s="1069"/>
      <c r="S45" s="672"/>
      <c r="T45" s="672"/>
      <c r="U45" s="672"/>
      <c r="V45" s="107">
        <v>6935</v>
      </c>
      <c r="W45" s="1083">
        <v>6891</v>
      </c>
      <c r="X45" s="486">
        <f t="shared" si="15"/>
        <v>44</v>
      </c>
      <c r="Y45" s="893">
        <f t="shared" si="14"/>
        <v>0.99365537130497472</v>
      </c>
      <c r="Z45" s="125">
        <v>45973</v>
      </c>
      <c r="AA45" s="619">
        <v>0</v>
      </c>
      <c r="AB45" s="619">
        <v>0</v>
      </c>
      <c r="AC45" s="1038">
        <v>0</v>
      </c>
      <c r="AD45" s="450" t="s">
        <v>416</v>
      </c>
    </row>
    <row r="46" spans="1:30" ht="39.75" customHeight="1">
      <c r="A46" s="1155" t="s">
        <v>417</v>
      </c>
      <c r="B46" s="1034" t="s">
        <v>290</v>
      </c>
      <c r="C46" s="930">
        <v>46045</v>
      </c>
      <c r="D46" s="1152" t="s">
        <v>152</v>
      </c>
      <c r="E46" s="930">
        <v>45959</v>
      </c>
      <c r="F46" s="936" t="s">
        <v>136</v>
      </c>
      <c r="G46" s="1099"/>
      <c r="H46" s="815">
        <v>88</v>
      </c>
      <c r="I46" s="857" t="s">
        <v>322</v>
      </c>
      <c r="J46" s="492" t="s">
        <v>63</v>
      </c>
      <c r="K46" s="669"/>
      <c r="L46" s="51">
        <v>45961</v>
      </c>
      <c r="M46" s="1037" t="s">
        <v>57</v>
      </c>
      <c r="N46" s="868">
        <v>88231.9</v>
      </c>
      <c r="O46" s="52" t="s">
        <v>57</v>
      </c>
      <c r="P46" s="1151" t="s">
        <v>292</v>
      </c>
      <c r="Q46" s="54">
        <v>45961</v>
      </c>
      <c r="R46" s="1069"/>
      <c r="S46" s="672"/>
      <c r="T46" s="672"/>
      <c r="U46" s="672"/>
      <c r="V46" s="107">
        <v>7274</v>
      </c>
      <c r="W46" s="1083">
        <v>7274</v>
      </c>
      <c r="X46" s="486">
        <f t="shared" si="15"/>
        <v>0</v>
      </c>
      <c r="Y46" s="903">
        <f t="shared" si="14"/>
        <v>1</v>
      </c>
      <c r="Z46" s="125">
        <v>45968</v>
      </c>
      <c r="AA46" s="619">
        <v>0</v>
      </c>
      <c r="AB46" s="619">
        <v>0</v>
      </c>
      <c r="AC46" s="1038">
        <v>0</v>
      </c>
      <c r="AD46" s="450" t="s">
        <v>418</v>
      </c>
    </row>
    <row r="47" spans="1:30" ht="39.75" customHeight="1">
      <c r="A47" s="1155" t="s">
        <v>419</v>
      </c>
      <c r="B47" s="1034" t="s">
        <v>290</v>
      </c>
      <c r="C47" s="930">
        <v>46045</v>
      </c>
      <c r="D47" s="1152" t="s">
        <v>152</v>
      </c>
      <c r="E47" s="930">
        <v>45959</v>
      </c>
      <c r="F47" s="936" t="s">
        <v>136</v>
      </c>
      <c r="G47" s="1099"/>
      <c r="H47" s="815">
        <v>90</v>
      </c>
      <c r="I47" s="857" t="s">
        <v>322</v>
      </c>
      <c r="J47" s="492" t="s">
        <v>63</v>
      </c>
      <c r="K47" s="669"/>
      <c r="L47" s="51">
        <v>45964</v>
      </c>
      <c r="M47" s="1037" t="s">
        <v>57</v>
      </c>
      <c r="N47" s="868">
        <v>84896</v>
      </c>
      <c r="O47" s="52" t="s">
        <v>57</v>
      </c>
      <c r="P47" s="1151" t="s">
        <v>292</v>
      </c>
      <c r="Q47" s="54">
        <v>45964</v>
      </c>
      <c r="R47" s="1069"/>
      <c r="S47" s="672"/>
      <c r="T47" s="672"/>
      <c r="U47" s="672"/>
      <c r="V47" s="107">
        <v>7060</v>
      </c>
      <c r="W47" s="1083">
        <v>7060</v>
      </c>
      <c r="X47" s="486">
        <f t="shared" si="15"/>
        <v>0</v>
      </c>
      <c r="Y47" s="903">
        <f t="shared" si="14"/>
        <v>1</v>
      </c>
      <c r="Z47" s="125">
        <v>45973</v>
      </c>
      <c r="AA47" s="619">
        <v>0</v>
      </c>
      <c r="AB47" s="619">
        <v>0</v>
      </c>
      <c r="AC47" s="1038">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336</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336</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4"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5">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8"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7">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387</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387</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9"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387</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387</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387</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387</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387</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387</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387</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387</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387</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387</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0"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3">
        <v>8553</v>
      </c>
      <c r="T39" s="30">
        <v>0</v>
      </c>
      <c r="U39" s="684">
        <f>IFERROR(Table4[[#This Row],[Actual Redline Completed Footage UG]]/Table4[[#This Row],[Footage UG]], 0)</f>
        <v>1.0157957244655582</v>
      </c>
      <c r="V39" s="54">
        <v>45709</v>
      </c>
      <c r="W39" s="679">
        <v>1</v>
      </c>
      <c r="X39" s="679">
        <v>1</v>
      </c>
      <c r="Y39" s="679">
        <v>1</v>
      </c>
      <c r="Z39" s="54">
        <v>45867</v>
      </c>
      <c r="AA39" s="1139"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387</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385</v>
      </c>
      <c r="E44" s="680">
        <v>45692</v>
      </c>
      <c r="F44" s="680" t="s">
        <v>216</v>
      </c>
      <c r="G44" s="681" t="s">
        <v>609</v>
      </c>
      <c r="H44" s="52">
        <v>86</v>
      </c>
      <c r="I44" s="682" t="s">
        <v>387</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7">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385</v>
      </c>
      <c r="E47" s="680">
        <v>45691</v>
      </c>
      <c r="F47" s="680" t="s">
        <v>216</v>
      </c>
      <c r="G47" s="681" t="s">
        <v>619</v>
      </c>
      <c r="H47" s="52">
        <v>73</v>
      </c>
      <c r="I47" s="689" t="s">
        <v>387</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387</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7">
        <v>1</v>
      </c>
      <c r="X51" s="1127">
        <v>1</v>
      </c>
      <c r="Y51" s="1127">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387</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387</v>
      </c>
      <c r="J62" s="52" t="s">
        <v>63</v>
      </c>
      <c r="K62" s="51">
        <v>45700</v>
      </c>
      <c r="L62" s="682" t="s">
        <v>57</v>
      </c>
      <c r="M62" s="440">
        <v>77320</v>
      </c>
      <c r="N62" s="440">
        <v>75804</v>
      </c>
      <c r="O62" s="682" t="s">
        <v>57</v>
      </c>
      <c r="P62" s="387" t="s">
        <v>292</v>
      </c>
      <c r="Q62" s="819">
        <v>45706</v>
      </c>
      <c r="R62" s="31">
        <v>6041</v>
      </c>
      <c r="S62" s="1135">
        <v>6024</v>
      </c>
      <c r="T62" s="30">
        <v>0</v>
      </c>
      <c r="U62" s="684">
        <f>IFERROR(Table4[[#This Row],[Actual Redline Completed Footage UG]]/Table4[[#This Row],[Footage UG]], 0)</f>
        <v>0.9971858963747724</v>
      </c>
      <c r="V62" s="573">
        <v>45714</v>
      </c>
      <c r="W62" s="679">
        <v>1</v>
      </c>
      <c r="X62" s="34">
        <v>1</v>
      </c>
      <c r="Y62" s="34">
        <v>1</v>
      </c>
      <c r="Z62" s="842">
        <v>45894</v>
      </c>
      <c r="AA62" s="1141"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387</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31" t="s">
        <v>292</v>
      </c>
      <c r="Q68" s="1132">
        <v>45707</v>
      </c>
      <c r="R68" s="107">
        <v>5564</v>
      </c>
      <c r="S68" s="1134">
        <v>5576</v>
      </c>
      <c r="T68" s="621">
        <v>0</v>
      </c>
      <c r="U68" s="684">
        <f>IFERROR(Table4[[#This Row],[Actual Redline Completed Footage UG]]/Table4[[#This Row],[Footage UG]], 0)</f>
        <v>1.0021567217828899</v>
      </c>
      <c r="V68" s="54">
        <v>45727</v>
      </c>
      <c r="W68" s="1128">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6">
        <v>0</v>
      </c>
      <c r="U69" s="684">
        <f>IFERROR(Table4[[#This Row],[Actual Redline Completed Footage UG]]/Table4[[#This Row],[Footage UG]], 0)</f>
        <v>0.976303317535545</v>
      </c>
      <c r="V69" s="54">
        <v>45751</v>
      </c>
      <c r="W69" s="1137">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3" t="s">
        <v>292</v>
      </c>
      <c r="Q70" s="493">
        <v>45744</v>
      </c>
      <c r="R70" s="41">
        <v>1265</v>
      </c>
      <c r="S70" s="486">
        <v>1257</v>
      </c>
      <c r="T70" s="1136">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20" t="s">
        <v>216</v>
      </c>
      <c r="G72" s="1121" t="s">
        <v>681</v>
      </c>
      <c r="H72" s="76">
        <v>87</v>
      </c>
      <c r="I72" s="104" t="s">
        <v>292</v>
      </c>
      <c r="J72" s="76" t="s">
        <v>63</v>
      </c>
      <c r="K72" s="77">
        <v>45708</v>
      </c>
      <c r="L72" s="104" t="s">
        <v>57</v>
      </c>
      <c r="M72" s="835">
        <v>73639</v>
      </c>
      <c r="N72" s="1130">
        <v>73025</v>
      </c>
      <c r="O72" s="104" t="s">
        <v>57</v>
      </c>
      <c r="P72" s="106" t="s">
        <v>292</v>
      </c>
      <c r="Q72" s="1126">
        <v>45696</v>
      </c>
      <c r="R72" s="940">
        <v>5868</v>
      </c>
      <c r="S72" s="665">
        <v>5979</v>
      </c>
      <c r="T72" s="1062">
        <v>0</v>
      </c>
      <c r="U72" s="684">
        <f>IFERROR(Table4[[#This Row],[Actual Redline Completed Footage UG]]/Table4[[#This Row],[Footage UG]], 0)</f>
        <v>1.018916155419223</v>
      </c>
      <c r="V72" s="168">
        <v>45714</v>
      </c>
      <c r="W72" s="1138">
        <v>1</v>
      </c>
      <c r="X72" s="1138">
        <v>1</v>
      </c>
      <c r="Y72" s="1138">
        <v>1</v>
      </c>
      <c r="Z72" s="493">
        <v>45758</v>
      </c>
      <c r="AA72" s="116"/>
    </row>
    <row r="73" spans="1:30" ht="39.75" customHeight="1">
      <c r="A73" s="845" t="s">
        <v>682</v>
      </c>
      <c r="B73" s="103" t="s">
        <v>50</v>
      </c>
      <c r="C73" s="77">
        <v>45747</v>
      </c>
      <c r="D73" s="1120" t="s">
        <v>474</v>
      </c>
      <c r="E73" s="77">
        <v>45700</v>
      </c>
      <c r="F73" s="77" t="s">
        <v>585</v>
      </c>
      <c r="G73" s="1121" t="s">
        <v>683</v>
      </c>
      <c r="H73" s="76">
        <v>60</v>
      </c>
      <c r="I73" s="841" t="s">
        <v>292</v>
      </c>
      <c r="J73" s="76" t="s">
        <v>63</v>
      </c>
      <c r="K73" s="77">
        <v>45698</v>
      </c>
      <c r="L73" s="104" t="s">
        <v>57</v>
      </c>
      <c r="M73" s="835">
        <v>54861</v>
      </c>
      <c r="N73" s="836">
        <v>55197</v>
      </c>
      <c r="O73" s="104" t="s">
        <v>57</v>
      </c>
      <c r="P73" s="76" t="s">
        <v>292</v>
      </c>
      <c r="Q73" s="1124">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387</v>
      </c>
      <c r="J75" s="798" t="s">
        <v>63</v>
      </c>
      <c r="K75" s="1122">
        <v>45716</v>
      </c>
      <c r="L75" s="798" t="s">
        <v>57</v>
      </c>
      <c r="M75" s="658">
        <v>21944.6</v>
      </c>
      <c r="N75" s="831">
        <v>26564</v>
      </c>
      <c r="O75" s="798" t="s">
        <v>57</v>
      </c>
      <c r="P75" s="815" t="s">
        <v>292</v>
      </c>
      <c r="Q75" s="1125">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387</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7" t="s">
        <v>699</v>
      </c>
      <c r="B79" s="480" t="s">
        <v>50</v>
      </c>
      <c r="C79" s="481">
        <v>45862</v>
      </c>
      <c r="D79" s="490" t="s">
        <v>659</v>
      </c>
      <c r="E79" s="490">
        <v>45694</v>
      </c>
      <c r="F79" s="489" t="s">
        <v>216</v>
      </c>
      <c r="G79" s="986" t="s">
        <v>700</v>
      </c>
      <c r="H79" s="492">
        <v>90</v>
      </c>
      <c r="I79" s="484" t="s">
        <v>322</v>
      </c>
      <c r="J79" s="492" t="s">
        <v>63</v>
      </c>
      <c r="K79" s="490">
        <v>45698</v>
      </c>
      <c r="L79" s="498" t="s">
        <v>57</v>
      </c>
      <c r="M79" s="800">
        <v>68216.5</v>
      </c>
      <c r="N79" s="658">
        <v>65624.5</v>
      </c>
      <c r="O79" s="498" t="s">
        <v>57</v>
      </c>
      <c r="P79" s="1115" t="s">
        <v>292</v>
      </c>
      <c r="Q79" s="617">
        <v>45698</v>
      </c>
      <c r="R79" s="1038">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6"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9" t="s">
        <v>57</v>
      </c>
      <c r="M81" s="440">
        <v>67892.5</v>
      </c>
      <c r="N81" s="440">
        <v>65771.429999999993</v>
      </c>
      <c r="O81" s="391" t="s">
        <v>57</v>
      </c>
      <c r="P81" s="365" t="s">
        <v>292</v>
      </c>
      <c r="Q81" s="54">
        <v>45709</v>
      </c>
      <c r="R81" s="31">
        <v>5494</v>
      </c>
      <c r="S81" s="107">
        <v>5431</v>
      </c>
      <c r="T81" s="1117">
        <v>0</v>
      </c>
      <c r="U81" s="917">
        <v>0.99</v>
      </c>
      <c r="V81" s="54">
        <v>45722</v>
      </c>
      <c r="W81" s="22">
        <v>1</v>
      </c>
      <c r="X81" s="22">
        <v>1</v>
      </c>
      <c r="Y81" s="22">
        <v>1</v>
      </c>
      <c r="Z81" s="54">
        <v>45917</v>
      </c>
      <c r="AA81" s="69" t="s">
        <v>706</v>
      </c>
    </row>
    <row r="82" spans="1:27" ht="39.75" customHeight="1">
      <c r="A82" s="1118"/>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7" t="s">
        <v>720</v>
      </c>
      <c r="B92" s="479" t="s">
        <v>116</v>
      </c>
      <c r="C92" s="481">
        <v>45868</v>
      </c>
      <c r="D92" s="505" t="s">
        <v>152</v>
      </c>
      <c r="E92" s="481">
        <v>45786</v>
      </c>
      <c r="F92" s="505" t="s">
        <v>117</v>
      </c>
      <c r="G92" s="479" t="s">
        <v>721</v>
      </c>
      <c r="H92" s="483">
        <v>0</v>
      </c>
      <c r="I92" s="483" t="s">
        <v>322</v>
      </c>
      <c r="J92" s="483" t="s">
        <v>63</v>
      </c>
      <c r="K92" s="481">
        <v>45786</v>
      </c>
      <c r="L92" s="483" t="s">
        <v>57</v>
      </c>
      <c r="M92" s="1068">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9">
        <v>45924</v>
      </c>
      <c r="W94" s="1081">
        <v>1</v>
      </c>
      <c r="X94" s="1081">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9">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7" t="s">
        <v>736</v>
      </c>
      <c r="B98" s="489" t="s">
        <v>116</v>
      </c>
      <c r="C98" s="490">
        <v>45930</v>
      </c>
      <c r="D98" s="490" t="s">
        <v>152</v>
      </c>
      <c r="E98" s="854">
        <v>45880</v>
      </c>
      <c r="F98" s="442" t="s">
        <v>136</v>
      </c>
      <c r="G98" s="489" t="s">
        <v>737</v>
      </c>
      <c r="H98" s="492">
        <v>62</v>
      </c>
      <c r="I98" s="492" t="s">
        <v>322</v>
      </c>
      <c r="J98" s="492" t="s">
        <v>63</v>
      </c>
      <c r="K98" s="481">
        <v>45880</v>
      </c>
      <c r="L98" s="483" t="s">
        <v>57</v>
      </c>
      <c r="M98" s="1068">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4"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2">
        <v>1010</v>
      </c>
      <c r="S115" s="1113">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4" t="s">
        <v>152</v>
      </c>
      <c r="E117" s="521">
        <v>45817</v>
      </c>
      <c r="F117" s="1104" t="s">
        <v>117</v>
      </c>
      <c r="G117" s="1110" t="s">
        <v>785</v>
      </c>
      <c r="H117" s="520">
        <v>0</v>
      </c>
      <c r="I117" s="524" t="s">
        <v>322</v>
      </c>
      <c r="J117" s="520" t="s">
        <v>63</v>
      </c>
      <c r="K117" s="1100">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9" t="s">
        <v>788</v>
      </c>
      <c r="H118" s="483">
        <v>0</v>
      </c>
      <c r="I118" s="484" t="s">
        <v>322</v>
      </c>
      <c r="J118" s="483" t="s">
        <v>63</v>
      </c>
      <c r="K118" s="481" t="s">
        <v>52</v>
      </c>
      <c r="L118" s="483" t="s">
        <v>57</v>
      </c>
      <c r="M118" s="1068">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7" t="s">
        <v>791</v>
      </c>
      <c r="H119" s="520">
        <v>0</v>
      </c>
      <c r="I119" s="982"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3" t="s">
        <v>116</v>
      </c>
      <c r="C120" s="1018">
        <v>45899</v>
      </c>
      <c r="D120" s="987" t="s">
        <v>71</v>
      </c>
      <c r="E120" s="987">
        <v>45876</v>
      </c>
      <c r="F120" s="987" t="s">
        <v>117</v>
      </c>
      <c r="G120" s="1108"/>
      <c r="H120" s="1005">
        <v>0</v>
      </c>
      <c r="I120" s="1111" t="s">
        <v>322</v>
      </c>
      <c r="J120" s="1005" t="s">
        <v>63</v>
      </c>
      <c r="K120" s="987">
        <v>45876</v>
      </c>
      <c r="L120" s="1005" t="s">
        <v>57</v>
      </c>
      <c r="M120" s="1007">
        <v>1462.85</v>
      </c>
      <c r="N120" s="97"/>
      <c r="O120" s="1005" t="s">
        <v>57</v>
      </c>
      <c r="P120" s="790" t="s">
        <v>292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795</v>
      </c>
    </row>
    <row r="121" spans="1:27" ht="39.75" customHeight="1" thickBot="1">
      <c r="A121" s="791" t="s">
        <v>796</v>
      </c>
      <c r="B121" s="1034" t="s">
        <v>116</v>
      </c>
      <c r="C121" s="57">
        <v>45899</v>
      </c>
      <c r="D121" s="794" t="s">
        <v>632</v>
      </c>
      <c r="E121" s="930">
        <v>45876</v>
      </c>
      <c r="F121" s="795" t="s">
        <v>136</v>
      </c>
      <c r="G121" s="1099"/>
      <c r="H121" s="815">
        <v>0</v>
      </c>
      <c r="I121" s="827" t="s">
        <v>797</v>
      </c>
      <c r="J121" s="815" t="s">
        <v>63</v>
      </c>
      <c r="K121" s="51" t="s">
        <v>52</v>
      </c>
      <c r="L121" s="387" t="s">
        <v>57</v>
      </c>
      <c r="M121" s="443">
        <v>1343</v>
      </c>
      <c r="N121" s="801"/>
      <c r="O121" s="387" t="s">
        <v>57</v>
      </c>
      <c r="P121" s="762" t="s">
        <v>797</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798</v>
      </c>
    </row>
    <row r="122" spans="1:27" ht="39.75" customHeight="1" thickBot="1">
      <c r="A122" s="384" t="s">
        <v>799</v>
      </c>
      <c r="B122" s="506" t="s">
        <v>116</v>
      </c>
      <c r="C122" s="514">
        <v>45899</v>
      </c>
      <c r="D122" s="521" t="s">
        <v>152</v>
      </c>
      <c r="E122" s="521">
        <v>45870</v>
      </c>
      <c r="F122" s="1104" t="s">
        <v>136</v>
      </c>
      <c r="G122" s="1105"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2" t="s">
        <v>801</v>
      </c>
    </row>
    <row r="123" spans="1:27" ht="39.75" customHeight="1" thickBot="1">
      <c r="A123" s="791" t="s">
        <v>802</v>
      </c>
      <c r="B123" s="506" t="s">
        <v>116</v>
      </c>
      <c r="C123" s="514">
        <v>45899</v>
      </c>
      <c r="D123" s="521" t="s">
        <v>152</v>
      </c>
      <c r="E123" s="521">
        <v>45870</v>
      </c>
      <c r="F123" s="1104" t="s">
        <v>136</v>
      </c>
      <c r="G123" s="1105"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2" t="s">
        <v>804</v>
      </c>
    </row>
    <row r="124" spans="1:27" ht="39.75" customHeight="1" thickBot="1">
      <c r="A124" s="791" t="s">
        <v>805</v>
      </c>
      <c r="B124" s="936" t="s">
        <v>116</v>
      </c>
      <c r="C124" s="57">
        <v>45899</v>
      </c>
      <c r="D124" s="930" t="s">
        <v>152</v>
      </c>
      <c r="E124" s="930">
        <v>45882</v>
      </c>
      <c r="F124" s="1092" t="s">
        <v>136</v>
      </c>
      <c r="G124" s="1099"/>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9"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2" t="s">
        <v>809</v>
      </c>
    </row>
    <row r="126" spans="1:27" ht="39.75" customHeight="1" thickBot="1">
      <c r="A126" s="791" t="s">
        <v>810</v>
      </c>
      <c r="B126" s="936" t="s">
        <v>116</v>
      </c>
      <c r="C126" s="57">
        <v>45868</v>
      </c>
      <c r="D126" s="794" t="s">
        <v>71</v>
      </c>
      <c r="E126" s="930">
        <v>45853</v>
      </c>
      <c r="F126" s="1091" t="s">
        <v>117</v>
      </c>
      <c r="G126" s="1106" t="s">
        <v>811</v>
      </c>
      <c r="H126" s="815">
        <v>0</v>
      </c>
      <c r="I126" s="815" t="s">
        <v>322</v>
      </c>
      <c r="J126" s="815" t="s">
        <v>63</v>
      </c>
      <c r="K126" s="481">
        <v>45853</v>
      </c>
      <c r="L126" s="483" t="s">
        <v>57</v>
      </c>
      <c r="M126" s="1068">
        <v>68216.5</v>
      </c>
      <c r="N126" s="801"/>
      <c r="O126" s="483" t="s">
        <v>57</v>
      </c>
      <c r="P126" s="772" t="s">
        <v>292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101"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9"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8">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8">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7"/>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3" t="s">
        <v>828</v>
      </c>
      <c r="H133" s="798">
        <v>86</v>
      </c>
      <c r="I133" s="814" t="s">
        <v>387</v>
      </c>
      <c r="J133" s="798" t="s">
        <v>63</v>
      </c>
      <c r="K133" s="514">
        <v>45677</v>
      </c>
      <c r="L133" s="1006" t="s">
        <v>57</v>
      </c>
      <c r="M133" s="799">
        <v>78075.5</v>
      </c>
      <c r="N133" s="808"/>
      <c r="O133" s="1006"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4">
        <v>45741</v>
      </c>
      <c r="L134" s="890" t="s">
        <v>57</v>
      </c>
      <c r="M134" s="1095">
        <v>41813</v>
      </c>
      <c r="N134" s="808"/>
      <c r="O134" s="890" t="s">
        <v>57</v>
      </c>
      <c r="P134" s="1087"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8"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6">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0" t="s">
        <v>836</v>
      </c>
      <c r="B137" s="480" t="s">
        <v>50</v>
      </c>
      <c r="C137" s="490">
        <v>45747</v>
      </c>
      <c r="D137" s="490" t="s">
        <v>152</v>
      </c>
      <c r="E137" s="442">
        <v>45698</v>
      </c>
      <c r="F137" s="442" t="s">
        <v>61</v>
      </c>
      <c r="G137" s="986"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7"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387</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6">
        <v>0</v>
      </c>
      <c r="U140" s="917">
        <f>IFERROR(Table5[[#This Row],[Actual Redline Completed Footage UG]]/Table5[[#This Row],[Footage UG]], 0)</f>
        <v>1</v>
      </c>
      <c r="V140" s="700">
        <v>45831</v>
      </c>
      <c r="W140" s="366">
        <v>1</v>
      </c>
      <c r="X140" s="366">
        <v>1</v>
      </c>
      <c r="Y140" s="366">
        <v>1</v>
      </c>
      <c r="Z140" s="493">
        <v>45859</v>
      </c>
      <c r="AA140" s="1097"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8">
        <v>4397.6499999999996</v>
      </c>
      <c r="N142" s="801"/>
      <c r="O142" s="483" t="s">
        <v>57</v>
      </c>
      <c r="P142" s="772" t="s">
        <v>292</v>
      </c>
      <c r="Q142" s="485">
        <v>45852</v>
      </c>
      <c r="R142" s="486">
        <v>129</v>
      </c>
      <c r="S142" s="1088">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334</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384</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384</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384</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384</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384</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335</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335</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332</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332</v>
      </c>
    </row>
    <row r="315" spans="1:7">
      <c r="A315" t="s">
        <v>673</v>
      </c>
      <c r="B315">
        <v>990</v>
      </c>
      <c r="C315">
        <v>1871</v>
      </c>
      <c r="D315">
        <v>1307</v>
      </c>
      <c r="G315">
        <v>4168</v>
      </c>
    </row>
    <row r="316" spans="1:7">
      <c r="A316" t="s">
        <v>391</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391</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395</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371</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371</v>
      </c>
      <c r="B485">
        <v>948</v>
      </c>
      <c r="D485">
        <v>736</v>
      </c>
      <c r="F485">
        <v>1684</v>
      </c>
    </row>
    <row r="486" spans="1:7">
      <c r="A486" t="s">
        <v>356</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391</v>
      </c>
      <c r="E501">
        <v>341</v>
      </c>
      <c r="G501">
        <v>341</v>
      </c>
    </row>
    <row r="502" spans="1:7">
      <c r="A502" t="s">
        <v>909</v>
      </c>
    </row>
    <row r="503" spans="1:7">
      <c r="A503" t="s">
        <v>371</v>
      </c>
      <c r="B503">
        <v>1957</v>
      </c>
      <c r="G503">
        <v>1957</v>
      </c>
    </row>
    <row r="504" spans="1:7">
      <c r="A504" t="s">
        <v>356</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356</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371</v>
      </c>
    </row>
    <row r="538" spans="1:7">
      <c r="A538" t="s">
        <v>356</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391</v>
      </c>
      <c r="D550">
        <v>649</v>
      </c>
      <c r="G550">
        <v>649</v>
      </c>
    </row>
    <row r="551" spans="1:7">
      <c r="A551" t="s">
        <v>908</v>
      </c>
      <c r="B551">
        <v>237</v>
      </c>
      <c r="C551">
        <v>322</v>
      </c>
      <c r="D551">
        <v>245</v>
      </c>
      <c r="E551">
        <v>1091</v>
      </c>
      <c r="F551">
        <v>303</v>
      </c>
      <c r="G551">
        <v>2198</v>
      </c>
    </row>
    <row r="552" spans="1:7">
      <c r="A552" t="s">
        <v>356</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371</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332</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335</v>
      </c>
      <c r="C590">
        <v>403</v>
      </c>
      <c r="D590">
        <v>39</v>
      </c>
      <c r="G590">
        <v>442</v>
      </c>
    </row>
    <row r="591" spans="1:7">
      <c r="A591" t="s">
        <v>425</v>
      </c>
      <c r="B591">
        <v>862</v>
      </c>
      <c r="G591">
        <v>862</v>
      </c>
    </row>
    <row r="592" spans="1:7">
      <c r="A592" t="s">
        <v>903</v>
      </c>
      <c r="C592">
        <v>203</v>
      </c>
      <c r="D592">
        <v>170</v>
      </c>
      <c r="E592">
        <v>106</v>
      </c>
      <c r="G592">
        <v>479</v>
      </c>
    </row>
    <row r="593" spans="1:7">
      <c r="A593" t="s">
        <v>356</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335</v>
      </c>
      <c r="C604">
        <v>318</v>
      </c>
      <c r="G604">
        <v>318</v>
      </c>
    </row>
    <row r="605" spans="1:7">
      <c r="A605" t="s">
        <v>425</v>
      </c>
      <c r="D605">
        <v>461</v>
      </c>
      <c r="E605">
        <v>880</v>
      </c>
      <c r="F605">
        <v>585</v>
      </c>
      <c r="G605">
        <v>1926</v>
      </c>
    </row>
    <row r="606" spans="1:7">
      <c r="A606" t="s">
        <v>332</v>
      </c>
      <c r="E606">
        <v>868</v>
      </c>
      <c r="G606">
        <v>868</v>
      </c>
    </row>
    <row r="607" spans="1:7">
      <c r="A607" t="s">
        <v>903</v>
      </c>
      <c r="D607">
        <v>272</v>
      </c>
      <c r="E607">
        <v>79</v>
      </c>
      <c r="G607">
        <v>351</v>
      </c>
    </row>
    <row r="608" spans="1:7">
      <c r="A608" t="s">
        <v>356</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356</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327</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327</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335</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332</v>
      </c>
      <c r="D665">
        <v>499</v>
      </c>
      <c r="E665">
        <v>231</v>
      </c>
      <c r="F665">
        <v>316</v>
      </c>
      <c r="G665">
        <v>1046</v>
      </c>
    </row>
    <row r="666" spans="1:7">
      <c r="A666" t="s">
        <v>391</v>
      </c>
    </row>
    <row r="667" spans="1:7">
      <c r="A667" t="s">
        <v>903</v>
      </c>
      <c r="B667">
        <v>141</v>
      </c>
      <c r="D667">
        <v>181</v>
      </c>
      <c r="E667">
        <v>82</v>
      </c>
      <c r="F667">
        <v>96</v>
      </c>
      <c r="G667">
        <v>500</v>
      </c>
    </row>
    <row r="668" spans="1:7">
      <c r="A668" t="s">
        <v>790</v>
      </c>
      <c r="B668">
        <v>343</v>
      </c>
      <c r="C668">
        <v>416</v>
      </c>
      <c r="D668">
        <v>216</v>
      </c>
      <c r="G668">
        <v>975</v>
      </c>
    </row>
    <row r="669" spans="1:7">
      <c r="A669" t="s">
        <v>327</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335</v>
      </c>
      <c r="D684">
        <v>358</v>
      </c>
      <c r="G684">
        <v>358</v>
      </c>
    </row>
    <row r="685" spans="1:7">
      <c r="A685" t="s">
        <v>425</v>
      </c>
      <c r="D685">
        <v>1241</v>
      </c>
      <c r="G685">
        <v>1241</v>
      </c>
    </row>
    <row r="686" spans="1:7">
      <c r="A686" t="s">
        <v>332</v>
      </c>
      <c r="B686">
        <v>503</v>
      </c>
      <c r="C686">
        <v>295</v>
      </c>
      <c r="F686">
        <v>6</v>
      </c>
      <c r="G686">
        <v>804</v>
      </c>
    </row>
    <row r="687" spans="1:7">
      <c r="A687" t="s">
        <v>391</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335</v>
      </c>
      <c r="E706">
        <v>99</v>
      </c>
      <c r="G706">
        <v>99</v>
      </c>
    </row>
    <row r="707" spans="1:7">
      <c r="A707" t="s">
        <v>425</v>
      </c>
    </row>
    <row r="708" spans="1:7">
      <c r="A708" t="s">
        <v>676</v>
      </c>
    </row>
    <row r="709" spans="1:7">
      <c r="A709" t="s">
        <v>332</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391</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324</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335</v>
      </c>
    </row>
    <row r="743" spans="1:7">
      <c r="A743" t="s">
        <v>425</v>
      </c>
      <c r="D743">
        <v>139</v>
      </c>
      <c r="G743">
        <v>139</v>
      </c>
    </row>
    <row r="744" spans="1:7">
      <c r="A744" t="s">
        <v>332</v>
      </c>
    </row>
    <row r="745" spans="1:7">
      <c r="A745" t="s">
        <v>395</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338</v>
      </c>
      <c r="C753">
        <v>251</v>
      </c>
      <c r="D753">
        <v>253</v>
      </c>
      <c r="E753">
        <v>1076</v>
      </c>
      <c r="G753">
        <v>1580</v>
      </c>
    </row>
    <row r="754" spans="1:7">
      <c r="A754" t="s">
        <v>324</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335</v>
      </c>
    </row>
    <row r="763" spans="1:7">
      <c r="A763" t="s">
        <v>425</v>
      </c>
      <c r="B763">
        <v>60</v>
      </c>
      <c r="G763">
        <v>60</v>
      </c>
    </row>
    <row r="764" spans="1:7">
      <c r="A764" t="s">
        <v>84</v>
      </c>
      <c r="E764">
        <v>175</v>
      </c>
      <c r="G764">
        <v>175</v>
      </c>
    </row>
    <row r="765" spans="1:7">
      <c r="A765" t="s">
        <v>908</v>
      </c>
      <c r="C765">
        <v>224</v>
      </c>
      <c r="G765">
        <v>224</v>
      </c>
    </row>
    <row r="766" spans="1:7">
      <c r="A766" t="s">
        <v>327</v>
      </c>
      <c r="D766">
        <v>406</v>
      </c>
      <c r="G766">
        <v>406</v>
      </c>
    </row>
    <row r="767" spans="1:7">
      <c r="A767" t="s">
        <v>265</v>
      </c>
      <c r="D767">
        <v>362</v>
      </c>
      <c r="E767">
        <v>399</v>
      </c>
      <c r="G767">
        <v>761</v>
      </c>
    </row>
    <row r="768" spans="1:7">
      <c r="A768" t="s">
        <v>772</v>
      </c>
    </row>
    <row r="769" spans="1:7">
      <c r="A769" t="s">
        <v>742</v>
      </c>
    </row>
    <row r="770" spans="1:7">
      <c r="A770" t="s">
        <v>338</v>
      </c>
      <c r="C770">
        <v>120</v>
      </c>
      <c r="D770">
        <v>190</v>
      </c>
      <c r="G770">
        <v>310</v>
      </c>
    </row>
    <row r="771" spans="1:7">
      <c r="A771" t="s">
        <v>324</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341</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335</v>
      </c>
    </row>
    <row r="790" spans="1:7">
      <c r="A790" t="s">
        <v>84</v>
      </c>
      <c r="B790">
        <v>229</v>
      </c>
      <c r="G790">
        <v>229</v>
      </c>
    </row>
    <row r="791" spans="1:7">
      <c r="A791" t="s">
        <v>395</v>
      </c>
      <c r="C791">
        <v>134</v>
      </c>
      <c r="E791">
        <v>450</v>
      </c>
      <c r="F791">
        <v>352</v>
      </c>
      <c r="G791">
        <v>936</v>
      </c>
    </row>
    <row r="792" spans="1:7">
      <c r="A792" t="s">
        <v>908</v>
      </c>
      <c r="D792">
        <v>201</v>
      </c>
      <c r="F792">
        <v>352</v>
      </c>
      <c r="G792">
        <v>553</v>
      </c>
    </row>
    <row r="793" spans="1:7">
      <c r="A793" t="s">
        <v>327</v>
      </c>
      <c r="C793">
        <v>665</v>
      </c>
      <c r="D793">
        <v>753</v>
      </c>
      <c r="E793">
        <v>305</v>
      </c>
      <c r="G793">
        <v>1723</v>
      </c>
    </row>
    <row r="794" spans="1:7">
      <c r="A794" t="s">
        <v>338</v>
      </c>
      <c r="B794">
        <v>479</v>
      </c>
      <c r="E794">
        <v>170</v>
      </c>
      <c r="G794">
        <v>649</v>
      </c>
    </row>
    <row r="795" spans="1:7">
      <c r="A795" t="s">
        <v>324</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341</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395</v>
      </c>
      <c r="B815">
        <v>175</v>
      </c>
      <c r="C815">
        <v>270</v>
      </c>
      <c r="G815">
        <v>445</v>
      </c>
    </row>
    <row r="816" spans="1:7">
      <c r="A816" t="s">
        <v>908</v>
      </c>
      <c r="B816">
        <v>65</v>
      </c>
      <c r="C816">
        <v>55</v>
      </c>
      <c r="G816">
        <v>120</v>
      </c>
    </row>
    <row r="817" spans="1:7">
      <c r="A817" t="s">
        <v>327</v>
      </c>
    </row>
    <row r="818" spans="1:7">
      <c r="A818" t="s">
        <v>338</v>
      </c>
      <c r="E818">
        <v>725</v>
      </c>
      <c r="G818">
        <v>725</v>
      </c>
    </row>
    <row r="819" spans="1:7">
      <c r="A819" t="s">
        <v>324</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341</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320</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324</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400</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345</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348</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395</v>
      </c>
      <c r="B860">
        <v>153</v>
      </c>
      <c r="C860">
        <v>244</v>
      </c>
      <c r="E860">
        <v>237</v>
      </c>
      <c r="G860">
        <v>634</v>
      </c>
    </row>
    <row r="861" spans="1:7">
      <c r="A861" t="s">
        <v>908</v>
      </c>
      <c r="B861">
        <v>455</v>
      </c>
      <c r="G861">
        <v>455</v>
      </c>
    </row>
    <row r="862" spans="1:7">
      <c r="A862" t="s">
        <v>327</v>
      </c>
      <c r="B862">
        <v>151</v>
      </c>
      <c r="C862">
        <v>149</v>
      </c>
      <c r="G862">
        <v>300</v>
      </c>
    </row>
    <row r="863" spans="1:7">
      <c r="A863" t="s">
        <v>81</v>
      </c>
      <c r="D863">
        <v>168</v>
      </c>
      <c r="F863">
        <v>34</v>
      </c>
      <c r="G863">
        <v>202</v>
      </c>
    </row>
    <row r="864" spans="1:7">
      <c r="A864" t="s">
        <v>436</v>
      </c>
    </row>
    <row r="865" spans="1:7">
      <c r="A865" t="s">
        <v>400</v>
      </c>
      <c r="C865">
        <v>413</v>
      </c>
      <c r="D865">
        <v>190</v>
      </c>
      <c r="E865">
        <v>1194</v>
      </c>
      <c r="F865">
        <v>306</v>
      </c>
      <c r="G865">
        <v>2103</v>
      </c>
    </row>
    <row r="866" spans="1:7">
      <c r="A866" t="s">
        <v>938</v>
      </c>
      <c r="B866">
        <v>3343</v>
      </c>
      <c r="C866">
        <v>714</v>
      </c>
      <c r="D866">
        <v>2013</v>
      </c>
      <c r="E866">
        <v>1500</v>
      </c>
      <c r="F866">
        <v>1933</v>
      </c>
      <c r="G866">
        <v>9503</v>
      </c>
    </row>
    <row r="867" spans="1:7">
      <c r="A867" t="s">
        <v>345</v>
      </c>
      <c r="B867">
        <v>1100</v>
      </c>
      <c r="C867">
        <v>527</v>
      </c>
      <c r="D867">
        <v>553</v>
      </c>
      <c r="G867">
        <v>2180</v>
      </c>
    </row>
    <row r="868" spans="1:7">
      <c r="A868" t="s">
        <v>458</v>
      </c>
      <c r="C868">
        <v>230</v>
      </c>
      <c r="G868">
        <v>230</v>
      </c>
    </row>
    <row r="869" spans="1:7">
      <c r="A869" t="s">
        <v>776</v>
      </c>
      <c r="B869">
        <v>853</v>
      </c>
      <c r="G869">
        <v>853</v>
      </c>
    </row>
    <row r="870" spans="1:7">
      <c r="A870" t="s">
        <v>348</v>
      </c>
      <c r="B870">
        <v>1186</v>
      </c>
      <c r="C870">
        <v>1564</v>
      </c>
      <c r="D870">
        <v>1012</v>
      </c>
      <c r="E870">
        <v>588</v>
      </c>
      <c r="G870">
        <v>4350</v>
      </c>
    </row>
    <row r="871" spans="1:7">
      <c r="A871" t="s">
        <v>778</v>
      </c>
      <c r="C871">
        <v>1007</v>
      </c>
      <c r="D871">
        <v>1672</v>
      </c>
      <c r="E871">
        <v>1544</v>
      </c>
      <c r="G871">
        <v>4223</v>
      </c>
    </row>
    <row r="872" spans="1:7">
      <c r="A872" t="s">
        <v>366</v>
      </c>
      <c r="C872">
        <v>1182</v>
      </c>
      <c r="D872">
        <v>1604</v>
      </c>
      <c r="E872">
        <v>1268</v>
      </c>
      <c r="G872">
        <v>4054</v>
      </c>
    </row>
    <row r="873" spans="1:7">
      <c r="A873" t="s">
        <v>350</v>
      </c>
      <c r="D873">
        <v>1624</v>
      </c>
      <c r="E873">
        <v>551</v>
      </c>
      <c r="G873">
        <v>2175</v>
      </c>
    </row>
    <row r="874" spans="1:7">
      <c r="A874" t="s">
        <v>346</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327</v>
      </c>
    </row>
    <row r="883" spans="1:7">
      <c r="A883" t="s">
        <v>430</v>
      </c>
      <c r="F883">
        <v>60</v>
      </c>
      <c r="G883">
        <v>60</v>
      </c>
    </row>
    <row r="884" spans="1:7">
      <c r="A884" t="s">
        <v>265</v>
      </c>
    </row>
    <row r="885" spans="1:7">
      <c r="A885" t="s">
        <v>324</v>
      </c>
    </row>
    <row r="886" spans="1:7">
      <c r="A886" t="s">
        <v>81</v>
      </c>
      <c r="B886">
        <v>188</v>
      </c>
      <c r="C886">
        <v>140</v>
      </c>
      <c r="G886">
        <v>328</v>
      </c>
    </row>
    <row r="887" spans="1:7">
      <c r="A887" t="s">
        <v>436</v>
      </c>
      <c r="B887">
        <v>270</v>
      </c>
      <c r="C887">
        <v>60</v>
      </c>
      <c r="G887">
        <v>330</v>
      </c>
    </row>
    <row r="888" spans="1:7">
      <c r="A888" t="s">
        <v>454</v>
      </c>
    </row>
    <row r="889" spans="1:7">
      <c r="A889" t="s">
        <v>400</v>
      </c>
      <c r="B889">
        <v>203</v>
      </c>
      <c r="C889">
        <v>996</v>
      </c>
      <c r="D889">
        <v>1147</v>
      </c>
      <c r="E889">
        <v>1053</v>
      </c>
      <c r="F889">
        <v>955</v>
      </c>
      <c r="G889">
        <v>4354</v>
      </c>
    </row>
    <row r="890" spans="1:7">
      <c r="A890" t="s">
        <v>938</v>
      </c>
      <c r="B890">
        <v>820</v>
      </c>
      <c r="C890">
        <v>2077</v>
      </c>
      <c r="D890">
        <v>1096</v>
      </c>
      <c r="G890">
        <v>3993</v>
      </c>
    </row>
    <row r="891" spans="1:7">
      <c r="A891" t="s">
        <v>345</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366</v>
      </c>
      <c r="B894">
        <v>1310</v>
      </c>
      <c r="G894">
        <v>1310</v>
      </c>
    </row>
    <row r="895" spans="1:7">
      <c r="A895" t="s">
        <v>350</v>
      </c>
      <c r="F895">
        <v>168</v>
      </c>
      <c r="G895">
        <v>168</v>
      </c>
    </row>
    <row r="896" spans="1:7">
      <c r="A896" t="s">
        <v>346</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343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324</v>
      </c>
    </row>
    <row r="911" spans="1:7">
      <c r="A911" t="s">
        <v>341</v>
      </c>
      <c r="F911">
        <v>569</v>
      </c>
      <c r="G911">
        <v>569</v>
      </c>
    </row>
    <row r="912" spans="1:7">
      <c r="A912" t="s">
        <v>400</v>
      </c>
    </row>
    <row r="913" spans="1:7">
      <c r="A913" t="s">
        <v>329</v>
      </c>
      <c r="D913">
        <v>150</v>
      </c>
      <c r="G913">
        <v>150</v>
      </c>
    </row>
    <row r="914" spans="1:7">
      <c r="A914" t="s">
        <v>348</v>
      </c>
    </row>
    <row r="915" spans="1:7">
      <c r="A915" t="s">
        <v>366</v>
      </c>
      <c r="B915">
        <v>701</v>
      </c>
      <c r="G915">
        <v>701</v>
      </c>
    </row>
    <row r="916" spans="1:7">
      <c r="A916" t="s">
        <v>350</v>
      </c>
      <c r="B916">
        <v>463</v>
      </c>
      <c r="C916">
        <v>633</v>
      </c>
      <c r="D916">
        <v>625</v>
      </c>
      <c r="G916">
        <v>1721</v>
      </c>
    </row>
    <row r="917" spans="1:7">
      <c r="A917" t="s">
        <v>346</v>
      </c>
    </row>
    <row r="918" spans="1:7">
      <c r="A918" t="s">
        <v>343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940</v>
      </c>
      <c r="B923">
        <v>365</v>
      </c>
      <c r="G923">
        <v>365</v>
      </c>
    </row>
    <row r="924" spans="1:7">
      <c r="A924" t="s">
        <v>352</v>
      </c>
      <c r="B924">
        <v>207</v>
      </c>
      <c r="G924">
        <v>207</v>
      </c>
    </row>
    <row r="925" spans="1:7">
      <c r="A925" t="s">
        <v>101</v>
      </c>
      <c r="C925">
        <v>1691</v>
      </c>
      <c r="D925">
        <v>1998</v>
      </c>
      <c r="E925">
        <v>760</v>
      </c>
      <c r="F925">
        <v>3975</v>
      </c>
      <c r="G925">
        <v>8424</v>
      </c>
    </row>
    <row r="926" spans="1:7">
      <c r="A926" t="s">
        <v>377</v>
      </c>
      <c r="D926">
        <v>1031</v>
      </c>
      <c r="G926">
        <v>1031</v>
      </c>
    </row>
    <row r="927" spans="1:7">
      <c r="A927" t="s">
        <v>349</v>
      </c>
      <c r="E927">
        <v>1063</v>
      </c>
      <c r="F927">
        <v>1263</v>
      </c>
      <c r="G927">
        <v>2326</v>
      </c>
    </row>
    <row r="928" spans="1:7">
      <c r="A928" t="s">
        <v>398</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320</v>
      </c>
    </row>
    <row r="940" spans="1:7">
      <c r="A940" t="s">
        <v>400</v>
      </c>
      <c r="B940">
        <v>560</v>
      </c>
      <c r="G940">
        <v>560</v>
      </c>
    </row>
    <row r="941" spans="1:7">
      <c r="A941" t="s">
        <v>348</v>
      </c>
    </row>
    <row r="942" spans="1:7">
      <c r="A942" t="s">
        <v>366</v>
      </c>
      <c r="B942">
        <v>138</v>
      </c>
      <c r="G942">
        <v>138</v>
      </c>
    </row>
    <row r="943" spans="1:7">
      <c r="A943" t="s">
        <v>346</v>
      </c>
    </row>
    <row r="944" spans="1:7">
      <c r="A944" t="s">
        <v>343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400</v>
      </c>
      <c r="C970">
        <v>17</v>
      </c>
      <c r="F970">
        <v>17</v>
      </c>
    </row>
    <row r="971" spans="1:7">
      <c r="A971" t="s">
        <v>366</v>
      </c>
    </row>
    <row r="972" spans="1:7">
      <c r="A972" t="s">
        <v>374</v>
      </c>
      <c r="B972">
        <v>127</v>
      </c>
      <c r="F972">
        <v>127</v>
      </c>
    </row>
    <row r="973" spans="1:7">
      <c r="A973" t="s">
        <v>231</v>
      </c>
      <c r="B973">
        <v>420</v>
      </c>
      <c r="F973">
        <v>420</v>
      </c>
    </row>
    <row r="974" spans="1:7">
      <c r="A974" t="s">
        <v>377</v>
      </c>
    </row>
    <row r="975" spans="1:7">
      <c r="A975" t="s">
        <v>234</v>
      </c>
      <c r="C975">
        <v>1917</v>
      </c>
      <c r="F975">
        <v>1917</v>
      </c>
    </row>
    <row r="976" spans="1:7">
      <c r="A976" t="s">
        <v>360</v>
      </c>
      <c r="B976">
        <v>956</v>
      </c>
      <c r="F976">
        <v>956</v>
      </c>
    </row>
    <row r="977" spans="1:6">
      <c r="A977" t="s">
        <v>355</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8" activePane="bottomLeft" state="frozen"/>
      <selection pane="bottomLeft" activeCell="A2091" sqref="A209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385</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385</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385</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385</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385</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385</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385</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385</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385</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385</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385</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385</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385</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385</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385</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385</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385</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385</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385</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385</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385</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385</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385</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385</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385</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385</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385</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385</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385</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385</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385</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385</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385</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335</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335</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335</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335</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335</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335</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332</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332</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391</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391</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332</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332</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395</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356</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356</v>
      </c>
      <c r="B1204" s="311" t="s">
        <v>885</v>
      </c>
      <c r="C1204" s="56">
        <v>45810</v>
      </c>
      <c r="D1204" s="43">
        <v>275</v>
      </c>
      <c r="G1204" t="s">
        <v>1326</v>
      </c>
    </row>
    <row r="1205" spans="1:7">
      <c r="A1205" s="360" t="s">
        <v>371</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356</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391</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356</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391</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356</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356</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356</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356</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356</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356</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356</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356</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356</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356</v>
      </c>
      <c r="B1269" s="315" t="s">
        <v>885</v>
      </c>
      <c r="C1269" s="56">
        <v>45828</v>
      </c>
      <c r="D1269" s="43">
        <v>52</v>
      </c>
      <c r="F1269" s="43" t="s">
        <v>1005</v>
      </c>
      <c r="G1269" t="s">
        <v>1326</v>
      </c>
    </row>
    <row r="1270" spans="1:7">
      <c r="A1270" s="319" t="s">
        <v>371</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356</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356</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336</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371</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336</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336</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332</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336</v>
      </c>
      <c r="C1331" s="56">
        <v>45849</v>
      </c>
      <c r="D1331" s="43">
        <v>198</v>
      </c>
      <c r="G1331" t="s">
        <v>1359</v>
      </c>
    </row>
    <row r="1332" spans="1:7">
      <c r="A1332" s="251" t="s">
        <v>813</v>
      </c>
      <c r="B1332" s="412" t="s">
        <v>885</v>
      </c>
      <c r="C1332" s="56">
        <v>45852</v>
      </c>
      <c r="F1332" s="43" t="s">
        <v>1022</v>
      </c>
      <c r="G1332" t="s">
        <v>1359</v>
      </c>
    </row>
    <row r="1333" spans="1:7">
      <c r="A1333" s="635" t="s">
        <v>425</v>
      </c>
      <c r="B1333" s="158" t="s">
        <v>336</v>
      </c>
      <c r="C1333" s="56">
        <v>45852</v>
      </c>
      <c r="D1333" s="43">
        <v>862</v>
      </c>
      <c r="G1333" t="s">
        <v>1359</v>
      </c>
    </row>
    <row r="1334" spans="1:7">
      <c r="A1334" s="322" t="s">
        <v>903</v>
      </c>
      <c r="B1334" s="412" t="s">
        <v>885</v>
      </c>
      <c r="C1334" s="56">
        <v>45853</v>
      </c>
      <c r="D1334" s="43">
        <v>203</v>
      </c>
      <c r="G1334" t="s">
        <v>1359</v>
      </c>
    </row>
    <row r="1335" spans="1:7">
      <c r="A1335" s="142" t="s">
        <v>356</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335</v>
      </c>
      <c r="B1337" s="158" t="s">
        <v>336</v>
      </c>
      <c r="C1337" s="56">
        <v>45853</v>
      </c>
      <c r="D1337" s="43">
        <v>403</v>
      </c>
      <c r="G1337" t="s">
        <v>1359</v>
      </c>
    </row>
    <row r="1338" spans="1:7">
      <c r="A1338" s="322" t="s">
        <v>903</v>
      </c>
      <c r="B1338" s="315" t="s">
        <v>885</v>
      </c>
      <c r="C1338" s="56">
        <v>45854</v>
      </c>
      <c r="D1338" s="43">
        <v>170</v>
      </c>
      <c r="G1338" t="s">
        <v>1359</v>
      </c>
    </row>
    <row r="1339" spans="1:7">
      <c r="A1339" s="142" t="s">
        <v>356</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335</v>
      </c>
      <c r="B1343" s="322" t="s">
        <v>336</v>
      </c>
      <c r="C1343" s="56">
        <v>45854</v>
      </c>
      <c r="D1343" s="43">
        <v>39</v>
      </c>
      <c r="G1343" t="s">
        <v>1359</v>
      </c>
    </row>
    <row r="1344" spans="1:7">
      <c r="A1344" s="142" t="s">
        <v>356</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356</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356</v>
      </c>
      <c r="B1350" s="412" t="s">
        <v>885</v>
      </c>
      <c r="C1350" s="56">
        <v>45859</v>
      </c>
      <c r="D1350" s="43">
        <v>551</v>
      </c>
      <c r="G1350" t="s">
        <v>1359</v>
      </c>
    </row>
    <row r="1351" spans="1:7">
      <c r="A1351" s="409" t="s">
        <v>356</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335</v>
      </c>
      <c r="B1354" s="158" t="s">
        <v>336</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638</v>
      </c>
      <c r="C1359" s="56">
        <v>45860</v>
      </c>
      <c r="D1359" s="156">
        <v>1107</v>
      </c>
      <c r="G1359" t="s">
        <v>1359</v>
      </c>
    </row>
    <row r="1360" spans="1:7">
      <c r="A1360" s="308" t="s">
        <v>356</v>
      </c>
      <c r="B1360" s="319" t="s">
        <v>885</v>
      </c>
      <c r="C1360" s="56">
        <v>45860</v>
      </c>
      <c r="D1360" s="43">
        <v>316</v>
      </c>
      <c r="G1360" t="s">
        <v>1359</v>
      </c>
    </row>
    <row r="1361" spans="1:7">
      <c r="A1361" s="135" t="s">
        <v>335</v>
      </c>
      <c r="B1361" s="158" t="s">
        <v>336</v>
      </c>
      <c r="C1361" s="56">
        <v>45860</v>
      </c>
      <c r="D1361" s="43">
        <v>318</v>
      </c>
      <c r="G1361" t="s">
        <v>1359</v>
      </c>
    </row>
    <row r="1362" spans="1:7">
      <c r="A1362" s="251" t="s">
        <v>924</v>
      </c>
      <c r="B1362" s="158" t="s">
        <v>336</v>
      </c>
      <c r="C1362" s="56">
        <v>45860</v>
      </c>
      <c r="D1362" s="43">
        <v>605</v>
      </c>
      <c r="G1362" t="s">
        <v>1359</v>
      </c>
    </row>
    <row r="1363" spans="1:7">
      <c r="A1363" s="322" t="s">
        <v>903</v>
      </c>
      <c r="B1363" s="315" t="s">
        <v>885</v>
      </c>
      <c r="C1363" s="56">
        <v>45861</v>
      </c>
      <c r="D1363" s="43">
        <v>272</v>
      </c>
      <c r="F1363" s="43" t="s">
        <v>1376</v>
      </c>
      <c r="G1363" t="s">
        <v>1359</v>
      </c>
    </row>
    <row r="1364" spans="1:7">
      <c r="A1364" s="142" t="s">
        <v>356</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336</v>
      </c>
      <c r="C1370" s="56">
        <v>45861</v>
      </c>
      <c r="D1370" s="43">
        <v>461</v>
      </c>
      <c r="G1370" t="s">
        <v>1359</v>
      </c>
    </row>
    <row r="1371" spans="1:7">
      <c r="A1371" s="322" t="s">
        <v>903</v>
      </c>
      <c r="B1371" s="315" t="s">
        <v>885</v>
      </c>
      <c r="C1371" s="56">
        <v>45862</v>
      </c>
      <c r="D1371" s="43">
        <v>79</v>
      </c>
      <c r="F1371" s="43" t="s">
        <v>1380</v>
      </c>
      <c r="G1371" t="s">
        <v>1359</v>
      </c>
    </row>
    <row r="1372" spans="1:7">
      <c r="A1372" s="142" t="s">
        <v>356</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356</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336</v>
      </c>
      <c r="C1378" s="56">
        <v>45862</v>
      </c>
      <c r="D1378" s="43">
        <v>880</v>
      </c>
      <c r="G1378" t="s">
        <v>1359</v>
      </c>
    </row>
    <row r="1379" spans="1:7">
      <c r="A1379" s="328" t="s">
        <v>332</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356</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336</v>
      </c>
      <c r="C1386" s="56">
        <v>45863</v>
      </c>
      <c r="D1386" s="43">
        <v>585</v>
      </c>
      <c r="F1386" s="43" t="s">
        <v>1017</v>
      </c>
      <c r="G1386" t="s">
        <v>1359</v>
      </c>
    </row>
    <row r="1387" spans="1:7">
      <c r="A1387" s="142" t="s">
        <v>356</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336</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356</v>
      </c>
      <c r="B1401" s="308" t="s">
        <v>1395</v>
      </c>
      <c r="C1401" s="56">
        <v>45868</v>
      </c>
      <c r="E1401" s="325">
        <v>6067</v>
      </c>
      <c r="G1401" t="s">
        <v>1359</v>
      </c>
    </row>
    <row r="1402" spans="1:7">
      <c r="A1402" s="135" t="s">
        <v>327</v>
      </c>
      <c r="B1402" s="322" t="s">
        <v>336</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356</v>
      </c>
      <c r="B1406" s="315" t="s">
        <v>1395</v>
      </c>
      <c r="C1406" s="56">
        <v>45869</v>
      </c>
      <c r="E1406" s="325">
        <v>2691</v>
      </c>
      <c r="G1406" t="s">
        <v>1359</v>
      </c>
    </row>
    <row r="1407" spans="1:7">
      <c r="A1407" s="357" t="s">
        <v>430</v>
      </c>
      <c r="B1407" s="158" t="s">
        <v>336</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336</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336</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336</v>
      </c>
      <c r="C1418" s="56">
        <v>45875</v>
      </c>
      <c r="D1418" s="43">
        <v>840</v>
      </c>
      <c r="G1418" t="s">
        <v>1398</v>
      </c>
    </row>
    <row r="1419" spans="1:7">
      <c r="A1419" s="142" t="s">
        <v>327</v>
      </c>
      <c r="B1419" s="568" t="s">
        <v>336</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336</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336</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336</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335</v>
      </c>
      <c r="B1435" s="315" t="s">
        <v>336</v>
      </c>
      <c r="C1435" s="56">
        <v>45881</v>
      </c>
      <c r="D1435" s="43">
        <v>319</v>
      </c>
      <c r="G1435" t="s">
        <v>1398</v>
      </c>
    </row>
    <row r="1436" spans="1:7">
      <c r="A1436" s="569" t="s">
        <v>430</v>
      </c>
      <c r="B1436" s="315" t="s">
        <v>336</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336</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336</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336</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336</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336</v>
      </c>
      <c r="C1466" s="56">
        <v>45888</v>
      </c>
      <c r="D1466" s="43">
        <v>408</v>
      </c>
      <c r="F1466" s="116"/>
      <c r="G1466" t="s">
        <v>1398</v>
      </c>
    </row>
    <row r="1467" spans="1:7">
      <c r="A1467" s="601" t="s">
        <v>332</v>
      </c>
      <c r="B1467" s="322" t="s">
        <v>885</v>
      </c>
      <c r="C1467" s="56">
        <v>45888</v>
      </c>
      <c r="F1467" s="142" t="s">
        <v>1413</v>
      </c>
      <c r="G1467" t="s">
        <v>1398</v>
      </c>
    </row>
    <row r="1468" spans="1:7">
      <c r="A1468" s="251" t="s">
        <v>327</v>
      </c>
      <c r="B1468" s="315" t="s">
        <v>336</v>
      </c>
      <c r="C1468" s="56">
        <v>45888</v>
      </c>
      <c r="D1468" s="43">
        <v>430</v>
      </c>
      <c r="F1468" s="171"/>
      <c r="G1468" t="s">
        <v>1398</v>
      </c>
    </row>
    <row r="1469" spans="1:7">
      <c r="A1469" s="88" t="s">
        <v>903</v>
      </c>
      <c r="B1469" s="412" t="s">
        <v>885</v>
      </c>
      <c r="C1469" s="56">
        <v>45889</v>
      </c>
      <c r="D1469" s="43">
        <v>181</v>
      </c>
      <c r="G1469" t="s">
        <v>1398</v>
      </c>
    </row>
    <row r="1470" spans="1:7">
      <c r="A1470" s="88" t="s">
        <v>391</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336</v>
      </c>
      <c r="C1474" s="56">
        <v>45889</v>
      </c>
      <c r="D1474" s="43">
        <v>607</v>
      </c>
      <c r="F1474" s="43" t="s">
        <v>1414</v>
      </c>
      <c r="G1474" t="s">
        <v>1398</v>
      </c>
    </row>
    <row r="1475" spans="1:7">
      <c r="A1475" s="601" t="s">
        <v>332</v>
      </c>
      <c r="B1475" s="322" t="s">
        <v>885</v>
      </c>
      <c r="C1475" s="56">
        <v>45889</v>
      </c>
      <c r="D1475" s="43">
        <v>499</v>
      </c>
      <c r="G1475" t="s">
        <v>1398</v>
      </c>
    </row>
    <row r="1476" spans="1:7">
      <c r="A1476" s="88" t="s">
        <v>903</v>
      </c>
      <c r="B1476" s="412" t="s">
        <v>885</v>
      </c>
      <c r="C1476" s="56">
        <v>45890</v>
      </c>
      <c r="D1476" s="43">
        <v>82</v>
      </c>
      <c r="G1476" t="s">
        <v>1398</v>
      </c>
    </row>
    <row r="1477" spans="1:7">
      <c r="A1477" s="88" t="s">
        <v>391</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336</v>
      </c>
      <c r="C1482" s="56">
        <v>45890</v>
      </c>
      <c r="D1482" s="156">
        <v>1022</v>
      </c>
      <c r="G1482" t="s">
        <v>1398</v>
      </c>
    </row>
    <row r="1483" spans="1:7">
      <c r="A1483" s="601" t="s">
        <v>332</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336</v>
      </c>
      <c r="C1488" s="56">
        <v>45891</v>
      </c>
      <c r="E1488" s="325">
        <v>6090</v>
      </c>
      <c r="F1488" s="43" t="s">
        <v>1418</v>
      </c>
      <c r="G1488" t="s">
        <v>1398</v>
      </c>
    </row>
    <row r="1489" spans="1:7">
      <c r="A1489" s="601" t="s">
        <v>332</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336</v>
      </c>
      <c r="C1495" s="56">
        <v>45894</v>
      </c>
      <c r="D1495" s="43">
        <v>639</v>
      </c>
      <c r="G1495" t="s">
        <v>1398</v>
      </c>
    </row>
    <row r="1496" spans="1:7">
      <c r="A1496" s="601" t="s">
        <v>332</v>
      </c>
      <c r="B1496" s="322" t="s">
        <v>885</v>
      </c>
      <c r="C1496" s="56">
        <v>45894</v>
      </c>
      <c r="D1496" s="43">
        <v>503</v>
      </c>
      <c r="G1496" t="s">
        <v>1398</v>
      </c>
    </row>
    <row r="1497" spans="1:7">
      <c r="A1497" s="88" t="s">
        <v>903</v>
      </c>
      <c r="B1497" s="412" t="s">
        <v>885</v>
      </c>
      <c r="C1497" s="56">
        <v>45895</v>
      </c>
      <c r="F1497" s="43" t="s">
        <v>1155</v>
      </c>
      <c r="G1497" t="s">
        <v>1398</v>
      </c>
    </row>
    <row r="1498" spans="1:7">
      <c r="A1498" s="88" t="s">
        <v>391</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332</v>
      </c>
      <c r="B1504" s="650" t="s">
        <v>885</v>
      </c>
      <c r="C1504" s="56">
        <v>45895</v>
      </c>
      <c r="D1504" s="43">
        <v>295</v>
      </c>
      <c r="G1504" t="s">
        <v>1398</v>
      </c>
    </row>
    <row r="1505" spans="1:7">
      <c r="A1505" s="647" t="s">
        <v>425</v>
      </c>
      <c r="B1505" s="360" t="s">
        <v>336</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335</v>
      </c>
      <c r="B1512" s="359" t="s">
        <v>336</v>
      </c>
      <c r="C1512" s="56">
        <v>45896</v>
      </c>
      <c r="D1512" s="43">
        <v>358</v>
      </c>
      <c r="F1512" s="43" t="s">
        <v>1427</v>
      </c>
      <c r="G1512" t="s">
        <v>1398</v>
      </c>
    </row>
    <row r="1513" spans="1:7">
      <c r="A1513" s="662" t="s">
        <v>425</v>
      </c>
      <c r="B1513" s="142" t="s">
        <v>336</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336</v>
      </c>
      <c r="C1518" s="56">
        <v>45897</v>
      </c>
      <c r="F1518" s="43" t="s">
        <v>1017</v>
      </c>
      <c r="G1518" t="s">
        <v>1398</v>
      </c>
    </row>
    <row r="1519" spans="1:7">
      <c r="A1519" s="601" t="s">
        <v>265</v>
      </c>
      <c r="B1519" s="650" t="s">
        <v>885</v>
      </c>
      <c r="C1519" s="56">
        <v>45897</v>
      </c>
      <c r="D1519" s="43">
        <v>320</v>
      </c>
      <c r="G1519" t="s">
        <v>1398</v>
      </c>
    </row>
    <row r="1520" spans="1:7">
      <c r="A1520" s="647" t="s">
        <v>335</v>
      </c>
      <c r="B1520" s="360" t="s">
        <v>336</v>
      </c>
      <c r="C1520" s="56">
        <v>45897</v>
      </c>
      <c r="F1520" s="315" t="s">
        <v>1155</v>
      </c>
      <c r="G1520" t="s">
        <v>1398</v>
      </c>
    </row>
    <row r="1521" spans="1:7">
      <c r="A1521" s="124" t="s">
        <v>425</v>
      </c>
      <c r="B1521" s="359" t="s">
        <v>336</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336</v>
      </c>
      <c r="C1524" s="56">
        <v>45898</v>
      </c>
      <c r="F1524" s="142" t="s">
        <v>1005</v>
      </c>
      <c r="G1524" t="s">
        <v>1398</v>
      </c>
    </row>
    <row r="1525" spans="1:7">
      <c r="A1525" s="330" t="s">
        <v>332</v>
      </c>
      <c r="B1525" s="319" t="s">
        <v>885</v>
      </c>
      <c r="C1525" s="56">
        <v>45898</v>
      </c>
      <c r="D1525" s="43">
        <v>6</v>
      </c>
      <c r="F1525" s="43" t="s">
        <v>1433</v>
      </c>
      <c r="G1525" t="s">
        <v>1398</v>
      </c>
    </row>
    <row r="1526" spans="1:7">
      <c r="A1526" s="348" t="s">
        <v>430</v>
      </c>
      <c r="B1526" s="315" t="s">
        <v>336</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332</v>
      </c>
      <c r="B1531" s="319" t="s">
        <v>885</v>
      </c>
      <c r="C1531" s="56">
        <v>45902</v>
      </c>
      <c r="D1531" s="43">
        <v>15</v>
      </c>
      <c r="F1531" s="43" t="s">
        <v>1439</v>
      </c>
      <c r="G1531" t="s">
        <v>1436</v>
      </c>
    </row>
    <row r="1532" spans="1:7">
      <c r="A1532" s="251" t="s">
        <v>425</v>
      </c>
      <c r="B1532" s="315" t="s">
        <v>336</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332</v>
      </c>
      <c r="B1539" s="322" t="s">
        <v>885</v>
      </c>
      <c r="C1539" s="56">
        <v>45903</v>
      </c>
      <c r="D1539" s="43">
        <v>65</v>
      </c>
      <c r="F1539" s="142" t="s">
        <v>1446</v>
      </c>
      <c r="G1539" t="s">
        <v>1436</v>
      </c>
    </row>
    <row r="1540" spans="1:7">
      <c r="A1540" s="667" t="s">
        <v>425</v>
      </c>
      <c r="B1540" s="359" t="s">
        <v>336</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335</v>
      </c>
      <c r="B1546" s="315" t="s">
        <v>885</v>
      </c>
      <c r="C1546" s="56">
        <v>45904</v>
      </c>
      <c r="D1546" s="43">
        <v>99</v>
      </c>
      <c r="F1546" s="43" t="s">
        <v>1450</v>
      </c>
      <c r="G1546" t="s">
        <v>1436</v>
      </c>
    </row>
    <row r="1547" spans="1:7">
      <c r="A1547" s="601" t="s">
        <v>332</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324</v>
      </c>
      <c r="B1563" s="650" t="s">
        <v>325</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391</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324</v>
      </c>
      <c r="B1570" s="251" t="s">
        <v>325</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324</v>
      </c>
      <c r="B1574" s="251" t="s">
        <v>325</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324</v>
      </c>
      <c r="B1579" s="251" t="s">
        <v>325</v>
      </c>
      <c r="C1579" s="56">
        <v>45915</v>
      </c>
      <c r="D1579" s="43">
        <v>829</v>
      </c>
      <c r="F1579" s="69" t="s">
        <v>1319</v>
      </c>
      <c r="G1579" t="s">
        <v>1436</v>
      </c>
    </row>
    <row r="1580" spans="1:7">
      <c r="A1580" s="116" t="s">
        <v>332</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324</v>
      </c>
      <c r="B1585" s="251" t="s">
        <v>325</v>
      </c>
      <c r="C1585" s="56">
        <v>45916</v>
      </c>
      <c r="F1585" s="756" t="s">
        <v>1005</v>
      </c>
      <c r="G1585" t="s">
        <v>1436</v>
      </c>
    </row>
    <row r="1586" spans="1:7">
      <c r="A1586" s="158" t="s">
        <v>335</v>
      </c>
      <c r="B1586" s="251" t="s">
        <v>885</v>
      </c>
      <c r="C1586" s="56">
        <v>45916</v>
      </c>
      <c r="F1586" s="757" t="s">
        <v>1463</v>
      </c>
      <c r="G1586" t="s">
        <v>1436</v>
      </c>
    </row>
    <row r="1587" spans="1:7">
      <c r="A1587" s="116" t="s">
        <v>332</v>
      </c>
      <c r="B1587" s="382" t="s">
        <v>885</v>
      </c>
      <c r="C1587" s="56">
        <v>45916</v>
      </c>
      <c r="F1587" s="755" t="s">
        <v>1463</v>
      </c>
      <c r="G1587" t="s">
        <v>1436</v>
      </c>
    </row>
    <row r="1588" spans="1:7">
      <c r="A1588" s="667" t="s">
        <v>338</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324</v>
      </c>
      <c r="B1593" s="142" t="s">
        <v>325</v>
      </c>
      <c r="C1593" s="56">
        <v>45917</v>
      </c>
      <c r="D1593" s="43">
        <v>863</v>
      </c>
      <c r="F1593" s="756"/>
      <c r="G1593" t="s">
        <v>1436</v>
      </c>
    </row>
    <row r="1594" spans="1:7">
      <c r="A1594" s="760" t="s">
        <v>338</v>
      </c>
      <c r="B1594" s="309" t="s">
        <v>227</v>
      </c>
      <c r="C1594" s="56">
        <v>45917</v>
      </c>
      <c r="D1594" s="43">
        <v>253</v>
      </c>
      <c r="F1594" s="756"/>
      <c r="G1594" t="s">
        <v>1436</v>
      </c>
    </row>
    <row r="1595" spans="1:7">
      <c r="A1595" s="330" t="s">
        <v>335</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395</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324</v>
      </c>
      <c r="B1603" s="251" t="s">
        <v>325</v>
      </c>
      <c r="C1603" s="56">
        <v>45918</v>
      </c>
      <c r="D1603" s="43">
        <v>499</v>
      </c>
      <c r="F1603" s="756"/>
      <c r="G1603" t="s">
        <v>1436</v>
      </c>
    </row>
    <row r="1604" spans="1:7">
      <c r="A1604" s="667" t="s">
        <v>338</v>
      </c>
      <c r="B1604" s="142" t="s">
        <v>227</v>
      </c>
      <c r="C1604" s="56">
        <v>45918</v>
      </c>
      <c r="D1604" s="156">
        <v>1076</v>
      </c>
      <c r="F1604" s="756"/>
      <c r="G1604" t="s">
        <v>1436</v>
      </c>
    </row>
    <row r="1605" spans="1:7">
      <c r="A1605" s="158" t="s">
        <v>335</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324</v>
      </c>
      <c r="B1608" s="251" t="s">
        <v>325</v>
      </c>
      <c r="C1608" s="56">
        <v>45919</v>
      </c>
      <c r="D1608" s="43">
        <v>475</v>
      </c>
      <c r="F1608" s="756"/>
      <c r="G1608" t="s">
        <v>1436</v>
      </c>
    </row>
    <row r="1609" spans="1:7">
      <c r="A1609" s="667" t="s">
        <v>338</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382</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324</v>
      </c>
      <c r="B1616" s="142" t="s">
        <v>325</v>
      </c>
      <c r="C1616" s="56">
        <v>45922</v>
      </c>
      <c r="D1616" s="43">
        <v>839</v>
      </c>
      <c r="F1616" s="756"/>
      <c r="G1616" t="s">
        <v>1436</v>
      </c>
    </row>
    <row r="1617" spans="1:7">
      <c r="A1617" s="769" t="s">
        <v>338</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382</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324</v>
      </c>
      <c r="B1625" s="251" t="s">
        <v>325</v>
      </c>
      <c r="C1625" s="56">
        <v>45923</v>
      </c>
      <c r="F1625" s="782" t="s">
        <v>1481</v>
      </c>
      <c r="G1625" t="s">
        <v>1436</v>
      </c>
    </row>
    <row r="1626" spans="1:7">
      <c r="A1626" s="667" t="s">
        <v>338</v>
      </c>
      <c r="B1626" s="779" t="s">
        <v>227</v>
      </c>
      <c r="C1626" s="56">
        <v>45923</v>
      </c>
      <c r="D1626" s="43">
        <v>120</v>
      </c>
      <c r="F1626" s="69"/>
      <c r="G1626" t="s">
        <v>1436</v>
      </c>
    </row>
    <row r="1627" spans="1:7">
      <c r="A1627" s="158" t="s">
        <v>335</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382</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324</v>
      </c>
      <c r="B1636" s="413" t="s">
        <v>325</v>
      </c>
      <c r="C1636" s="355">
        <v>45924</v>
      </c>
      <c r="D1636" s="43">
        <v>616</v>
      </c>
      <c r="F1636" s="92"/>
      <c r="G1636" t="s">
        <v>1436</v>
      </c>
    </row>
    <row r="1637" spans="1:7">
      <c r="A1637" s="667" t="s">
        <v>338</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327</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382</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324</v>
      </c>
      <c r="B1651" s="251" t="s">
        <v>325</v>
      </c>
      <c r="C1651" s="56">
        <v>45925</v>
      </c>
      <c r="D1651" s="43">
        <v>969</v>
      </c>
      <c r="G1651" t="s">
        <v>1436</v>
      </c>
    </row>
    <row r="1652" spans="1:7">
      <c r="A1652" s="667" t="s">
        <v>338</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382</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325</v>
      </c>
      <c r="C1657" s="56">
        <v>45926</v>
      </c>
      <c r="D1657" s="43">
        <v>300</v>
      </c>
      <c r="G1657" t="s">
        <v>1436</v>
      </c>
    </row>
    <row r="1658" spans="1:7">
      <c r="A1658" s="308" t="s">
        <v>934</v>
      </c>
      <c r="B1658" s="761" t="s">
        <v>1493</v>
      </c>
      <c r="C1658" s="56">
        <v>45926</v>
      </c>
      <c r="D1658" s="43">
        <v>364</v>
      </c>
      <c r="G1658" t="s">
        <v>1436</v>
      </c>
    </row>
    <row r="1659" spans="1:7">
      <c r="A1659" s="135" t="s">
        <v>324</v>
      </c>
      <c r="B1659" s="142" t="s">
        <v>325</v>
      </c>
      <c r="C1659" s="56">
        <v>45926</v>
      </c>
      <c r="D1659" s="43">
        <v>552</v>
      </c>
      <c r="G1659" t="s">
        <v>1436</v>
      </c>
    </row>
    <row r="1660" spans="1:7">
      <c r="A1660" s="769" t="s">
        <v>341</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324</v>
      </c>
      <c r="B1669" s="142" t="s">
        <v>325</v>
      </c>
      <c r="C1669" s="56">
        <v>45929</v>
      </c>
      <c r="D1669" s="156">
        <v>1375</v>
      </c>
      <c r="G1669" t="s">
        <v>1436</v>
      </c>
    </row>
    <row r="1670" spans="1:7">
      <c r="A1670" s="769" t="s">
        <v>335</v>
      </c>
      <c r="B1670" s="308" t="s">
        <v>227</v>
      </c>
      <c r="C1670" s="56">
        <v>45929</v>
      </c>
      <c r="F1670" s="142" t="s">
        <v>1352</v>
      </c>
      <c r="G1670" t="s">
        <v>1436</v>
      </c>
    </row>
    <row r="1671" spans="1:7">
      <c r="A1671" s="309" t="s">
        <v>933</v>
      </c>
      <c r="B1671" s="309" t="s">
        <v>885</v>
      </c>
      <c r="C1671" s="56">
        <v>45929</v>
      </c>
      <c r="D1671" s="156">
        <v>1418</v>
      </c>
      <c r="G1671" t="s">
        <v>1436</v>
      </c>
    </row>
    <row r="1672" spans="1:7">
      <c r="A1672" s="43" t="s">
        <v>338</v>
      </c>
      <c r="B1672" s="322" t="s">
        <v>227</v>
      </c>
      <c r="C1672" s="56">
        <v>45929</v>
      </c>
      <c r="D1672" s="43">
        <v>479</v>
      </c>
      <c r="G1672" t="s">
        <v>1436</v>
      </c>
    </row>
    <row r="1673" spans="1:7">
      <c r="A1673" s="43" t="s">
        <v>341</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395</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324</v>
      </c>
      <c r="B1682" s="308" t="s">
        <v>325</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341</v>
      </c>
      <c r="B1685" s="322" t="s">
        <v>227</v>
      </c>
      <c r="C1685" s="56">
        <v>45930</v>
      </c>
      <c r="D1685" s="43">
        <v>251</v>
      </c>
      <c r="G1685" t="s">
        <v>1436</v>
      </c>
    </row>
    <row r="1686" spans="1:7">
      <c r="A1686" s="543" t="s">
        <v>327</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324</v>
      </c>
      <c r="B1693" s="142" t="s">
        <v>325</v>
      </c>
      <c r="C1693" s="56">
        <v>45931</v>
      </c>
      <c r="D1693" s="43">
        <v>312</v>
      </c>
      <c r="G1693" t="s">
        <v>1502</v>
      </c>
    </row>
    <row r="1694" spans="1:7">
      <c r="A1694" s="569" t="s">
        <v>327</v>
      </c>
      <c r="B1694" s="142" t="s">
        <v>227</v>
      </c>
      <c r="C1694" s="56">
        <v>45931</v>
      </c>
      <c r="D1694" s="43">
        <v>753</v>
      </c>
      <c r="G1694" t="s">
        <v>1502</v>
      </c>
    </row>
    <row r="1695" spans="1:7">
      <c r="A1695" s="309" t="s">
        <v>341</v>
      </c>
      <c r="B1695" s="359" t="s">
        <v>227</v>
      </c>
      <c r="C1695" s="56">
        <v>45931</v>
      </c>
      <c r="D1695" s="43">
        <v>224</v>
      </c>
      <c r="G1695" t="s">
        <v>1502</v>
      </c>
    </row>
    <row r="1696" spans="1:7">
      <c r="A1696" s="135" t="s">
        <v>395</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324</v>
      </c>
      <c r="B1703" s="142" t="s">
        <v>325</v>
      </c>
      <c r="C1703" s="56">
        <v>45932</v>
      </c>
      <c r="D1703" s="156">
        <v>1304</v>
      </c>
      <c r="G1703" t="s">
        <v>1502</v>
      </c>
    </row>
    <row r="1704" spans="1:7">
      <c r="A1704" s="309" t="s">
        <v>933</v>
      </c>
      <c r="B1704" s="309" t="s">
        <v>885</v>
      </c>
      <c r="C1704" s="56">
        <v>45932</v>
      </c>
      <c r="D1704" s="43">
        <v>614</v>
      </c>
      <c r="G1704" t="s">
        <v>1502</v>
      </c>
    </row>
    <row r="1705" spans="1:7">
      <c r="A1705" s="569" t="s">
        <v>327</v>
      </c>
      <c r="B1705" s="142" t="s">
        <v>227</v>
      </c>
      <c r="C1705" s="56">
        <v>45932</v>
      </c>
      <c r="D1705" s="43">
        <v>305</v>
      </c>
      <c r="G1705" t="s">
        <v>1502</v>
      </c>
    </row>
    <row r="1706" spans="1:7">
      <c r="A1706" s="309" t="s">
        <v>341</v>
      </c>
      <c r="B1706" s="359" t="s">
        <v>227</v>
      </c>
      <c r="C1706" s="56">
        <v>45932</v>
      </c>
      <c r="D1706" s="43">
        <v>789</v>
      </c>
      <c r="F1706" s="43" t="s">
        <v>1508</v>
      </c>
      <c r="G1706" t="s">
        <v>1502</v>
      </c>
    </row>
    <row r="1707" spans="1:7">
      <c r="A1707" s="142" t="s">
        <v>338</v>
      </c>
      <c r="B1707" s="142" t="s">
        <v>227</v>
      </c>
      <c r="C1707" s="56">
        <v>45932</v>
      </c>
      <c r="D1707" s="43">
        <v>170</v>
      </c>
      <c r="G1707" t="s">
        <v>1502</v>
      </c>
    </row>
    <row r="1708" spans="1:7">
      <c r="A1708" s="135" t="s">
        <v>395</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324</v>
      </c>
      <c r="B1713" s="142" t="s">
        <v>325</v>
      </c>
      <c r="C1713" s="56">
        <v>45933</v>
      </c>
      <c r="D1713" s="43">
        <v>617</v>
      </c>
      <c r="G1713" t="s">
        <v>1502</v>
      </c>
    </row>
    <row r="1714" spans="1:7">
      <c r="A1714" s="309" t="s">
        <v>933</v>
      </c>
      <c r="B1714" s="309" t="s">
        <v>885</v>
      </c>
      <c r="C1714" s="56">
        <v>45933</v>
      </c>
      <c r="D1714" s="43">
        <v>486</v>
      </c>
      <c r="G1714" t="s">
        <v>1502</v>
      </c>
    </row>
    <row r="1715" spans="1:7">
      <c r="A1715" s="310" t="s">
        <v>341</v>
      </c>
      <c r="B1715" s="142" t="s">
        <v>227</v>
      </c>
      <c r="C1715" s="56">
        <v>45933</v>
      </c>
      <c r="F1715" s="43" t="s">
        <v>1511</v>
      </c>
      <c r="G1715" t="s">
        <v>1502</v>
      </c>
    </row>
    <row r="1716" spans="1:7">
      <c r="A1716" s="310" t="s">
        <v>338</v>
      </c>
      <c r="B1716" s="142" t="s">
        <v>227</v>
      </c>
      <c r="C1716" s="56">
        <v>45933</v>
      </c>
      <c r="F1716" s="43" t="s">
        <v>1511</v>
      </c>
      <c r="G1716" t="s">
        <v>1502</v>
      </c>
    </row>
    <row r="1717" spans="1:7">
      <c r="A1717" s="135" t="s">
        <v>908</v>
      </c>
      <c r="B1717" s="315" t="s">
        <v>885</v>
      </c>
      <c r="C1717" s="56">
        <v>45936</v>
      </c>
      <c r="D1717" s="43">
        <v>65</v>
      </c>
      <c r="G1717" t="s">
        <v>1502</v>
      </c>
    </row>
    <row r="1718" spans="1:7">
      <c r="A1718" s="601" t="s">
        <v>395</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324</v>
      </c>
      <c r="B1724" s="142" t="s">
        <v>325</v>
      </c>
      <c r="C1724" s="56">
        <v>45936</v>
      </c>
      <c r="D1724" s="43">
        <v>768</v>
      </c>
      <c r="G1724" t="s">
        <v>1502</v>
      </c>
    </row>
    <row r="1725" spans="1:7">
      <c r="A1725" s="309" t="s">
        <v>933</v>
      </c>
      <c r="B1725" s="309" t="s">
        <v>638</v>
      </c>
      <c r="C1725" s="56">
        <v>45936</v>
      </c>
      <c r="D1725" s="43">
        <v>225</v>
      </c>
      <c r="G1725" t="s">
        <v>1502</v>
      </c>
    </row>
    <row r="1726" spans="1:7">
      <c r="A1726" s="567" t="s">
        <v>327</v>
      </c>
      <c r="B1726" s="310" t="s">
        <v>227</v>
      </c>
      <c r="C1726" s="56">
        <v>45936</v>
      </c>
      <c r="F1726" s="348" t="s">
        <v>1155</v>
      </c>
      <c r="G1726" t="s">
        <v>1502</v>
      </c>
    </row>
    <row r="1727" spans="1:7">
      <c r="A1727" s="315" t="s">
        <v>341</v>
      </c>
      <c r="B1727" s="315" t="s">
        <v>227</v>
      </c>
      <c r="C1727" s="56">
        <v>45936</v>
      </c>
      <c r="D1727" s="156">
        <v>1088</v>
      </c>
      <c r="F1727" s="43" t="s">
        <v>1506</v>
      </c>
      <c r="G1727" t="s">
        <v>1502</v>
      </c>
    </row>
    <row r="1728" spans="1:7">
      <c r="A1728" s="135" t="s">
        <v>395</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324</v>
      </c>
      <c r="B1734" s="142" t="s">
        <v>325</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341</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341</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324</v>
      </c>
      <c r="B1755" s="251" t="s">
        <v>325</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341</v>
      </c>
      <c r="B1758" s="321" t="s">
        <v>227</v>
      </c>
      <c r="C1758" s="56">
        <v>45939</v>
      </c>
      <c r="D1758" s="43">
        <v>369</v>
      </c>
      <c r="G1758" t="s">
        <v>1502</v>
      </c>
    </row>
    <row r="1759" spans="1:7">
      <c r="A1759" s="116" t="s">
        <v>338</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320</v>
      </c>
      <c r="B1766" s="348" t="s">
        <v>885</v>
      </c>
      <c r="C1766" s="56">
        <v>45940</v>
      </c>
      <c r="F1766" s="315" t="s">
        <v>1341</v>
      </c>
      <c r="G1766" t="s">
        <v>1502</v>
      </c>
    </row>
    <row r="1767" spans="1:7">
      <c r="A1767" s="319" t="s">
        <v>327</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400</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400</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345</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400</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324</v>
      </c>
      <c r="B1794" s="315" t="s">
        <v>885</v>
      </c>
      <c r="C1794" s="56">
        <v>45945</v>
      </c>
      <c r="D1794" s="43">
        <v>986</v>
      </c>
      <c r="G1794" t="s">
        <v>1502</v>
      </c>
    </row>
    <row r="1795" spans="1:7">
      <c r="A1795" s="310" t="s">
        <v>348</v>
      </c>
      <c r="B1795" s="359" t="s">
        <v>1537</v>
      </c>
      <c r="C1795" s="56">
        <v>45945</v>
      </c>
      <c r="D1795" s="156">
        <v>1457</v>
      </c>
      <c r="F1795" s="43" t="s">
        <v>1538</v>
      </c>
      <c r="G1795" t="s">
        <v>1502</v>
      </c>
    </row>
    <row r="1796" spans="1:7">
      <c r="A1796" s="315" t="s">
        <v>345</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348</v>
      </c>
      <c r="B1805" s="142" t="s">
        <v>1537</v>
      </c>
      <c r="C1805" s="314">
        <v>45946</v>
      </c>
      <c r="D1805" s="156">
        <v>1142</v>
      </c>
      <c r="F1805" s="43" t="s">
        <v>1543</v>
      </c>
      <c r="G1805" t="s">
        <v>1502</v>
      </c>
    </row>
    <row r="1806" spans="1:7">
      <c r="A1806" s="308" t="s">
        <v>345</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400</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348</v>
      </c>
      <c r="B1812" s="43" t="s">
        <v>1537</v>
      </c>
      <c r="C1812" s="56">
        <v>45947</v>
      </c>
      <c r="D1812" s="43">
        <v>945</v>
      </c>
      <c r="F1812" s="43" t="s">
        <v>1548</v>
      </c>
      <c r="G1812" t="s">
        <v>1502</v>
      </c>
    </row>
    <row r="1813" spans="1:7">
      <c r="A1813" s="990" t="s">
        <v>902</v>
      </c>
      <c r="B1813" s="805" t="s">
        <v>885</v>
      </c>
      <c r="C1813" s="56">
        <v>45950</v>
      </c>
      <c r="D1813" s="43">
        <v>92</v>
      </c>
      <c r="F1813" s="43" t="s">
        <v>1445</v>
      </c>
      <c r="G1813" t="s">
        <v>1502</v>
      </c>
    </row>
    <row r="1814" spans="1:7">
      <c r="A1814" s="991" t="s">
        <v>395</v>
      </c>
      <c r="B1814" s="782" t="s">
        <v>885</v>
      </c>
      <c r="C1814" s="56">
        <v>45950</v>
      </c>
      <c r="D1814" s="43">
        <v>153</v>
      </c>
      <c r="F1814" s="994"/>
      <c r="G1814" t="s">
        <v>1502</v>
      </c>
    </row>
    <row r="1815" spans="1:7">
      <c r="A1815" s="992" t="s">
        <v>400</v>
      </c>
      <c r="B1815" s="993" t="s">
        <v>1493</v>
      </c>
      <c r="C1815" s="56">
        <v>45950</v>
      </c>
      <c r="F1815" s="994" t="s">
        <v>1549</v>
      </c>
      <c r="G1815" t="s">
        <v>1502</v>
      </c>
    </row>
    <row r="1816" spans="1:7">
      <c r="A1816" s="992" t="s">
        <v>908</v>
      </c>
      <c r="B1816" s="993" t="s">
        <v>885</v>
      </c>
      <c r="C1816" s="56">
        <v>45950</v>
      </c>
      <c r="D1816" s="43">
        <v>455</v>
      </c>
      <c r="G1816" t="s">
        <v>1502</v>
      </c>
    </row>
    <row r="1817" spans="1:7">
      <c r="A1817" s="782" t="s">
        <v>776</v>
      </c>
      <c r="B1817" s="782" t="s">
        <v>152</v>
      </c>
      <c r="C1817" s="56">
        <v>45950</v>
      </c>
      <c r="D1817" s="43">
        <v>853</v>
      </c>
      <c r="F1817" s="43" t="s">
        <v>1550</v>
      </c>
      <c r="G1817" t="s">
        <v>1502</v>
      </c>
    </row>
    <row r="1818" spans="1:7">
      <c r="A1818" s="993" t="s">
        <v>938</v>
      </c>
      <c r="B1818" s="993" t="s">
        <v>211</v>
      </c>
      <c r="C1818" s="56">
        <v>45950</v>
      </c>
      <c r="D1818" s="156">
        <v>3343</v>
      </c>
      <c r="F1818" s="43" t="s">
        <v>1551</v>
      </c>
      <c r="G1818" t="s">
        <v>1502</v>
      </c>
    </row>
    <row r="1819" spans="1:7">
      <c r="A1819" s="995" t="s">
        <v>327</v>
      </c>
      <c r="B1819" s="996" t="s">
        <v>885</v>
      </c>
      <c r="C1819" s="56">
        <v>45950</v>
      </c>
      <c r="D1819" s="43">
        <v>151</v>
      </c>
      <c r="G1819" t="s">
        <v>1502</v>
      </c>
    </row>
    <row r="1820" spans="1:7">
      <c r="A1820" s="782" t="s">
        <v>348</v>
      </c>
      <c r="B1820" s="782" t="s">
        <v>1537</v>
      </c>
      <c r="C1820" s="56">
        <v>45950</v>
      </c>
      <c r="D1820" s="156">
        <v>1186</v>
      </c>
      <c r="F1820" s="43" t="s">
        <v>1377</v>
      </c>
      <c r="G1820" t="s">
        <v>1502</v>
      </c>
    </row>
    <row r="1821" spans="1:7">
      <c r="A1821" s="993" t="s">
        <v>345</v>
      </c>
      <c r="B1821" s="993" t="s">
        <v>227</v>
      </c>
      <c r="C1821" s="56">
        <v>45950</v>
      </c>
      <c r="D1821" s="156">
        <v>1100</v>
      </c>
      <c r="G1821" t="s">
        <v>1502</v>
      </c>
    </row>
    <row r="1822" spans="1:7">
      <c r="A1822" s="1013" t="s">
        <v>395</v>
      </c>
      <c r="B1822" s="1004" t="s">
        <v>885</v>
      </c>
      <c r="C1822" s="56">
        <v>45951</v>
      </c>
      <c r="D1822" s="156">
        <v>244</v>
      </c>
      <c r="G1822" t="s">
        <v>1502</v>
      </c>
    </row>
    <row r="1823" spans="1:7">
      <c r="A1823" s="88" t="s">
        <v>400</v>
      </c>
      <c r="B1823" s="999" t="s">
        <v>1493</v>
      </c>
      <c r="C1823" s="56">
        <v>45951</v>
      </c>
      <c r="D1823" s="43">
        <v>413</v>
      </c>
      <c r="F1823" s="43" t="s">
        <v>971</v>
      </c>
      <c r="G1823" t="s">
        <v>1502</v>
      </c>
    </row>
    <row r="1824" spans="1:7">
      <c r="A1824" s="1000"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2" t="s">
        <v>778</v>
      </c>
      <c r="B1826" s="1003"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327</v>
      </c>
      <c r="B1828" s="1004" t="s">
        <v>885</v>
      </c>
      <c r="C1828" s="56">
        <v>45951</v>
      </c>
      <c r="D1828" s="43">
        <v>149</v>
      </c>
      <c r="G1828" t="s">
        <v>1502</v>
      </c>
    </row>
    <row r="1829" spans="1:7">
      <c r="A1829" s="755" t="s">
        <v>348</v>
      </c>
      <c r="B1829" s="116" t="s">
        <v>1537</v>
      </c>
      <c r="C1829" s="56">
        <v>45951</v>
      </c>
      <c r="D1829" s="156">
        <v>1564</v>
      </c>
      <c r="F1829" s="43" t="s">
        <v>1555</v>
      </c>
      <c r="G1829" t="s">
        <v>1502</v>
      </c>
    </row>
    <row r="1830" spans="1:7">
      <c r="A1830" s="43" t="s">
        <v>345</v>
      </c>
      <c r="B1830" s="142" t="s">
        <v>227</v>
      </c>
      <c r="C1830" s="56">
        <v>45951</v>
      </c>
      <c r="D1830" s="43">
        <v>527</v>
      </c>
      <c r="F1830" s="43" t="s">
        <v>1544</v>
      </c>
      <c r="G1830" t="s">
        <v>1502</v>
      </c>
    </row>
    <row r="1831" spans="1:7">
      <c r="A1831" s="92" t="s">
        <v>350</v>
      </c>
      <c r="B1831" s="1001" t="s">
        <v>1537</v>
      </c>
      <c r="C1831" s="56">
        <v>45951</v>
      </c>
      <c r="D1831" s="156"/>
      <c r="F1831" s="324" t="s">
        <v>1556</v>
      </c>
      <c r="G1831" t="s">
        <v>1502</v>
      </c>
    </row>
    <row r="1832" spans="1:7">
      <c r="A1832" s="88" t="s">
        <v>81</v>
      </c>
      <c r="B1832" s="412" t="s">
        <v>885</v>
      </c>
      <c r="C1832" s="56">
        <v>45952</v>
      </c>
      <c r="D1832" s="43">
        <v>168</v>
      </c>
      <c r="G1832" t="s">
        <v>1502</v>
      </c>
    </row>
    <row r="1833" spans="1:7">
      <c r="A1833" s="88" t="s">
        <v>400</v>
      </c>
      <c r="B1833" s="999"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2" t="s">
        <v>778</v>
      </c>
      <c r="B1836" s="409" t="s">
        <v>152</v>
      </c>
      <c r="C1836" s="56">
        <v>45952</v>
      </c>
      <c r="D1836" s="156">
        <v>1672</v>
      </c>
      <c r="F1836" s="43" t="s">
        <v>1559</v>
      </c>
      <c r="G1836" t="s">
        <v>1502</v>
      </c>
    </row>
    <row r="1837" spans="1:7">
      <c r="A1837" s="974" t="s">
        <v>327</v>
      </c>
      <c r="B1837" s="1014" t="s">
        <v>885</v>
      </c>
      <c r="C1837" s="56">
        <v>45952</v>
      </c>
      <c r="F1837" s="310" t="s">
        <v>1560</v>
      </c>
      <c r="G1837" t="s">
        <v>1502</v>
      </c>
    </row>
    <row r="1838" spans="1:7">
      <c r="A1838" s="636" t="s">
        <v>348</v>
      </c>
      <c r="B1838" s="162" t="s">
        <v>1537</v>
      </c>
      <c r="C1838" s="56">
        <v>45952</v>
      </c>
      <c r="D1838" s="156">
        <v>1012</v>
      </c>
      <c r="F1838" s="43" t="s">
        <v>1561</v>
      </c>
      <c r="G1838" t="s">
        <v>1502</v>
      </c>
    </row>
    <row r="1839" spans="1:7">
      <c r="A1839" s="43" t="s">
        <v>345</v>
      </c>
      <c r="B1839" s="322" t="s">
        <v>227</v>
      </c>
      <c r="C1839" s="56">
        <v>45952</v>
      </c>
      <c r="D1839" s="43">
        <v>553</v>
      </c>
      <c r="G1839" t="s">
        <v>1502</v>
      </c>
    </row>
    <row r="1840" spans="1:7">
      <c r="A1840" s="69" t="s">
        <v>350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395</v>
      </c>
      <c r="B1842" s="1022" t="s">
        <v>885</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5"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327</v>
      </c>
      <c r="B1849" s="1014" t="s">
        <v>885</v>
      </c>
      <c r="C1849" s="56">
        <v>45953</v>
      </c>
      <c r="F1849" s="310" t="s">
        <v>1155</v>
      </c>
      <c r="G1849" t="s">
        <v>1502</v>
      </c>
    </row>
    <row r="1850" spans="1:7">
      <c r="A1850" s="636" t="s">
        <v>348</v>
      </c>
      <c r="B1850" s="162" t="s">
        <v>1537</v>
      </c>
      <c r="C1850" s="56">
        <v>45953</v>
      </c>
      <c r="D1850" s="43">
        <v>588</v>
      </c>
      <c r="F1850" s="43" t="s">
        <v>1568</v>
      </c>
      <c r="G1850" t="s">
        <v>1502</v>
      </c>
    </row>
    <row r="1851" spans="1:7">
      <c r="A1851" s="69" t="s">
        <v>350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2" t="s">
        <v>885</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327</v>
      </c>
      <c r="B1857" s="1014" t="s">
        <v>885</v>
      </c>
      <c r="C1857" s="56">
        <v>45954</v>
      </c>
      <c r="F1857" s="43" t="s">
        <v>1572</v>
      </c>
      <c r="G1857" t="s">
        <v>1502</v>
      </c>
    </row>
    <row r="1858" spans="1:7">
      <c r="A1858" s="636" t="s">
        <v>346</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5" t="s">
        <v>366</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4" t="s">
        <v>885</v>
      </c>
      <c r="C1869" s="56">
        <v>45957</v>
      </c>
      <c r="F1869" s="324" t="s">
        <v>1401</v>
      </c>
      <c r="G1869" t="s">
        <v>1502</v>
      </c>
    </row>
    <row r="1870" spans="1:7">
      <c r="A1870" s="636" t="s">
        <v>346</v>
      </c>
      <c r="B1870" s="162" t="s">
        <v>1537</v>
      </c>
      <c r="C1870" s="56">
        <v>45957</v>
      </c>
      <c r="D1870" s="156">
        <v>1323</v>
      </c>
      <c r="F1870" s="43" t="s">
        <v>1580</v>
      </c>
      <c r="G1870" t="s">
        <v>1502</v>
      </c>
    </row>
    <row r="1871" spans="1:7">
      <c r="A1871" s="43" t="s">
        <v>345</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5" t="s">
        <v>450</v>
      </c>
      <c r="B1880" s="409" t="s">
        <v>152</v>
      </c>
      <c r="C1880" s="56">
        <v>45958</v>
      </c>
      <c r="D1880" s="156">
        <v>1678</v>
      </c>
      <c r="F1880" s="43" t="s">
        <v>1585</v>
      </c>
      <c r="G1880" t="s">
        <v>1502</v>
      </c>
    </row>
    <row r="1881" spans="1:7">
      <c r="A1881" s="1015"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346</v>
      </c>
      <c r="B1883" s="162" t="s">
        <v>1537</v>
      </c>
      <c r="C1883" s="56">
        <v>45958</v>
      </c>
      <c r="D1883" s="156">
        <v>1516</v>
      </c>
      <c r="F1883" s="43" t="s">
        <v>1587</v>
      </c>
      <c r="G1883" t="s">
        <v>1502</v>
      </c>
    </row>
    <row r="1884" spans="1:7">
      <c r="A1884" s="43" t="s">
        <v>345</v>
      </c>
      <c r="B1884" s="322" t="s">
        <v>227</v>
      </c>
      <c r="C1884" s="56">
        <v>45958</v>
      </c>
      <c r="D1884" s="156">
        <v>1224</v>
      </c>
      <c r="G1884" t="s">
        <v>1502</v>
      </c>
    </row>
    <row r="1885" spans="1:7">
      <c r="A1885" s="43" t="s">
        <v>345</v>
      </c>
      <c r="B1885" s="677" t="s">
        <v>227</v>
      </c>
      <c r="C1885" s="56">
        <v>45958</v>
      </c>
      <c r="D1885" s="156">
        <v>423</v>
      </c>
      <c r="G1885" t="s">
        <v>1502</v>
      </c>
    </row>
    <row r="1886" spans="1:7">
      <c r="A1886" s="88" t="s">
        <v>84</v>
      </c>
      <c r="B1886" s="412" t="s">
        <v>885</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41" t="s">
        <v>346</v>
      </c>
      <c r="B1894" s="162" t="s">
        <v>1537</v>
      </c>
      <c r="C1894" s="56">
        <v>45959</v>
      </c>
      <c r="D1894" s="43">
        <v>790</v>
      </c>
      <c r="F1894" s="43" t="s">
        <v>1594</v>
      </c>
      <c r="G1894" t="s">
        <v>1502</v>
      </c>
    </row>
    <row r="1895" spans="1:7">
      <c r="A1895" s="43" t="s">
        <v>345</v>
      </c>
      <c r="B1895" s="677" t="s">
        <v>227</v>
      </c>
      <c r="C1895" s="56">
        <v>45959</v>
      </c>
      <c r="D1895" s="43">
        <v>343</v>
      </c>
      <c r="G1895" t="s">
        <v>1502</v>
      </c>
    </row>
    <row r="1896" spans="1:7">
      <c r="A1896" s="69" t="s">
        <v>343</v>
      </c>
      <c r="B1896" s="43" t="s">
        <v>227</v>
      </c>
      <c r="C1896" s="56">
        <v>45959</v>
      </c>
      <c r="D1896" s="156">
        <v>3179</v>
      </c>
      <c r="G1896" t="s">
        <v>1502</v>
      </c>
    </row>
    <row r="1897" spans="1:7">
      <c r="A1897" s="315" t="s">
        <v>324</v>
      </c>
      <c r="B1897" s="315" t="s">
        <v>885</v>
      </c>
      <c r="C1897" s="56">
        <v>45959</v>
      </c>
      <c r="F1897" s="43" t="s">
        <v>1595</v>
      </c>
      <c r="G1897" t="s">
        <v>1502</v>
      </c>
    </row>
    <row r="1898" spans="1:7">
      <c r="A1898" s="319" t="s">
        <v>327</v>
      </c>
      <c r="B1898" s="319" t="s">
        <v>885</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3" t="s">
        <v>152</v>
      </c>
      <c r="C1905" s="56">
        <v>45960</v>
      </c>
      <c r="D1905" s="43">
        <v>394</v>
      </c>
      <c r="E1905" s="325">
        <v>1275</v>
      </c>
      <c r="F1905" s="43" t="s">
        <v>1603</v>
      </c>
      <c r="G1905" t="s">
        <v>1502</v>
      </c>
    </row>
    <row r="1906" spans="1:7">
      <c r="A1906" s="1064" t="s">
        <v>368</v>
      </c>
      <c r="B1906" s="171" t="s">
        <v>152</v>
      </c>
      <c r="C1906" s="56">
        <v>45960</v>
      </c>
      <c r="D1906" s="43">
        <v>978</v>
      </c>
      <c r="G1906" t="s">
        <v>1502</v>
      </c>
    </row>
    <row r="1907" spans="1:7">
      <c r="A1907" s="171" t="s">
        <v>374</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345</v>
      </c>
      <c r="B1910" s="322" t="s">
        <v>227</v>
      </c>
      <c r="C1910" s="56">
        <v>45960</v>
      </c>
      <c r="E1910" s="257"/>
      <c r="F1910" s="633" t="s">
        <v>1192</v>
      </c>
      <c r="G1910" t="s">
        <v>1502</v>
      </c>
    </row>
    <row r="1911" spans="1:7">
      <c r="A1911" s="636" t="s">
        <v>346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324</v>
      </c>
      <c r="B1913" s="171" t="s">
        <v>885</v>
      </c>
      <c r="C1913" s="56">
        <v>45960</v>
      </c>
      <c r="F1913" s="116" t="s">
        <v>1606</v>
      </c>
      <c r="G1913" t="s">
        <v>1502</v>
      </c>
    </row>
    <row r="1914" spans="1:7">
      <c r="A1914" s="88" t="s">
        <v>902</v>
      </c>
      <c r="B1914" s="171" t="s">
        <v>885</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346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350</v>
      </c>
      <c r="B1925" s="162" t="s">
        <v>1537</v>
      </c>
      <c r="C1925" s="56">
        <v>45961</v>
      </c>
      <c r="D1925" s="43">
        <v>168</v>
      </c>
      <c r="G1925" t="s">
        <v>1502</v>
      </c>
    </row>
    <row r="1926" spans="1:7">
      <c r="A1926" s="124" t="s">
        <v>902</v>
      </c>
      <c r="B1926" s="315" t="s">
        <v>885</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374</v>
      </c>
      <c r="B1932" s="308" t="s">
        <v>885</v>
      </c>
      <c r="C1932" s="56">
        <v>45964</v>
      </c>
      <c r="D1932" s="43">
        <v>259</v>
      </c>
      <c r="G1932" t="s">
        <v>1612</v>
      </c>
    </row>
    <row r="1933" spans="1:7">
      <c r="A1933" s="142" t="s">
        <v>350</v>
      </c>
      <c r="B1933" s="322" t="s">
        <v>1537</v>
      </c>
      <c r="C1933" s="56">
        <v>45964</v>
      </c>
      <c r="D1933" s="43">
        <v>463</v>
      </c>
      <c r="G1933" t="s">
        <v>1612</v>
      </c>
    </row>
    <row r="1934" spans="1:7">
      <c r="A1934" s="309" t="s">
        <v>343</v>
      </c>
      <c r="B1934" s="308" t="s">
        <v>227</v>
      </c>
      <c r="C1934" s="56">
        <v>45964</v>
      </c>
      <c r="D1934" s="43">
        <v>882</v>
      </c>
      <c r="F1934" s="43" t="s">
        <v>1615</v>
      </c>
      <c r="G1934" t="s">
        <v>1612</v>
      </c>
    </row>
    <row r="1935" spans="1:7">
      <c r="A1935" s="142" t="s">
        <v>324</v>
      </c>
      <c r="B1935" s="360" t="s">
        <v>885</v>
      </c>
      <c r="C1935" s="56">
        <v>45964</v>
      </c>
      <c r="F1935" s="43" t="s">
        <v>1348</v>
      </c>
      <c r="G1935" t="s">
        <v>1612</v>
      </c>
    </row>
    <row r="1936" spans="1:7">
      <c r="A1936" s="142" t="s">
        <v>324</v>
      </c>
      <c r="B1936" s="360" t="s">
        <v>1616</v>
      </c>
      <c r="C1936" s="56">
        <v>45964</v>
      </c>
      <c r="E1936" s="325">
        <v>3846</v>
      </c>
      <c r="F1936" s="43" t="s">
        <v>1617</v>
      </c>
      <c r="G1936" t="s">
        <v>1612</v>
      </c>
    </row>
    <row r="1937" spans="1:7">
      <c r="A1937" s="142" t="s">
        <v>324</v>
      </c>
      <c r="B1937" s="360" t="s">
        <v>325</v>
      </c>
      <c r="C1937" s="56">
        <v>45964</v>
      </c>
      <c r="F1937" s="966" t="s">
        <v>1618</v>
      </c>
      <c r="G1937" t="s">
        <v>1612</v>
      </c>
    </row>
    <row r="1938" spans="1:7">
      <c r="A1938" s="142" t="s">
        <v>352</v>
      </c>
      <c r="B1938" s="1072"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400</v>
      </c>
      <c r="B1941" s="999"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5"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885</v>
      </c>
      <c r="C1948" s="56">
        <v>45965</v>
      </c>
      <c r="D1948" s="43">
        <v>270</v>
      </c>
      <c r="G1948" t="s">
        <v>1612</v>
      </c>
    </row>
    <row r="1949" spans="1:7">
      <c r="A1949" s="636" t="s">
        <v>350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343</v>
      </c>
      <c r="B1951" s="43" t="s">
        <v>227</v>
      </c>
      <c r="C1951" s="56">
        <v>45965</v>
      </c>
      <c r="D1951" s="156">
        <v>1072</v>
      </c>
      <c r="F1951" s="43" t="s">
        <v>1623</v>
      </c>
      <c r="G1951" t="s">
        <v>1612</v>
      </c>
    </row>
    <row r="1952" spans="1:7">
      <c r="A1952" s="1074" t="s">
        <v>348</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885</v>
      </c>
      <c r="C1961" s="56">
        <v>45966</v>
      </c>
      <c r="D1961" s="43">
        <v>829</v>
      </c>
      <c r="G1961" t="s">
        <v>1612</v>
      </c>
    </row>
    <row r="1962" spans="1:7">
      <c r="A1962" s="308" t="s">
        <v>377</v>
      </c>
      <c r="B1962" s="308" t="s">
        <v>152</v>
      </c>
      <c r="C1962" s="56">
        <v>45966</v>
      </c>
      <c r="D1962" s="156">
        <v>1031</v>
      </c>
      <c r="G1962" t="s">
        <v>1612</v>
      </c>
    </row>
    <row r="1963" spans="1:7">
      <c r="A1963" s="142" t="s">
        <v>350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343</v>
      </c>
      <c r="B1965" s="308" t="s">
        <v>227</v>
      </c>
      <c r="C1965" s="56">
        <v>45966</v>
      </c>
      <c r="D1965" s="156">
        <v>1034</v>
      </c>
      <c r="G1965" t="s">
        <v>1612</v>
      </c>
    </row>
    <row r="1966" spans="1:7">
      <c r="A1966" s="315" t="s">
        <v>329</v>
      </c>
      <c r="B1966" s="1075" t="s">
        <v>1317</v>
      </c>
      <c r="C1966" s="56">
        <v>45966</v>
      </c>
      <c r="D1966" s="43">
        <v>150</v>
      </c>
      <c r="G1966" t="s">
        <v>1612</v>
      </c>
    </row>
    <row r="1967" spans="1:7">
      <c r="A1967" s="251" t="s">
        <v>324</v>
      </c>
      <c r="B1967" s="158" t="s">
        <v>1616</v>
      </c>
      <c r="C1967" s="56">
        <v>45966</v>
      </c>
      <c r="E1967" s="1084">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5"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885</v>
      </c>
      <c r="C1975" s="56">
        <v>45967</v>
      </c>
      <c r="D1975" s="43">
        <v>270</v>
      </c>
      <c r="G1975" t="s">
        <v>1612</v>
      </c>
    </row>
    <row r="1976" spans="1:7">
      <c r="A1976" s="636" t="s">
        <v>350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343</v>
      </c>
      <c r="B1978" s="43" t="s">
        <v>227</v>
      </c>
      <c r="C1978" s="56">
        <v>45967</v>
      </c>
      <c r="D1978" s="43">
        <v>209</v>
      </c>
      <c r="G1978" t="s">
        <v>1612</v>
      </c>
    </row>
    <row r="1979" spans="1:7">
      <c r="A1979" s="636" t="s">
        <v>349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349</v>
      </c>
      <c r="B1985" s="308" t="s">
        <v>885</v>
      </c>
      <c r="C1985" s="56">
        <v>45968</v>
      </c>
      <c r="D1985" s="43">
        <v>350</v>
      </c>
      <c r="G1985" t="s">
        <v>1612</v>
      </c>
    </row>
    <row r="1986" spans="1:7">
      <c r="A1986" s="142" t="s">
        <v>349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346</v>
      </c>
      <c r="B1988" s="779" t="s">
        <v>1537</v>
      </c>
      <c r="C1988" s="56">
        <v>45968</v>
      </c>
      <c r="F1988" s="315" t="s">
        <v>1262</v>
      </c>
      <c r="G1988" t="s">
        <v>1612</v>
      </c>
    </row>
    <row r="1989" spans="1:7">
      <c r="A1989" s="251" t="s">
        <v>341</v>
      </c>
      <c r="B1989" s="43" t="s">
        <v>227</v>
      </c>
      <c r="C1989" s="56">
        <v>45968</v>
      </c>
      <c r="D1989" s="43">
        <v>569</v>
      </c>
      <c r="G1989" t="s">
        <v>1612</v>
      </c>
    </row>
    <row r="1990" spans="1:7">
      <c r="A1990" s="251" t="s">
        <v>417</v>
      </c>
      <c r="B1990" s="43" t="s">
        <v>152</v>
      </c>
      <c r="C1990" s="56">
        <v>45968</v>
      </c>
      <c r="D1990" s="156">
        <v>2948</v>
      </c>
      <c r="G1990" t="s">
        <v>1612</v>
      </c>
    </row>
    <row r="1991" spans="1:7">
      <c r="A1991" s="999" t="s">
        <v>400</v>
      </c>
      <c r="B1991" s="357" t="s">
        <v>1564</v>
      </c>
      <c r="C1991" s="56">
        <v>45971</v>
      </c>
      <c r="D1991" s="156">
        <v>560</v>
      </c>
      <c r="G1991" t="s">
        <v>1612</v>
      </c>
    </row>
    <row r="1992" spans="1:7">
      <c r="A1992" s="315" t="s">
        <v>374</v>
      </c>
      <c r="B1992" s="315" t="s">
        <v>885</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343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5" t="s">
        <v>417</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941</v>
      </c>
      <c r="B2003" s="315" t="s">
        <v>382</v>
      </c>
      <c r="C2003" s="56">
        <v>45972</v>
      </c>
      <c r="D2003" s="156">
        <v>1062</v>
      </c>
      <c r="F2003" s="43" t="s">
        <v>1638</v>
      </c>
      <c r="G2003" t="s">
        <v>1612</v>
      </c>
    </row>
    <row r="2004" spans="1:7">
      <c r="A2004" s="142" t="s">
        <v>348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346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4" t="s">
        <v>234</v>
      </c>
      <c r="B2026" s="1145"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320</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374</v>
      </c>
      <c r="B2033" s="142" t="s">
        <v>1317</v>
      </c>
      <c r="C2033" s="56">
        <v>45975</v>
      </c>
      <c r="E2033" s="1084">
        <v>5647</v>
      </c>
      <c r="F2033" s="310" t="s">
        <v>1649</v>
      </c>
      <c r="G2033" t="s">
        <v>1612</v>
      </c>
    </row>
    <row r="2034" spans="1:7">
      <c r="A2034" s="308" t="s">
        <v>366</v>
      </c>
      <c r="B2034" s="308" t="s">
        <v>1317</v>
      </c>
      <c r="C2034" s="56">
        <v>45975</v>
      </c>
      <c r="D2034" s="140"/>
      <c r="E2034" s="43">
        <v>565</v>
      </c>
      <c r="F2034" s="142"/>
      <c r="G2034" t="s">
        <v>1612</v>
      </c>
    </row>
    <row r="2035" spans="1:7">
      <c r="A2035" s="308" t="s">
        <v>943</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F2075" s="69"/>
      <c r="G2075" t="s">
        <v>1612</v>
      </c>
    </row>
    <row r="2076" spans="1:7">
      <c r="A2076" s="309" t="s">
        <v>947</v>
      </c>
      <c r="B2076" s="309" t="s">
        <v>1662</v>
      </c>
      <c r="C2076" s="56">
        <v>45981</v>
      </c>
      <c r="F2076" s="69"/>
      <c r="G2076" t="s">
        <v>1612</v>
      </c>
    </row>
    <row r="2077" spans="1:7">
      <c r="A2077" s="315" t="s">
        <v>947</v>
      </c>
      <c r="B2077" s="315" t="s">
        <v>1403</v>
      </c>
      <c r="C2077" s="56">
        <v>45981</v>
      </c>
      <c r="F2077" s="69"/>
      <c r="G2077" t="s">
        <v>1612</v>
      </c>
    </row>
    <row r="2078" spans="1:7">
      <c r="A2078" s="315" t="s">
        <v>151</v>
      </c>
      <c r="B2078" s="142" t="s">
        <v>152</v>
      </c>
      <c r="C2078" s="56">
        <v>45981</v>
      </c>
      <c r="F2078" s="69"/>
      <c r="G2078" t="s">
        <v>1612</v>
      </c>
    </row>
    <row r="2079" spans="1:7">
      <c r="A2079" s="308" t="s">
        <v>944</v>
      </c>
      <c r="B2079" s="308" t="s">
        <v>211</v>
      </c>
      <c r="C2079" s="56">
        <v>45981</v>
      </c>
      <c r="F2079" s="69"/>
      <c r="G2079" t="s">
        <v>1612</v>
      </c>
    </row>
    <row r="2080" spans="1:7">
      <c r="A2080" s="308" t="s">
        <v>154</v>
      </c>
      <c r="B2080" s="308" t="s">
        <v>152</v>
      </c>
      <c r="C2080" s="56">
        <v>45981</v>
      </c>
      <c r="F2080" s="69"/>
      <c r="G2080" t="s">
        <v>1612</v>
      </c>
    </row>
    <row r="2081" spans="1:7">
      <c r="A2081" s="309" t="s">
        <v>366</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2"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1663</v>
      </c>
      <c r="Q1" s="160" t="s">
        <v>1664</v>
      </c>
      <c r="R1" s="128" t="s">
        <v>1665</v>
      </c>
      <c r="S1" s="128" t="s">
        <v>1666</v>
      </c>
      <c r="T1" s="160" t="s">
        <v>1667</v>
      </c>
      <c r="U1" s="128" t="s">
        <v>1022</v>
      </c>
      <c r="V1" s="161" t="s">
        <v>1668</v>
      </c>
      <c r="W1" s="161" t="s">
        <v>1669</v>
      </c>
      <c r="X1" s="164" t="s">
        <v>1670</v>
      </c>
      <c r="Y1" s="262" t="e" cm="1">
        <f t="array" ref="Y1">VLOOKUP(#REF!,#REF!, FALSE)</f>
        <v>#REF!</v>
      </c>
    </row>
    <row r="2" spans="1:25">
      <c r="A2" s="181" t="s">
        <v>327</v>
      </c>
      <c r="B2" s="183" t="s">
        <v>215</v>
      </c>
      <c r="C2" s="180">
        <v>45991</v>
      </c>
      <c r="D2" s="642" t="s">
        <v>328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1672</v>
      </c>
      <c r="S6" s="43" t="s">
        <v>292</v>
      </c>
      <c r="T6" s="43" t="s">
        <v>292</v>
      </c>
      <c r="U6" s="158" t="s">
        <v>292</v>
      </c>
      <c r="V6" s="69" t="s">
        <v>95</v>
      </c>
      <c r="W6" s="79"/>
      <c r="X6" s="69" t="s">
        <v>95</v>
      </c>
      <c r="Y6" t="e">
        <f>VLOOKUP(A6,#REF!,2,FALSE)</f>
        <v>#REF!</v>
      </c>
    </row>
    <row r="7" spans="1:25">
      <c r="A7" s="396" t="s">
        <v>853</v>
      </c>
      <c r="B7" s="708" t="s">
        <v>215</v>
      </c>
      <c r="C7" s="397">
        <v>45742</v>
      </c>
      <c r="D7" s="425" t="s">
        <v>334</v>
      </c>
      <c r="E7" s="540"/>
      <c r="F7" s="541"/>
      <c r="G7" s="541"/>
      <c r="H7" s="182">
        <v>60</v>
      </c>
      <c r="I7" s="184"/>
      <c r="J7" s="188" t="s">
        <v>57</v>
      </c>
      <c r="K7" s="188" t="s">
        <v>57</v>
      </c>
      <c r="L7" s="188" t="s">
        <v>63</v>
      </c>
      <c r="M7" s="196">
        <v>45716</v>
      </c>
      <c r="N7" s="30" t="s">
        <v>292</v>
      </c>
      <c r="O7" s="79" t="s">
        <v>292</v>
      </c>
      <c r="P7" s="30" t="s">
        <v>292</v>
      </c>
      <c r="Q7" s="345" t="s">
        <v>292</v>
      </c>
      <c r="R7" s="43" t="s">
        <v>1672</v>
      </c>
      <c r="S7" s="43" t="s">
        <v>292</v>
      </c>
      <c r="T7" s="43" t="s">
        <v>292</v>
      </c>
      <c r="U7" s="43" t="s">
        <v>292</v>
      </c>
      <c r="V7" s="69" t="s">
        <v>95</v>
      </c>
      <c r="W7" s="30"/>
      <c r="X7" s="69" t="s">
        <v>95</v>
      </c>
      <c r="Y7" t="e">
        <f>VLOOKUP(A7,#REF!,2,FALSE)</f>
        <v>#REF!</v>
      </c>
    </row>
    <row r="8" spans="1:25">
      <c r="A8" s="178" t="s">
        <v>428</v>
      </c>
      <c r="B8" s="183" t="s">
        <v>215</v>
      </c>
      <c r="C8" s="179">
        <v>45742</v>
      </c>
      <c r="D8" s="188" t="s">
        <v>1673</v>
      </c>
      <c r="E8" s="121"/>
      <c r="F8" s="109"/>
      <c r="G8" s="109"/>
      <c r="H8" s="182">
        <v>84</v>
      </c>
      <c r="I8" s="184"/>
      <c r="J8" s="188" t="s">
        <v>57</v>
      </c>
      <c r="K8" s="188" t="s">
        <v>57</v>
      </c>
      <c r="L8" s="188" t="s">
        <v>63</v>
      </c>
      <c r="M8" s="196">
        <v>45716</v>
      </c>
      <c r="N8" s="30" t="s">
        <v>292</v>
      </c>
      <c r="O8" s="30" t="s">
        <v>292</v>
      </c>
      <c r="P8" s="733" t="s">
        <v>292</v>
      </c>
      <c r="Q8" s="69" t="s">
        <v>292</v>
      </c>
      <c r="R8" s="43" t="s">
        <v>1672</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1672</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1672</v>
      </c>
      <c r="S10" s="43" t="s">
        <v>292</v>
      </c>
      <c r="T10" s="43" t="s">
        <v>292</v>
      </c>
      <c r="U10" s="162" t="s">
        <v>292</v>
      </c>
      <c r="V10" s="345" t="s">
        <v>95</v>
      </c>
      <c r="W10" s="30"/>
      <c r="X10" s="69" t="s">
        <v>95</v>
      </c>
      <c r="Y10" t="e">
        <f>VLOOKUP(A10,#REF!,2,FALSE)</f>
        <v>#REF!</v>
      </c>
    </row>
    <row r="11" spans="1:25">
      <c r="A11" s="184" t="s">
        <v>332</v>
      </c>
      <c r="B11" s="436" t="s">
        <v>215</v>
      </c>
      <c r="C11" s="179">
        <v>45991</v>
      </c>
      <c r="D11" s="552" t="s">
        <v>334</v>
      </c>
      <c r="E11" s="121">
        <v>31</v>
      </c>
      <c r="F11" s="109"/>
      <c r="G11" s="109"/>
      <c r="H11" s="188">
        <v>31</v>
      </c>
      <c r="I11" s="184"/>
      <c r="J11" s="188" t="s">
        <v>57</v>
      </c>
      <c r="K11" s="188" t="s">
        <v>57</v>
      </c>
      <c r="L11" s="188" t="s">
        <v>63</v>
      </c>
      <c r="M11" s="198">
        <v>45716</v>
      </c>
      <c r="N11" s="30" t="s">
        <v>64</v>
      </c>
      <c r="O11" s="54">
        <v>45716</v>
      </c>
      <c r="P11" s="87" t="s">
        <v>292</v>
      </c>
      <c r="Q11" s="69" t="s">
        <v>292</v>
      </c>
      <c r="R11" s="43" t="s">
        <v>1672</v>
      </c>
      <c r="S11" s="43" t="s">
        <v>292</v>
      </c>
      <c r="T11" s="43" t="s">
        <v>292</v>
      </c>
      <c r="U11" s="345" t="s">
        <v>95</v>
      </c>
      <c r="V11" s="69" t="s">
        <v>95</v>
      </c>
      <c r="W11" s="30"/>
      <c r="X11" s="43"/>
    </row>
    <row r="12" spans="1:25">
      <c r="A12" s="178" t="s">
        <v>335</v>
      </c>
      <c r="B12" s="183" t="s">
        <v>215</v>
      </c>
      <c r="C12" s="179">
        <v>45772</v>
      </c>
      <c r="D12" s="202" t="s">
        <v>334</v>
      </c>
      <c r="E12" s="194"/>
      <c r="F12" s="139"/>
      <c r="G12" s="139"/>
      <c r="H12" s="188">
        <v>31</v>
      </c>
      <c r="I12" s="184"/>
      <c r="J12" s="188" t="s">
        <v>57</v>
      </c>
      <c r="K12" s="188" t="s">
        <v>57</v>
      </c>
      <c r="L12" s="188" t="s">
        <v>63</v>
      </c>
      <c r="M12" s="196">
        <v>45716</v>
      </c>
      <c r="N12" s="30" t="s">
        <v>64</v>
      </c>
      <c r="O12" s="54">
        <v>45716</v>
      </c>
      <c r="P12" s="87" t="s">
        <v>292</v>
      </c>
      <c r="Q12" s="69" t="s">
        <v>292</v>
      </c>
      <c r="R12" s="43" t="s">
        <v>1672</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338</v>
      </c>
      <c r="B14" s="183" t="s">
        <v>215</v>
      </c>
      <c r="C14" s="180">
        <v>45991</v>
      </c>
      <c r="D14" s="424" t="s">
        <v>339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1674</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1675</v>
      </c>
      <c r="N16" s="30" t="s">
        <v>292</v>
      </c>
      <c r="O16" s="54" t="s">
        <v>1675</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1674</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1674</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1674</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1674</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1674</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337</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1674</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1674</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1672</v>
      </c>
      <c r="S31" s="43" t="s">
        <v>292</v>
      </c>
      <c r="T31" s="140" t="s">
        <v>292</v>
      </c>
      <c r="U31" s="116" t="s">
        <v>292</v>
      </c>
      <c r="V31" s="69" t="s">
        <v>292</v>
      </c>
      <c r="W31" s="54">
        <v>45779</v>
      </c>
      <c r="X31" s="69" t="s">
        <v>1674</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1672</v>
      </c>
      <c r="S32" s="43" t="s">
        <v>292</v>
      </c>
      <c r="T32" s="140" t="s">
        <v>292</v>
      </c>
      <c r="U32" s="43" t="s">
        <v>292</v>
      </c>
      <c r="V32" s="69" t="s">
        <v>292</v>
      </c>
      <c r="W32" s="54">
        <v>45792</v>
      </c>
      <c r="X32" s="69" t="s">
        <v>1674</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1672</v>
      </c>
      <c r="S33" s="43" t="s">
        <v>292</v>
      </c>
      <c r="T33" s="140" t="s">
        <v>292</v>
      </c>
      <c r="U33" s="43" t="s">
        <v>292</v>
      </c>
      <c r="V33" s="345" t="s">
        <v>292</v>
      </c>
      <c r="W33" s="54">
        <v>45812</v>
      </c>
      <c r="X33" s="69" t="s">
        <v>1674</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1672</v>
      </c>
      <c r="S34" s="43" t="s">
        <v>292</v>
      </c>
      <c r="T34" s="140" t="s">
        <v>292</v>
      </c>
      <c r="U34" s="43" t="s">
        <v>292</v>
      </c>
      <c r="V34" s="418" t="s">
        <v>292</v>
      </c>
      <c r="W34" s="168">
        <v>45797</v>
      </c>
      <c r="X34" s="69" t="s">
        <v>1674</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1672</v>
      </c>
      <c r="S35" s="43" t="s">
        <v>292</v>
      </c>
      <c r="T35" s="140" t="s">
        <v>292</v>
      </c>
      <c r="U35" s="171" t="s">
        <v>292</v>
      </c>
      <c r="V35" s="69" t="s">
        <v>292</v>
      </c>
      <c r="W35" s="54">
        <v>45789</v>
      </c>
      <c r="X35" s="345" t="s">
        <v>1674</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1672</v>
      </c>
      <c r="S36" s="43" t="s">
        <v>292</v>
      </c>
      <c r="T36" s="140" t="s">
        <v>292</v>
      </c>
      <c r="U36" s="43" t="s">
        <v>292</v>
      </c>
      <c r="V36" s="69" t="s">
        <v>292</v>
      </c>
      <c r="W36" s="54">
        <v>45824</v>
      </c>
      <c r="X36" s="345" t="s">
        <v>1674</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1672</v>
      </c>
      <c r="S37" s="43" t="s">
        <v>292</v>
      </c>
      <c r="T37" s="43" t="s">
        <v>292</v>
      </c>
      <c r="U37" s="171" t="s">
        <v>292</v>
      </c>
      <c r="V37" s="69" t="s">
        <v>292</v>
      </c>
      <c r="W37" s="157">
        <v>45789</v>
      </c>
      <c r="X37" s="69" t="s">
        <v>1674</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1672</v>
      </c>
      <c r="S38" s="43" t="s">
        <v>292</v>
      </c>
      <c r="T38" s="43" t="s">
        <v>292</v>
      </c>
      <c r="U38" s="171" t="s">
        <v>292</v>
      </c>
      <c r="V38" s="69" t="s">
        <v>292</v>
      </c>
      <c r="W38" s="54">
        <v>45789</v>
      </c>
      <c r="X38" s="69" t="s">
        <v>1674</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1672</v>
      </c>
      <c r="S39" s="43" t="s">
        <v>292</v>
      </c>
      <c r="T39" s="43" t="s">
        <v>292</v>
      </c>
      <c r="U39" s="171" t="s">
        <v>292</v>
      </c>
      <c r="V39" s="69" t="s">
        <v>292</v>
      </c>
      <c r="W39" s="54">
        <v>45789</v>
      </c>
      <c r="X39" s="69" t="s">
        <v>1674</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1674</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1674</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1674</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1674</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1674</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1674</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1674</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1674</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1674</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1674</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1674</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1674</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1672</v>
      </c>
      <c r="S57" s="43" t="s">
        <v>292</v>
      </c>
      <c r="T57" s="43" t="s">
        <v>292</v>
      </c>
      <c r="U57" s="43" t="s">
        <v>292</v>
      </c>
      <c r="V57" s="69" t="s">
        <v>292</v>
      </c>
      <c r="W57" s="54">
        <v>45813</v>
      </c>
      <c r="X57" s="69" t="s">
        <v>1674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1672</v>
      </c>
      <c r="S58" s="43" t="s">
        <v>292</v>
      </c>
      <c r="T58" s="43" t="s">
        <v>292</v>
      </c>
      <c r="U58" s="43" t="s">
        <v>292</v>
      </c>
      <c r="V58" s="345" t="s">
        <v>292</v>
      </c>
      <c r="W58" s="54">
        <v>45796</v>
      </c>
      <c r="X58" s="69" t="s">
        <v>1674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1672</v>
      </c>
      <c r="S59" s="43" t="s">
        <v>292</v>
      </c>
      <c r="T59" s="43" t="s">
        <v>292</v>
      </c>
      <c r="U59" s="43" t="s">
        <v>292</v>
      </c>
      <c r="V59" s="345" t="s">
        <v>292</v>
      </c>
      <c r="W59" s="54">
        <v>45796</v>
      </c>
      <c r="X59" s="69" t="s">
        <v>1674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1672</v>
      </c>
      <c r="S60" s="43" t="s">
        <v>292</v>
      </c>
      <c r="T60" s="43" t="s">
        <v>292</v>
      </c>
      <c r="U60" s="43" t="s">
        <v>292</v>
      </c>
      <c r="V60" s="345" t="s">
        <v>292</v>
      </c>
      <c r="W60" s="54">
        <v>45824</v>
      </c>
      <c r="X60" s="69" t="s">
        <v>1674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1676</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1672</v>
      </c>
      <c r="S81" s="43" t="s">
        <v>292</v>
      </c>
      <c r="T81" s="43" t="s">
        <v>292</v>
      </c>
      <c r="U81" s="116" t="s">
        <v>292</v>
      </c>
      <c r="V81" s="69" t="s">
        <v>292</v>
      </c>
      <c r="W81" s="54">
        <v>45789</v>
      </c>
      <c r="X81" s="69" t="s">
        <v>1674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1672</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1672</v>
      </c>
      <c r="S84" s="171" t="s">
        <v>292</v>
      </c>
      <c r="T84" s="171" t="s">
        <v>292</v>
      </c>
      <c r="U84" s="92" t="s">
        <v>292</v>
      </c>
      <c r="V84" s="69" t="s">
        <v>292</v>
      </c>
      <c r="W84" s="198">
        <v>45875</v>
      </c>
      <c r="X84" s="69" t="s">
        <v>1674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1672</v>
      </c>
      <c r="S85" s="171" t="s">
        <v>292</v>
      </c>
      <c r="T85" s="171" t="s">
        <v>292</v>
      </c>
      <c r="U85" s="92" t="s">
        <v>292</v>
      </c>
      <c r="V85" s="92" t="s">
        <v>292</v>
      </c>
      <c r="W85" s="198">
        <v>45874</v>
      </c>
      <c r="X85" s="69" t="s">
        <v>1674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1672</v>
      </c>
      <c r="S86" s="43" t="s">
        <v>292</v>
      </c>
      <c r="T86" s="43" t="s">
        <v>292</v>
      </c>
      <c r="U86" s="69" t="s">
        <v>292</v>
      </c>
      <c r="V86" s="69" t="s">
        <v>292</v>
      </c>
      <c r="W86" s="54">
        <v>45824</v>
      </c>
      <c r="X86" s="69" t="s">
        <v>1674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1672</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1672</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1672</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1672</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1672</v>
      </c>
      <c r="S91" s="69" t="s">
        <v>292</v>
      </c>
      <c r="T91" s="69" t="s">
        <v>292</v>
      </c>
      <c r="U91" s="69" t="s">
        <v>292</v>
      </c>
      <c r="V91" s="69" t="s">
        <v>292</v>
      </c>
      <c r="W91" s="54">
        <v>45831</v>
      </c>
      <c r="X91" s="69" t="s">
        <v>1674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1672</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1672</v>
      </c>
      <c r="S93" s="43" t="s">
        <v>292</v>
      </c>
      <c r="T93" s="43" t="s">
        <v>292</v>
      </c>
      <c r="U93" s="345" t="s">
        <v>292</v>
      </c>
      <c r="V93" s="69" t="s">
        <v>292</v>
      </c>
      <c r="W93" s="54">
        <v>45789</v>
      </c>
      <c r="X93" s="69" t="s">
        <v>1674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1672</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1672</v>
      </c>
      <c r="S95" s="69" t="s">
        <v>292</v>
      </c>
      <c r="T95" s="43" t="s">
        <v>292</v>
      </c>
      <c r="U95" s="69" t="s">
        <v>292</v>
      </c>
      <c r="V95" s="69" t="s">
        <v>292</v>
      </c>
      <c r="W95" s="54">
        <v>45814</v>
      </c>
      <c r="X95" s="69" t="s">
        <v>1674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1672</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1672</v>
      </c>
      <c r="S97" s="69" t="s">
        <v>292</v>
      </c>
      <c r="T97" s="69" t="s">
        <v>292</v>
      </c>
      <c r="U97" s="69" t="s">
        <v>292</v>
      </c>
      <c r="V97" s="43" t="s">
        <v>292</v>
      </c>
      <c r="W97" s="54">
        <v>45824</v>
      </c>
      <c r="X97" s="69" t="s">
        <v>1674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1672</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1672</v>
      </c>
      <c r="S99" s="43" t="s">
        <v>292</v>
      </c>
      <c r="T99" s="116" t="s">
        <v>292</v>
      </c>
      <c r="U99" s="149" t="s">
        <v>292</v>
      </c>
      <c r="V99" s="69" t="s">
        <v>292</v>
      </c>
      <c r="W99" s="54">
        <v>45814</v>
      </c>
      <c r="X99" s="69" t="s">
        <v>1674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1672</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1672</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1672</v>
      </c>
      <c r="S102" s="43" t="s">
        <v>292</v>
      </c>
      <c r="T102" s="43" t="s">
        <v>292</v>
      </c>
      <c r="U102" s="43" t="s">
        <v>292</v>
      </c>
      <c r="V102" s="166" t="s">
        <v>292</v>
      </c>
      <c r="W102" s="54">
        <v>45835</v>
      </c>
      <c r="X102" s="69" t="s">
        <v>1674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1672</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1672</v>
      </c>
      <c r="S104" s="43" t="s">
        <v>292</v>
      </c>
      <c r="T104" s="43" t="s">
        <v>292</v>
      </c>
      <c r="U104" s="43" t="s">
        <v>292</v>
      </c>
      <c r="V104" s="140" t="s">
        <v>292</v>
      </c>
      <c r="W104" s="54">
        <v>45820</v>
      </c>
      <c r="X104" s="69" t="s">
        <v>1674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1672</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1672</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1672</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1672</v>
      </c>
      <c r="S108" s="43" t="s">
        <v>292</v>
      </c>
      <c r="T108" s="43" t="s">
        <v>292</v>
      </c>
      <c r="U108" s="88" t="s">
        <v>292</v>
      </c>
      <c r="V108" s="495" t="s">
        <v>292</v>
      </c>
      <c r="W108" s="367">
        <v>45798</v>
      </c>
      <c r="X108" s="69" t="s">
        <v>1674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1672</v>
      </c>
      <c r="S109" s="43" t="s">
        <v>292</v>
      </c>
      <c r="T109" s="43" t="s">
        <v>292</v>
      </c>
      <c r="U109" s="43" t="s">
        <v>1677</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1672</v>
      </c>
      <c r="S110" s="43" t="s">
        <v>292</v>
      </c>
      <c r="T110" s="43" t="s">
        <v>292</v>
      </c>
      <c r="U110" s="88" t="s">
        <v>292</v>
      </c>
      <c r="V110" s="495" t="s">
        <v>292</v>
      </c>
      <c r="W110" s="367">
        <v>45902</v>
      </c>
      <c r="X110" s="69" t="s">
        <v>1674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1672</v>
      </c>
      <c r="S111" s="43" t="s">
        <v>292</v>
      </c>
      <c r="T111" s="43" t="s">
        <v>292</v>
      </c>
      <c r="U111" s="43" t="s">
        <v>292</v>
      </c>
      <c r="V111" s="204" t="s">
        <v>292</v>
      </c>
      <c r="W111" s="168">
        <v>45790</v>
      </c>
      <c r="X111" s="69" t="s">
        <v>1674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1672</v>
      </c>
      <c r="S112" s="43" t="s">
        <v>292</v>
      </c>
      <c r="T112" s="43" t="s">
        <v>292</v>
      </c>
      <c r="U112" s="43" t="s">
        <v>292</v>
      </c>
      <c r="V112" s="204" t="s">
        <v>292</v>
      </c>
      <c r="W112" s="493">
        <v>45791</v>
      </c>
      <c r="X112" s="69" t="s">
        <v>1674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1672</v>
      </c>
      <c r="S113" s="116" t="s">
        <v>292</v>
      </c>
      <c r="T113" s="43" t="s">
        <v>292</v>
      </c>
      <c r="U113" s="43" t="s">
        <v>292</v>
      </c>
      <c r="V113" s="204" t="s">
        <v>292</v>
      </c>
      <c r="W113" s="493">
        <v>45791</v>
      </c>
      <c r="X113" s="149" t="s">
        <v>1674</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1672</v>
      </c>
      <c r="S114" s="116" t="s">
        <v>292</v>
      </c>
      <c r="T114" s="43" t="s">
        <v>292</v>
      </c>
      <c r="U114" s="158" t="s">
        <v>292</v>
      </c>
      <c r="V114" s="204" t="s">
        <v>292</v>
      </c>
      <c r="W114" s="54">
        <v>45798</v>
      </c>
      <c r="X114" s="69" t="s">
        <v>1674</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1672</v>
      </c>
      <c r="S115" s="43" t="s">
        <v>292</v>
      </c>
      <c r="T115" s="43" t="s">
        <v>292</v>
      </c>
      <c r="U115" s="43" t="s">
        <v>292</v>
      </c>
      <c r="V115" s="88" t="s">
        <v>292</v>
      </c>
      <c r="W115" s="54">
        <v>45814</v>
      </c>
      <c r="X115" s="69" t="s">
        <v>1674</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1672</v>
      </c>
      <c r="S116" s="43" t="s">
        <v>292</v>
      </c>
      <c r="T116" s="43" t="s">
        <v>292</v>
      </c>
      <c r="U116" s="43" t="s">
        <v>292</v>
      </c>
      <c r="V116" s="495" t="s">
        <v>292</v>
      </c>
      <c r="W116" s="54">
        <v>45807</v>
      </c>
      <c r="X116" s="69" t="s">
        <v>1674</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1672</v>
      </c>
      <c r="S117" s="43" t="s">
        <v>292</v>
      </c>
      <c r="T117" s="43" t="s">
        <v>292</v>
      </c>
      <c r="U117" s="43" t="s">
        <v>292</v>
      </c>
      <c r="V117" s="88" t="s">
        <v>292</v>
      </c>
      <c r="W117" s="54">
        <v>45811</v>
      </c>
      <c r="X117" s="69" t="s">
        <v>1674</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1672</v>
      </c>
      <c r="S118" s="43" t="s">
        <v>292</v>
      </c>
      <c r="T118" s="43" t="s">
        <v>292</v>
      </c>
      <c r="U118" s="158" t="s">
        <v>292</v>
      </c>
      <c r="V118" s="88" t="s">
        <v>292</v>
      </c>
      <c r="W118" s="54">
        <v>45810</v>
      </c>
      <c r="X118" s="69" t="s">
        <v>1674</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1672</v>
      </c>
      <c r="S119" s="43" t="s">
        <v>292</v>
      </c>
      <c r="T119" s="43" t="s">
        <v>292</v>
      </c>
      <c r="U119" s="158" t="s">
        <v>292</v>
      </c>
      <c r="V119" s="88" t="s">
        <v>292</v>
      </c>
      <c r="W119" s="54">
        <v>45813</v>
      </c>
      <c r="X119" s="69" t="s">
        <v>1674</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1672</v>
      </c>
      <c r="S120" s="43" t="s">
        <v>292</v>
      </c>
      <c r="T120" s="43" t="s">
        <v>292</v>
      </c>
      <c r="U120" s="43" t="s">
        <v>292</v>
      </c>
      <c r="V120" s="88" t="s">
        <v>292</v>
      </c>
      <c r="W120" s="54">
        <v>45811</v>
      </c>
      <c r="X120" s="69" t="s">
        <v>1674</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1672</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1672</v>
      </c>
      <c r="S122" s="43" t="s">
        <v>292</v>
      </c>
      <c r="T122" s="43" t="s">
        <v>292</v>
      </c>
      <c r="U122" s="158" t="s">
        <v>292</v>
      </c>
      <c r="V122" s="158" t="s">
        <v>292</v>
      </c>
      <c r="W122" s="54">
        <v>45789</v>
      </c>
      <c r="X122" s="69" t="s">
        <v>1674</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1672</v>
      </c>
      <c r="S123" s="43" t="s">
        <v>292</v>
      </c>
      <c r="T123" s="43" t="s">
        <v>292</v>
      </c>
      <c r="U123" s="43" t="s">
        <v>292</v>
      </c>
      <c r="V123" s="69" t="s">
        <v>292</v>
      </c>
      <c r="W123" s="54">
        <v>45811</v>
      </c>
      <c r="X123" s="69" t="s">
        <v>1674</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1672</v>
      </c>
      <c r="S124" s="43" t="s">
        <v>292</v>
      </c>
      <c r="T124" s="43" t="s">
        <v>292</v>
      </c>
      <c r="U124" s="43" t="s">
        <v>1677</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1672</v>
      </c>
      <c r="S125" s="43" t="s">
        <v>292</v>
      </c>
      <c r="T125" s="43" t="s">
        <v>292</v>
      </c>
      <c r="U125" s="43" t="s">
        <v>292</v>
      </c>
      <c r="V125" s="43" t="s">
        <v>292</v>
      </c>
      <c r="W125" s="54">
        <v>45814</v>
      </c>
      <c r="X125" s="69" t="s">
        <v>1674</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1672</v>
      </c>
      <c r="S126" s="43" t="s">
        <v>292</v>
      </c>
      <c r="T126" s="43" t="s">
        <v>292</v>
      </c>
      <c r="U126" s="43" t="s">
        <v>292</v>
      </c>
      <c r="V126" s="88" t="s">
        <v>292</v>
      </c>
      <c r="W126" s="54">
        <v>45819</v>
      </c>
      <c r="X126" s="69" t="s">
        <v>1674</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1672</v>
      </c>
      <c r="S127" s="43" t="s">
        <v>292</v>
      </c>
      <c r="T127" s="43" t="s">
        <v>292</v>
      </c>
      <c r="U127" s="43" t="s">
        <v>292</v>
      </c>
      <c r="V127" s="88" t="s">
        <v>292</v>
      </c>
      <c r="W127" s="54">
        <v>45812</v>
      </c>
      <c r="X127" s="69" t="s">
        <v>1674</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1672</v>
      </c>
      <c r="S128" s="43" t="s">
        <v>292</v>
      </c>
      <c r="T128" s="43" t="s">
        <v>292</v>
      </c>
      <c r="U128" s="43" t="s">
        <v>292</v>
      </c>
      <c r="V128" s="88" t="s">
        <v>292</v>
      </c>
      <c r="W128" s="168">
        <v>45883</v>
      </c>
      <c r="X128" s="69" t="s">
        <v>1674</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1672</v>
      </c>
      <c r="S129" s="43" t="s">
        <v>292</v>
      </c>
      <c r="T129" s="116" t="s">
        <v>292</v>
      </c>
      <c r="U129" s="116" t="s">
        <v>292</v>
      </c>
      <c r="V129" s="88" t="s">
        <v>292</v>
      </c>
      <c r="W129" s="168">
        <v>45814</v>
      </c>
      <c r="X129" s="69" t="s">
        <v>1674</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1672</v>
      </c>
      <c r="S130" s="43" t="s">
        <v>292</v>
      </c>
      <c r="T130" s="43" t="s">
        <v>292</v>
      </c>
      <c r="U130" s="43" t="s">
        <v>292</v>
      </c>
      <c r="V130" s="88" t="s">
        <v>292</v>
      </c>
      <c r="W130" s="54">
        <v>45798</v>
      </c>
      <c r="X130" s="69" t="s">
        <v>1674</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1672</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1672</v>
      </c>
      <c r="S132" s="43" t="s">
        <v>292</v>
      </c>
      <c r="T132" s="43" t="s">
        <v>292</v>
      </c>
      <c r="U132" s="43" t="s">
        <v>292</v>
      </c>
      <c r="V132" s="43" t="s">
        <v>292</v>
      </c>
      <c r="W132" s="54">
        <v>45820</v>
      </c>
      <c r="X132" s="69" t="s">
        <v>1674</v>
      </c>
      <c r="Y132" t="e">
        <f>VLOOKUP(A132,#REF!,2,FALSE)</f>
        <v>#REF!</v>
      </c>
    </row>
    <row r="133" spans="1:25" ht="15" customHeight="1">
      <c r="A133" s="369" t="s">
        <v>662</v>
      </c>
      <c r="B133" s="420" t="s">
        <v>50</v>
      </c>
      <c r="C133" s="378">
        <v>45742</v>
      </c>
      <c r="D133" s="433" t="s">
        <v>1678</v>
      </c>
      <c r="E133" s="372"/>
      <c r="F133" s="372"/>
      <c r="G133" s="372"/>
      <c r="H133" s="372">
        <v>38</v>
      </c>
      <c r="I133" s="371"/>
      <c r="J133" s="372" t="s">
        <v>57</v>
      </c>
      <c r="K133" s="372" t="s">
        <v>57</v>
      </c>
      <c r="L133" s="372" t="s">
        <v>63</v>
      </c>
      <c r="M133" s="49" t="s">
        <v>292</v>
      </c>
      <c r="N133" s="49" t="s">
        <v>292</v>
      </c>
      <c r="O133" s="54">
        <v>45701</v>
      </c>
      <c r="P133" s="30" t="s">
        <v>292</v>
      </c>
      <c r="Q133" s="69" t="s">
        <v>292</v>
      </c>
      <c r="R133" s="43" t="s">
        <v>1672</v>
      </c>
      <c r="S133" s="43" t="s">
        <v>292</v>
      </c>
      <c r="T133" s="43" t="s">
        <v>292</v>
      </c>
      <c r="U133" s="43" t="s">
        <v>292</v>
      </c>
      <c r="V133" s="69" t="s">
        <v>292</v>
      </c>
      <c r="W133" s="54">
        <v>45821</v>
      </c>
      <c r="X133" s="69" t="s">
        <v>1674</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1672</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1672</v>
      </c>
      <c r="S135" s="43" t="s">
        <v>292</v>
      </c>
      <c r="T135" s="43" t="s">
        <v>292</v>
      </c>
      <c r="U135" s="158" t="s">
        <v>292</v>
      </c>
      <c r="V135" s="43" t="s">
        <v>292</v>
      </c>
      <c r="W135" s="54">
        <v>45819</v>
      </c>
      <c r="X135" s="69" t="s">
        <v>1674</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1672</v>
      </c>
      <c r="S136" s="43" t="s">
        <v>292</v>
      </c>
      <c r="T136" s="43" t="s">
        <v>292</v>
      </c>
      <c r="U136" s="43" t="s">
        <v>292</v>
      </c>
      <c r="V136" s="43" t="s">
        <v>292</v>
      </c>
      <c r="W136" s="54">
        <v>45791</v>
      </c>
      <c r="X136" s="69" t="s">
        <v>1674</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1672</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1672</v>
      </c>
      <c r="S138" s="43" t="s">
        <v>292</v>
      </c>
      <c r="T138" s="43" t="s">
        <v>292</v>
      </c>
      <c r="U138" s="43" t="s">
        <v>292</v>
      </c>
      <c r="V138" s="43" t="s">
        <v>292</v>
      </c>
      <c r="W138" s="54">
        <v>45790</v>
      </c>
      <c r="X138" s="69" t="s">
        <v>1674</v>
      </c>
      <c r="Y138" t="e">
        <f>VLOOKUP(A138,#REF!,2,FALSE)</f>
        <v>#REF!</v>
      </c>
    </row>
    <row r="139" spans="1:25" ht="15" customHeight="1">
      <c r="A139" s="369" t="s">
        <v>1679</v>
      </c>
      <c r="B139" s="185" t="s">
        <v>50</v>
      </c>
      <c r="C139" s="422">
        <v>45742</v>
      </c>
      <c r="D139" s="372" t="s">
        <v>1680</v>
      </c>
      <c r="E139" s="539"/>
      <c r="F139" s="372"/>
      <c r="G139" s="372"/>
      <c r="H139" s="372">
        <v>87</v>
      </c>
      <c r="I139" s="371"/>
      <c r="J139" s="372" t="s">
        <v>57</v>
      </c>
      <c r="K139" s="372" t="s">
        <v>57</v>
      </c>
      <c r="L139" s="372" t="s">
        <v>63</v>
      </c>
      <c r="M139" s="49" t="s">
        <v>292</v>
      </c>
      <c r="N139" s="30" t="s">
        <v>292</v>
      </c>
      <c r="O139" s="30" t="s">
        <v>292</v>
      </c>
      <c r="P139" s="30" t="s">
        <v>292</v>
      </c>
      <c r="Q139" s="43" t="s">
        <v>292</v>
      </c>
      <c r="R139" s="43" t="s">
        <v>1672</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1672</v>
      </c>
      <c r="S140" s="43" t="s">
        <v>292</v>
      </c>
      <c r="T140" s="43" t="s">
        <v>292</v>
      </c>
      <c r="U140" s="88" t="s">
        <v>292</v>
      </c>
      <c r="V140" s="69" t="s">
        <v>292</v>
      </c>
      <c r="W140" s="54">
        <v>45819</v>
      </c>
      <c r="X140" s="69" t="s">
        <v>1674</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1672</v>
      </c>
      <c r="S141" s="43" t="s">
        <v>292</v>
      </c>
      <c r="T141" s="43" t="s">
        <v>292</v>
      </c>
      <c r="U141" s="88" t="s">
        <v>292</v>
      </c>
      <c r="V141" s="88" t="s">
        <v>292</v>
      </c>
      <c r="W141" s="54">
        <v>45811</v>
      </c>
      <c r="X141" s="69" t="s">
        <v>1674</v>
      </c>
      <c r="Y141" t="e">
        <f>VLOOKUP(A141,#REF!,2,FALSE)</f>
        <v>#REF!</v>
      </c>
    </row>
    <row r="142" spans="1:25" ht="15" customHeight="1">
      <c r="A142" s="369" t="s">
        <v>1681</v>
      </c>
      <c r="B142" s="420" t="s">
        <v>50</v>
      </c>
      <c r="C142" s="422">
        <v>45742</v>
      </c>
      <c r="D142" s="372" t="s">
        <v>1682</v>
      </c>
      <c r="E142" s="539"/>
      <c r="F142" s="372"/>
      <c r="G142" s="372"/>
      <c r="H142" s="372">
        <v>87</v>
      </c>
      <c r="I142" s="371"/>
      <c r="J142" s="372" t="s">
        <v>57</v>
      </c>
      <c r="K142" s="372" t="s">
        <v>57</v>
      </c>
      <c r="L142" s="372" t="s">
        <v>63</v>
      </c>
      <c r="M142" s="49" t="s">
        <v>292</v>
      </c>
      <c r="N142" s="49" t="s">
        <v>292</v>
      </c>
      <c r="O142" s="198">
        <v>45691</v>
      </c>
      <c r="P142" s="30" t="s">
        <v>292</v>
      </c>
      <c r="Q142" s="69" t="s">
        <v>292</v>
      </c>
      <c r="R142" s="43" t="s">
        <v>1672</v>
      </c>
      <c r="S142" s="43" t="s">
        <v>292</v>
      </c>
      <c r="T142" s="43" t="s">
        <v>292</v>
      </c>
      <c r="U142" s="158" t="s">
        <v>292</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292</v>
      </c>
      <c r="N143" s="49" t="s">
        <v>292</v>
      </c>
      <c r="O143" s="198">
        <v>45675</v>
      </c>
      <c r="P143" s="30" t="s">
        <v>292</v>
      </c>
      <c r="Q143" s="69" t="s">
        <v>292</v>
      </c>
      <c r="R143" s="43" t="s">
        <v>1672</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1674</v>
      </c>
    </row>
    <row r="145" spans="1:25" ht="15" customHeight="1">
      <c r="A145" s="369" t="s">
        <v>902</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1683</v>
      </c>
      <c r="B146" s="420" t="s">
        <v>50</v>
      </c>
      <c r="C146" s="370">
        <v>45991</v>
      </c>
      <c r="D146" s="432" t="s">
        <v>1684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1672</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1672</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1672</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1672</v>
      </c>
      <c r="S153" s="43" t="s">
        <v>292</v>
      </c>
      <c r="T153" s="158" t="s">
        <v>292</v>
      </c>
      <c r="U153" s="158" t="s">
        <v>292</v>
      </c>
      <c r="V153" s="43" t="s">
        <v>292</v>
      </c>
      <c r="W153" s="54">
        <v>45807</v>
      </c>
      <c r="X153" s="69" t="s">
        <v>1674</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1672</v>
      </c>
      <c r="S154" s="43" t="s">
        <v>292</v>
      </c>
      <c r="T154" s="158" t="s">
        <v>292</v>
      </c>
      <c r="U154" s="158" t="s">
        <v>292</v>
      </c>
      <c r="V154" s="43" t="s">
        <v>292</v>
      </c>
      <c r="W154" s="168">
        <v>45792</v>
      </c>
      <c r="X154" s="149" t="s">
        <v>1674</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1672</v>
      </c>
      <c r="S155" s="43" t="s">
        <v>292</v>
      </c>
      <c r="T155" s="43" t="s">
        <v>292</v>
      </c>
      <c r="U155" s="158" t="s">
        <v>292</v>
      </c>
      <c r="V155" s="43" t="s">
        <v>292</v>
      </c>
      <c r="W155" s="367">
        <v>45821</v>
      </c>
      <c r="X155" s="69" t="s">
        <v>1674</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1672</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1672</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1672</v>
      </c>
      <c r="S158" s="43" t="s">
        <v>292</v>
      </c>
      <c r="T158" s="43" t="s">
        <v>292</v>
      </c>
      <c r="U158" s="158" t="s">
        <v>292</v>
      </c>
      <c r="V158" s="158" t="s">
        <v>292</v>
      </c>
      <c r="W158" s="367">
        <v>45817</v>
      </c>
      <c r="X158" s="69" t="s">
        <v>1674</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1674</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1674</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1674</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1674</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1674</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1685</v>
      </c>
      <c r="W2" s="3" t="s">
        <v>1686</v>
      </c>
      <c r="X2" s="3" t="s">
        <v>1686</v>
      </c>
      <c r="Y2" s="3" t="s">
        <v>1686</v>
      </c>
      <c r="Z2" s="3" t="s">
        <v>1686</v>
      </c>
      <c r="AA2" s="8" t="s">
        <v>1687</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1688</v>
      </c>
      <c r="T3" s="19" t="s">
        <v>1689</v>
      </c>
      <c r="U3" s="19" t="s">
        <v>1690</v>
      </c>
      <c r="V3" s="5" t="s">
        <v>1691</v>
      </c>
      <c r="W3" s="5" t="s">
        <v>44</v>
      </c>
      <c r="X3" s="5" t="s">
        <v>43</v>
      </c>
      <c r="Y3" s="5" t="s">
        <v>1692</v>
      </c>
      <c r="Z3" s="5" t="s">
        <v>46</v>
      </c>
      <c r="AA3" s="90" t="s">
        <v>504</v>
      </c>
      <c r="AB3" s="68" t="s">
        <v>48</v>
      </c>
    </row>
    <row r="4" spans="1:30" ht="24.75" customHeight="1" thickBot="1">
      <c r="A4" s="454" t="s">
        <v>1693</v>
      </c>
      <c r="B4" s="454" t="s">
        <v>1694</v>
      </c>
      <c r="C4" s="16">
        <v>45717</v>
      </c>
      <c r="D4" s="63" t="s">
        <v>1695</v>
      </c>
      <c r="E4" s="51">
        <v>45707</v>
      </c>
      <c r="F4" s="51" t="s">
        <v>216</v>
      </c>
      <c r="G4" s="393" t="s">
        <v>1696</v>
      </c>
      <c r="H4" s="98">
        <v>0</v>
      </c>
      <c r="I4" s="106"/>
      <c r="J4" s="76" t="s">
        <v>63</v>
      </c>
      <c r="K4" s="76" t="s">
        <v>1697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1698</v>
      </c>
    </row>
    <row r="5" spans="1:30" ht="24.75" customHeight="1" thickBot="1">
      <c r="A5" s="454" t="s">
        <v>1699</v>
      </c>
      <c r="B5" s="454" t="s">
        <v>1694</v>
      </c>
      <c r="C5" s="16">
        <v>45717</v>
      </c>
      <c r="D5" s="63" t="s">
        <v>1695</v>
      </c>
      <c r="E5" s="51">
        <v>45707</v>
      </c>
      <c r="F5" s="392" t="s">
        <v>216</v>
      </c>
      <c r="G5" s="393" t="s">
        <v>1700</v>
      </c>
      <c r="H5" s="98">
        <v>0</v>
      </c>
      <c r="I5" s="106"/>
      <c r="J5" s="76" t="s">
        <v>63</v>
      </c>
      <c r="K5" s="76" t="s">
        <v>1697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1701</v>
      </c>
      <c r="B6" s="454" t="s">
        <v>1694</v>
      </c>
      <c r="C6" s="16">
        <v>45717</v>
      </c>
      <c r="D6" s="63" t="s">
        <v>1695</v>
      </c>
      <c r="E6" s="51">
        <v>45707</v>
      </c>
      <c r="F6" s="392" t="s">
        <v>216</v>
      </c>
      <c r="G6" s="393" t="s">
        <v>1702</v>
      </c>
      <c r="H6" s="98">
        <v>0</v>
      </c>
      <c r="I6" s="106"/>
      <c r="J6" s="76" t="s">
        <v>63</v>
      </c>
      <c r="K6" s="76" t="s">
        <v>1697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1703</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1704</v>
      </c>
      <c r="B8" s="454" t="s">
        <v>1705</v>
      </c>
      <c r="C8" s="16">
        <v>45748</v>
      </c>
      <c r="D8" s="16" t="s">
        <v>1695</v>
      </c>
      <c r="E8" s="95" t="s">
        <v>52</v>
      </c>
      <c r="F8" s="96" t="s">
        <v>52</v>
      </c>
      <c r="G8" s="638" t="s">
        <v>1706</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1707</v>
      </c>
      <c r="AC8" s="449"/>
      <c r="AD8" s="70"/>
    </row>
    <row r="9" spans="1:30" ht="24.75" customHeight="1">
      <c r="A9" s="463" t="s">
        <v>1708</v>
      </c>
      <c r="B9" s="463" t="s">
        <v>1709</v>
      </c>
      <c r="C9" s="23">
        <v>45741</v>
      </c>
      <c r="D9" s="16" t="s">
        <v>1695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1710</v>
      </c>
    </row>
    <row r="10" spans="1:30" ht="24.75" customHeight="1" thickBot="1">
      <c r="A10" s="26" t="s">
        <v>1711</v>
      </c>
      <c r="B10" s="26" t="s">
        <v>1709</v>
      </c>
      <c r="C10" s="27">
        <v>45741</v>
      </c>
      <c r="D10" s="16" t="s">
        <v>1695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1712</v>
      </c>
      <c r="B11" s="36" t="s">
        <v>1709</v>
      </c>
      <c r="C11" s="37">
        <v>45747</v>
      </c>
      <c r="D11" s="16" t="s">
        <v>1695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1713</v>
      </c>
      <c r="B12" s="26" t="s">
        <v>1709</v>
      </c>
      <c r="C12" s="27">
        <v>45741</v>
      </c>
      <c r="D12" s="16" t="s">
        <v>1695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1710</v>
      </c>
    </row>
    <row r="13" spans="1:30" ht="24.75" customHeight="1" thickBot="1">
      <c r="A13" s="26" t="s">
        <v>1714</v>
      </c>
      <c r="B13" s="26" t="s">
        <v>1709</v>
      </c>
      <c r="C13" s="27">
        <v>45741</v>
      </c>
      <c r="D13" s="27" t="s">
        <v>1695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1710</v>
      </c>
    </row>
    <row r="14" spans="1:30" ht="24.75" customHeight="1" thickBot="1">
      <c r="A14" s="26" t="s">
        <v>1715</v>
      </c>
      <c r="B14" s="26" t="s">
        <v>1709</v>
      </c>
      <c r="C14" s="27">
        <v>45747</v>
      </c>
      <c r="D14" s="27" t="s">
        <v>1695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1716</v>
      </c>
      <c r="B15" s="26" t="s">
        <v>1709</v>
      </c>
      <c r="C15" s="27">
        <v>45741</v>
      </c>
      <c r="D15" s="27" t="s">
        <v>1695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1710</v>
      </c>
    </row>
    <row r="16" spans="1:30" ht="24.75" customHeight="1" thickBot="1">
      <c r="A16" s="26" t="s">
        <v>1717</v>
      </c>
      <c r="B16" s="26" t="s">
        <v>1709</v>
      </c>
      <c r="C16" s="27">
        <v>45741</v>
      </c>
      <c r="D16" s="27" t="s">
        <v>1695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1710</v>
      </c>
    </row>
    <row r="17" spans="1:30" ht="24.75" customHeight="1" thickBot="1">
      <c r="A17" s="36" t="s">
        <v>1718</v>
      </c>
      <c r="B17" s="36" t="s">
        <v>1709</v>
      </c>
      <c r="C17" s="37">
        <v>45747</v>
      </c>
      <c r="D17" s="37" t="s">
        <v>1695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1719</v>
      </c>
      <c r="B18" s="385" t="s">
        <v>1709</v>
      </c>
      <c r="C18" s="51">
        <v>45717</v>
      </c>
      <c r="D18" s="27" t="s">
        <v>1695</v>
      </c>
      <c r="E18" s="85">
        <v>45700</v>
      </c>
      <c r="F18" s="51"/>
      <c r="G18" s="51" t="s">
        <v>1720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1710</v>
      </c>
    </row>
    <row r="19" spans="1:30" ht="24.75" customHeight="1" thickBot="1">
      <c r="A19" s="50" t="s">
        <v>1721</v>
      </c>
      <c r="B19" s="26" t="s">
        <v>1709</v>
      </c>
      <c r="C19" s="51">
        <v>45747</v>
      </c>
      <c r="D19" s="27" t="s">
        <v>1695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1722</v>
      </c>
    </row>
    <row r="20" spans="1:30" ht="24.75" customHeight="1" thickBot="1">
      <c r="A20" s="385" t="s">
        <v>1723</v>
      </c>
      <c r="B20" s="385" t="s">
        <v>1709</v>
      </c>
      <c r="C20" s="386">
        <v>45717</v>
      </c>
      <c r="D20" s="27" t="s">
        <v>1695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1710</v>
      </c>
    </row>
    <row r="21" spans="1:30" ht="24.75" customHeight="1" thickBot="1">
      <c r="A21" s="385" t="s">
        <v>1724</v>
      </c>
      <c r="B21" s="113" t="s">
        <v>50</v>
      </c>
      <c r="C21" s="51">
        <v>45717</v>
      </c>
      <c r="D21" s="27" t="s">
        <v>1725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1726</v>
      </c>
      <c r="B22" s="389" t="s">
        <v>50</v>
      </c>
      <c r="C22" s="51">
        <v>45717</v>
      </c>
      <c r="D22" s="51" t="s">
        <v>1725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1727</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1728</v>
      </c>
      <c r="B24" s="389" t="s">
        <v>50</v>
      </c>
      <c r="C24" s="392">
        <v>45688</v>
      </c>
      <c r="D24" s="402" t="s">
        <v>1727</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1729</v>
      </c>
      <c r="B25" s="114" t="s">
        <v>50</v>
      </c>
      <c r="C25" s="51">
        <v>45747</v>
      </c>
      <c r="D25" s="51" t="s">
        <v>1725</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1730</v>
      </c>
    </row>
    <row r="26" spans="1:30" ht="24.75" customHeight="1">
      <c r="A26" s="102" t="s">
        <v>1731</v>
      </c>
      <c r="B26" s="103" t="s">
        <v>50</v>
      </c>
      <c r="C26" s="77">
        <v>45716</v>
      </c>
      <c r="D26" s="26" t="s">
        <v>1727</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1732</v>
      </c>
      <c r="B27" s="103" t="s">
        <v>50</v>
      </c>
      <c r="C27" s="77">
        <v>45716</v>
      </c>
      <c r="D27" s="50" t="s">
        <v>1727</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1733</v>
      </c>
      <c r="B28" s="103" t="s">
        <v>50</v>
      </c>
      <c r="C28" s="77">
        <v>45717</v>
      </c>
      <c r="D28" s="51" t="s">
        <v>1725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1734</v>
      </c>
      <c r="B29" s="103" t="s">
        <v>50</v>
      </c>
      <c r="C29" s="77">
        <v>45717</v>
      </c>
      <c r="D29" s="51" t="s">
        <v>1725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1735</v>
      </c>
      <c r="B30" s="389" t="s">
        <v>50</v>
      </c>
      <c r="C30" s="51">
        <v>45717</v>
      </c>
      <c r="D30" s="51" t="s">
        <v>1725</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1736</v>
      </c>
      <c r="B31" s="389" t="s">
        <v>50</v>
      </c>
      <c r="C31" s="51">
        <v>45717</v>
      </c>
      <c r="D31" s="51" t="s">
        <v>1725</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1683</v>
      </c>
      <c r="B32" s="1057" t="s">
        <v>50</v>
      </c>
      <c r="C32" s="950">
        <v>45991</v>
      </c>
      <c r="D32" s="950" t="s">
        <v>71</v>
      </c>
      <c r="E32" s="1049">
        <v>45734</v>
      </c>
      <c r="F32" s="954" t="s">
        <v>61</v>
      </c>
      <c r="G32" s="1058" t="s">
        <v>1684</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1737</v>
      </c>
      <c r="B33" s="1057" t="s">
        <v>50</v>
      </c>
      <c r="C33" s="950">
        <v>45991</v>
      </c>
      <c r="D33" s="954" t="s">
        <v>71</v>
      </c>
      <c r="E33" s="1049">
        <v>45743</v>
      </c>
      <c r="F33" s="954" t="s">
        <v>61</v>
      </c>
      <c r="G33" s="1058" t="s">
        <v>1738</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1739</v>
      </c>
    </row>
    <row r="34" spans="1:28" ht="24.75" customHeight="1">
      <c r="A34" s="948" t="s">
        <v>1740</v>
      </c>
      <c r="B34" s="1057" t="s">
        <v>50</v>
      </c>
      <c r="C34" s="950">
        <v>45989</v>
      </c>
      <c r="D34" s="950" t="s">
        <v>1741</v>
      </c>
      <c r="E34" s="1049"/>
      <c r="F34" s="954"/>
      <c r="G34" s="1058"/>
      <c r="H34" s="1037">
        <v>194</v>
      </c>
      <c r="I34" s="953" t="s">
        <v>55</v>
      </c>
      <c r="J34" s="952" t="s">
        <v>56</v>
      </c>
      <c r="K34" s="1146"/>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8" t="s">
        <v>1742</v>
      </c>
      <c r="C1" s="1158"/>
      <c r="D1" s="576"/>
      <c r="E1" s="1158" t="s">
        <v>1743</v>
      </c>
      <c r="F1" s="1158"/>
    </row>
    <row r="2" spans="1:25">
      <c r="B2" s="44" t="s">
        <v>1744</v>
      </c>
      <c r="E2" s="44" t="s">
        <v>22</v>
      </c>
      <c r="F2" t="s">
        <v>873</v>
      </c>
      <c r="P2" s="44" t="s">
        <v>27</v>
      </c>
      <c r="Q2" t="s">
        <v>1745</v>
      </c>
    </row>
    <row r="3" spans="1:25">
      <c r="B3" s="44" t="s">
        <v>22</v>
      </c>
      <c r="C3" t="s">
        <v>879</v>
      </c>
      <c r="K3" s="44" t="s">
        <v>1746</v>
      </c>
      <c r="L3" t="s">
        <v>1747</v>
      </c>
      <c r="P3" s="44" t="s">
        <v>1746</v>
      </c>
      <c r="Q3" t="s">
        <v>1747</v>
      </c>
    </row>
    <row r="4" spans="1:25">
      <c r="B4" t="s">
        <v>152</v>
      </c>
      <c r="C4">
        <v>223696</v>
      </c>
      <c r="E4" s="44" t="s">
        <v>1744</v>
      </c>
      <c r="F4" t="s">
        <v>879</v>
      </c>
      <c r="W4" t="s">
        <v>1748</v>
      </c>
      <c r="X4">
        <v>22</v>
      </c>
    </row>
    <row r="5" spans="1:25">
      <c r="B5" t="s">
        <v>71</v>
      </c>
      <c r="C5">
        <v>47789</v>
      </c>
      <c r="E5" t="s">
        <v>879</v>
      </c>
      <c r="F5">
        <v>301527</v>
      </c>
      <c r="K5" s="44" t="s">
        <v>1749</v>
      </c>
      <c r="P5" s="44" t="s">
        <v>1749</v>
      </c>
      <c r="W5" t="s">
        <v>1750</v>
      </c>
      <c r="X5">
        <v>13</v>
      </c>
    </row>
    <row r="6" spans="1:25">
      <c r="B6" t="s">
        <v>102</v>
      </c>
      <c r="C6">
        <v>22387</v>
      </c>
      <c r="K6" s="44" t="s">
        <v>27</v>
      </c>
      <c r="L6" s="44" t="s">
        <v>1751</v>
      </c>
      <c r="M6" t="s">
        <v>879</v>
      </c>
      <c r="P6" s="44" t="s">
        <v>1752</v>
      </c>
      <c r="Q6" s="44" t="s">
        <v>1751</v>
      </c>
      <c r="R6" t="s">
        <v>879</v>
      </c>
    </row>
    <row r="7" spans="1:25">
      <c r="B7" t="s">
        <v>905</v>
      </c>
      <c r="C7">
        <v>228287</v>
      </c>
      <c r="K7" t="s">
        <v>1745</v>
      </c>
      <c r="L7" t="s">
        <v>510</v>
      </c>
      <c r="M7">
        <v>1</v>
      </c>
      <c r="P7" t="s">
        <v>1753</v>
      </c>
      <c r="R7">
        <v>1</v>
      </c>
      <c r="X7" t="s">
        <v>1754</v>
      </c>
      <c r="Y7" t="s">
        <v>1755</v>
      </c>
    </row>
    <row r="8" spans="1:25">
      <c r="B8" t="s">
        <v>51</v>
      </c>
      <c r="C8">
        <v>446</v>
      </c>
      <c r="L8" t="s">
        <v>512</v>
      </c>
      <c r="M8">
        <v>1</v>
      </c>
      <c r="P8" t="s">
        <v>1756</v>
      </c>
      <c r="R8">
        <v>1</v>
      </c>
      <c r="V8" t="s">
        <v>1757</v>
      </c>
      <c r="W8" s="261">
        <v>203521</v>
      </c>
      <c r="X8" s="317">
        <f>X5/X4</f>
        <v>0.59090909090909094</v>
      </c>
      <c r="Y8" s="317">
        <f>W9/W8</f>
        <v>0.31446386367991508</v>
      </c>
    </row>
    <row r="9" spans="1:25">
      <c r="B9" t="s">
        <v>22</v>
      </c>
      <c r="C9">
        <v>0</v>
      </c>
      <c r="L9" t="s">
        <v>1758</v>
      </c>
      <c r="M9">
        <v>1</v>
      </c>
      <c r="P9" t="s">
        <v>1759</v>
      </c>
      <c r="Q9" t="s">
        <v>1758</v>
      </c>
      <c r="R9">
        <v>1</v>
      </c>
      <c r="V9" t="s">
        <v>1760</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1761</v>
      </c>
      <c r="R12">
        <v>1</v>
      </c>
    </row>
    <row r="13" spans="1:25">
      <c r="B13" t="s">
        <v>211</v>
      </c>
      <c r="C13">
        <v>16290</v>
      </c>
      <c r="L13" t="s">
        <v>1762</v>
      </c>
      <c r="M13">
        <v>1</v>
      </c>
      <c r="Q13" t="s">
        <v>829</v>
      </c>
      <c r="R13">
        <v>1</v>
      </c>
    </row>
    <row r="14" spans="1:25">
      <c r="B14" t="s">
        <v>382</v>
      </c>
      <c r="C14">
        <v>4725</v>
      </c>
      <c r="L14" t="s">
        <v>629</v>
      </c>
      <c r="M14">
        <v>1</v>
      </c>
      <c r="P14" t="s">
        <v>1763</v>
      </c>
      <c r="R14">
        <v>5</v>
      </c>
    </row>
    <row r="15" spans="1:25">
      <c r="B15" t="s">
        <v>130</v>
      </c>
      <c r="C15">
        <v>7655</v>
      </c>
      <c r="L15" t="s">
        <v>1761</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1764</v>
      </c>
      <c r="M21">
        <v>1</v>
      </c>
    </row>
    <row r="22" spans="2:13">
      <c r="L22" t="s">
        <v>829</v>
      </c>
      <c r="M22">
        <v>1</v>
      </c>
    </row>
    <row r="23" spans="2:13">
      <c r="L23" t="s">
        <v>673</v>
      </c>
      <c r="M23">
        <v>1</v>
      </c>
    </row>
    <row r="24" spans="2:13">
      <c r="L24" t="s">
        <v>691</v>
      </c>
      <c r="M24">
        <v>1</v>
      </c>
    </row>
    <row r="25" spans="2:13">
      <c r="L25" t="s">
        <v>180</v>
      </c>
      <c r="M25">
        <v>1</v>
      </c>
    </row>
    <row r="26" spans="2:13">
      <c r="K26" t="s">
        <v>1765</v>
      </c>
      <c r="M26">
        <v>19</v>
      </c>
    </row>
    <row r="27" spans="2:13">
      <c r="K27" t="s">
        <v>1766</v>
      </c>
      <c r="L27" t="s">
        <v>623</v>
      </c>
      <c r="M27">
        <v>1</v>
      </c>
    </row>
    <row r="28" spans="2:13">
      <c r="L28" t="s">
        <v>625</v>
      </c>
      <c r="M28">
        <v>1</v>
      </c>
    </row>
    <row r="29" spans="2:13">
      <c r="L29" t="s">
        <v>627</v>
      </c>
      <c r="M29">
        <v>1</v>
      </c>
    </row>
    <row r="30" spans="2:13">
      <c r="L30" t="s">
        <v>643</v>
      </c>
      <c r="M30">
        <v>1</v>
      </c>
    </row>
    <row r="31" spans="2:13">
      <c r="L31" t="s">
        <v>645</v>
      </c>
      <c r="M31">
        <v>1</v>
      </c>
    </row>
    <row r="32" spans="2:13">
      <c r="L32" t="s">
        <v>1767</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1768</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1769</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1770</v>
      </c>
      <c r="S2" s="3" t="s">
        <v>1685</v>
      </c>
      <c r="T2" s="268" t="s">
        <v>1686</v>
      </c>
      <c r="U2" s="268" t="s">
        <v>1686</v>
      </c>
      <c r="V2" s="268" t="s">
        <v>1686</v>
      </c>
      <c r="W2" s="268" t="s">
        <v>1686</v>
      </c>
      <c r="X2" s="268" t="s">
        <v>1687</v>
      </c>
      <c r="Y2" s="268" t="s">
        <v>1771</v>
      </c>
    </row>
    <row r="3" spans="1:26" ht="15.75" thickBot="1">
      <c r="A3" s="267" t="s">
        <v>1751</v>
      </c>
      <c r="B3" s="263" t="s">
        <v>20</v>
      </c>
      <c r="C3" s="263" t="s">
        <v>1772</v>
      </c>
      <c r="D3" s="263" t="s">
        <v>26</v>
      </c>
      <c r="E3" s="263" t="s">
        <v>1746</v>
      </c>
      <c r="F3" s="263" t="s">
        <v>1773</v>
      </c>
      <c r="G3" s="263" t="s">
        <v>27</v>
      </c>
      <c r="H3" s="211" t="s">
        <v>28</v>
      </c>
      <c r="I3" s="211" t="s">
        <v>1774</v>
      </c>
      <c r="J3" s="211" t="s">
        <v>1775</v>
      </c>
      <c r="K3" s="211" t="s">
        <v>1776</v>
      </c>
      <c r="L3" s="211" t="s">
        <v>1674</v>
      </c>
      <c r="M3" s="211" t="s">
        <v>1777</v>
      </c>
      <c r="N3" s="211" t="s">
        <v>1778</v>
      </c>
      <c r="O3" s="210" t="s">
        <v>1690</v>
      </c>
      <c r="P3" s="264" t="s">
        <v>1752</v>
      </c>
      <c r="Q3" s="265" t="s">
        <v>34</v>
      </c>
      <c r="R3" s="265" t="s">
        <v>1774</v>
      </c>
      <c r="S3" s="5" t="s">
        <v>1691</v>
      </c>
      <c r="T3" s="265" t="s">
        <v>1779</v>
      </c>
      <c r="U3" s="265" t="s">
        <v>43</v>
      </c>
      <c r="V3" s="265" t="s">
        <v>1692</v>
      </c>
      <c r="W3" s="265" t="s">
        <v>46</v>
      </c>
      <c r="X3" s="265" t="s">
        <v>504</v>
      </c>
      <c r="Y3" s="265" t="s">
        <v>1780</v>
      </c>
      <c r="Z3" s="316" t="s">
        <v>1781</v>
      </c>
    </row>
    <row r="4" spans="1:26" ht="15.75" thickBot="1">
      <c r="A4" s="122" t="s">
        <v>81</v>
      </c>
      <c r="B4" s="103" t="s">
        <v>50</v>
      </c>
      <c r="C4" s="77">
        <v>45807</v>
      </c>
      <c r="D4" s="272"/>
      <c r="E4" s="273" t="s">
        <v>1782</v>
      </c>
      <c r="F4" s="272"/>
      <c r="G4" s="274" t="s">
        <v>1745</v>
      </c>
      <c r="H4" s="272"/>
      <c r="I4" s="272"/>
      <c r="J4" s="275"/>
      <c r="K4" s="209"/>
      <c r="L4" s="209"/>
      <c r="M4" s="209"/>
      <c r="N4" s="276"/>
      <c r="O4" s="277"/>
      <c r="P4" s="278" t="s">
        <v>1783</v>
      </c>
      <c r="Q4" s="279" t="s">
        <v>68</v>
      </c>
      <c r="R4" s="132" t="s">
        <v>1784</v>
      </c>
      <c r="S4" s="132"/>
      <c r="T4" s="280"/>
      <c r="U4" s="281"/>
      <c r="V4" s="281"/>
      <c r="W4" s="281"/>
      <c r="X4" s="281"/>
      <c r="Y4" s="281"/>
      <c r="Z4" t="e">
        <f>VLOOKUP(A4,#REF!,9,FALSE)</f>
        <v>#REF!</v>
      </c>
    </row>
    <row r="5" spans="1:26" ht="15.75" thickBot="1">
      <c r="A5" s="282" t="s">
        <v>1683</v>
      </c>
      <c r="B5" s="103" t="s">
        <v>50</v>
      </c>
      <c r="C5" s="219">
        <v>45807</v>
      </c>
      <c r="D5" s="272"/>
      <c r="E5" s="273" t="s">
        <v>1782</v>
      </c>
      <c r="F5" s="272"/>
      <c r="G5" s="274" t="s">
        <v>1745</v>
      </c>
      <c r="H5" s="272"/>
      <c r="I5" s="272"/>
      <c r="J5" s="283"/>
      <c r="K5" s="209"/>
      <c r="L5" s="209"/>
      <c r="M5" s="209"/>
      <c r="N5" s="276"/>
      <c r="O5" s="277"/>
      <c r="P5" s="278" t="s">
        <v>1783</v>
      </c>
      <c r="Q5" s="279" t="s">
        <v>68</v>
      </c>
      <c r="R5" s="132" t="s">
        <v>1784</v>
      </c>
      <c r="S5" s="132"/>
      <c r="T5" s="280"/>
      <c r="U5" s="281"/>
      <c r="V5" s="281"/>
      <c r="W5" s="281"/>
      <c r="X5" s="281"/>
      <c r="Y5" s="281"/>
      <c r="Z5" t="e">
        <f>VLOOKUP(A5,#REF!,9,FALSE)</f>
        <v>#REF!</v>
      </c>
    </row>
    <row r="6" spans="1:26" ht="15.75" thickBot="1">
      <c r="A6" s="122" t="s">
        <v>902</v>
      </c>
      <c r="B6" s="103" t="s">
        <v>50</v>
      </c>
      <c r="C6" s="219">
        <v>45807</v>
      </c>
      <c r="D6" s="272"/>
      <c r="E6" s="273" t="s">
        <v>1782</v>
      </c>
      <c r="F6" s="272"/>
      <c r="G6" s="274" t="s">
        <v>1745</v>
      </c>
      <c r="H6" s="272"/>
      <c r="I6" s="272"/>
      <c r="J6" s="283"/>
      <c r="K6" s="209"/>
      <c r="L6" s="209"/>
      <c r="M6" s="209"/>
      <c r="N6" s="276"/>
      <c r="O6" s="277"/>
      <c r="P6" s="278" t="s">
        <v>1783</v>
      </c>
      <c r="Q6" s="279" t="s">
        <v>68</v>
      </c>
      <c r="R6" s="132" t="s">
        <v>1784</v>
      </c>
      <c r="S6" s="132"/>
      <c r="T6" s="280"/>
      <c r="U6" s="281"/>
      <c r="V6" s="281"/>
      <c r="W6" s="281"/>
      <c r="X6" s="281"/>
      <c r="Y6" s="281"/>
      <c r="Z6" t="e">
        <f>VLOOKUP(A6,#REF!,9,FALSE)</f>
        <v>#REF!</v>
      </c>
    </row>
    <row r="7" spans="1:26" ht="15.75" thickBot="1">
      <c r="A7" s="122" t="s">
        <v>919</v>
      </c>
      <c r="B7" s="103" t="s">
        <v>50</v>
      </c>
      <c r="C7" s="219">
        <v>45807</v>
      </c>
      <c r="D7" s="272"/>
      <c r="E7" s="273" t="s">
        <v>1782</v>
      </c>
      <c r="F7" s="272"/>
      <c r="G7" s="274" t="s">
        <v>1745</v>
      </c>
      <c r="H7" s="272"/>
      <c r="I7" s="272"/>
      <c r="J7" s="283"/>
      <c r="K7" s="209"/>
      <c r="L7" s="209"/>
      <c r="M7" s="209"/>
      <c r="N7" s="276"/>
      <c r="O7" s="277"/>
      <c r="P7" s="278" t="s">
        <v>1783</v>
      </c>
      <c r="Q7" s="279" t="s">
        <v>68</v>
      </c>
      <c r="R7" s="132" t="s">
        <v>1784</v>
      </c>
      <c r="S7" s="132"/>
      <c r="T7" s="280"/>
      <c r="U7" s="281"/>
      <c r="V7" s="281"/>
      <c r="W7" s="281"/>
      <c r="X7" s="281"/>
      <c r="Y7" s="281"/>
      <c r="Z7" t="e">
        <f>VLOOKUP(A7,#REF!,9,FALSE)</f>
        <v>#REF!</v>
      </c>
    </row>
    <row r="8" spans="1:26" ht="15.75" thickBot="1">
      <c r="A8" s="282" t="s">
        <v>1785</v>
      </c>
      <c r="B8" s="103" t="s">
        <v>50</v>
      </c>
      <c r="C8" s="219">
        <v>45807</v>
      </c>
      <c r="D8" s="272"/>
      <c r="E8" s="273" t="s">
        <v>1782</v>
      </c>
      <c r="F8" s="272"/>
      <c r="G8" s="274" t="s">
        <v>1745</v>
      </c>
      <c r="H8" s="272"/>
      <c r="I8" s="272"/>
      <c r="J8" s="283"/>
      <c r="K8" s="209"/>
      <c r="L8" s="209"/>
      <c r="M8" s="209"/>
      <c r="N8" s="276"/>
      <c r="O8" s="277"/>
      <c r="P8" s="278" t="s">
        <v>1756</v>
      </c>
      <c r="Q8" s="279" t="s">
        <v>1786</v>
      </c>
      <c r="R8" s="132" t="s">
        <v>1787</v>
      </c>
      <c r="S8" s="132"/>
      <c r="T8" s="280"/>
      <c r="U8" s="281"/>
      <c r="V8" s="281"/>
      <c r="W8" s="281"/>
      <c r="X8" s="281"/>
      <c r="Y8" s="281"/>
      <c r="Z8" t="e">
        <f>VLOOKUP(A8,#REF!,9,FALSE)</f>
        <v>#REF!</v>
      </c>
    </row>
    <row r="9" spans="1:26" ht="15.75" thickBot="1">
      <c r="A9" s="122" t="s">
        <v>928</v>
      </c>
      <c r="B9" s="103" t="s">
        <v>50</v>
      </c>
      <c r="C9" s="219">
        <v>45807</v>
      </c>
      <c r="D9" s="284"/>
      <c r="E9" s="273" t="s">
        <v>1782</v>
      </c>
      <c r="F9" s="284"/>
      <c r="G9" s="285" t="s">
        <v>1745</v>
      </c>
      <c r="H9" s="272"/>
      <c r="I9" s="272"/>
      <c r="J9" s="283"/>
      <c r="K9" s="209"/>
      <c r="L9" s="209"/>
      <c r="M9" s="209"/>
      <c r="N9" s="276"/>
      <c r="O9" s="277"/>
      <c r="P9" s="278" t="s">
        <v>1783</v>
      </c>
      <c r="Q9" s="279" t="s">
        <v>68</v>
      </c>
      <c r="R9" s="132" t="s">
        <v>1784</v>
      </c>
      <c r="S9" s="132"/>
      <c r="T9" s="280"/>
      <c r="U9" s="281"/>
      <c r="V9" s="281"/>
      <c r="W9" s="281"/>
      <c r="X9" s="281"/>
      <c r="Y9" s="281"/>
      <c r="Z9" t="e">
        <f>VLOOKUP(A9,#REF!,9,FALSE)</f>
        <v>#REF!</v>
      </c>
    </row>
    <row r="10" spans="1:26" ht="15.75" thickBot="1">
      <c r="A10" s="122" t="s">
        <v>904</v>
      </c>
      <c r="B10" s="103" t="s">
        <v>50</v>
      </c>
      <c r="C10" s="219" t="e">
        <v>#N/A</v>
      </c>
      <c r="D10" s="286"/>
      <c r="E10" s="273" t="s">
        <v>1782</v>
      </c>
      <c r="F10" s="286"/>
      <c r="G10" s="287" t="s">
        <v>1745</v>
      </c>
      <c r="H10" s="234"/>
      <c r="I10" s="234"/>
      <c r="J10" s="45"/>
      <c r="K10" s="208"/>
      <c r="L10" s="208"/>
      <c r="M10" s="208"/>
      <c r="N10" s="288"/>
      <c r="O10" s="289"/>
      <c r="P10" s="278" t="s">
        <v>1783</v>
      </c>
      <c r="Q10" s="279" t="s">
        <v>58</v>
      </c>
      <c r="R10" s="132" t="s">
        <v>1784</v>
      </c>
      <c r="S10" s="132"/>
      <c r="T10" s="280"/>
      <c r="U10" s="281"/>
      <c r="V10" s="281"/>
      <c r="W10" s="281"/>
      <c r="X10" s="281"/>
      <c r="Y10" s="281"/>
      <c r="Z10" t="e">
        <f>VLOOKUP(A10,#REF!,9,FALSE)</f>
        <v>#REF!</v>
      </c>
    </row>
    <row r="11" spans="1:26" ht="15.75" thickBot="1">
      <c r="A11" s="122" t="s">
        <v>84</v>
      </c>
      <c r="B11" s="103" t="s">
        <v>50</v>
      </c>
      <c r="C11" s="219">
        <v>45807</v>
      </c>
      <c r="D11" s="286"/>
      <c r="E11" s="273" t="s">
        <v>1782</v>
      </c>
      <c r="F11" s="286"/>
      <c r="G11" s="287" t="s">
        <v>1745</v>
      </c>
      <c r="H11" s="234"/>
      <c r="I11" s="234"/>
      <c r="J11" s="45"/>
      <c r="K11" s="208"/>
      <c r="L11" s="208"/>
      <c r="M11" s="208"/>
      <c r="N11" s="288"/>
      <c r="O11" s="289"/>
      <c r="P11" s="278" t="s">
        <v>1783</v>
      </c>
      <c r="Q11" s="279" t="s">
        <v>68</v>
      </c>
      <c r="R11" s="132" t="s">
        <v>1784</v>
      </c>
      <c r="S11" s="132"/>
      <c r="T11" s="280"/>
      <c r="U11" s="281"/>
      <c r="V11" s="281"/>
      <c r="W11" s="281"/>
      <c r="X11" s="281"/>
      <c r="Y11" s="281"/>
      <c r="Z11" t="e">
        <f>VLOOKUP(A11,#REF!,9,FALSE)</f>
        <v>#REF!</v>
      </c>
    </row>
    <row r="12" spans="1:26" ht="15.75" thickBot="1">
      <c r="A12" s="122" t="s">
        <v>900</v>
      </c>
      <c r="B12" s="103" t="s">
        <v>50</v>
      </c>
      <c r="C12" s="219" t="e">
        <v>#N/A</v>
      </c>
      <c r="D12" s="286"/>
      <c r="E12" s="273" t="s">
        <v>1782</v>
      </c>
      <c r="F12" s="286"/>
      <c r="G12" s="287" t="s">
        <v>1745</v>
      </c>
      <c r="H12" s="234"/>
      <c r="I12" s="234"/>
      <c r="J12" s="45"/>
      <c r="K12" s="208"/>
      <c r="L12" s="208"/>
      <c r="M12" s="208"/>
      <c r="N12" s="288"/>
      <c r="O12" s="289"/>
      <c r="P12" s="278" t="s">
        <v>1783</v>
      </c>
      <c r="Q12" s="279" t="s">
        <v>68</v>
      </c>
      <c r="R12" s="132" t="s">
        <v>1784</v>
      </c>
      <c r="S12" s="132"/>
      <c r="T12" s="280"/>
      <c r="U12" s="281"/>
      <c r="V12" s="281"/>
      <c r="W12" s="281"/>
      <c r="X12" s="281"/>
      <c r="Y12" s="281"/>
      <c r="Z12" t="e">
        <f>VLOOKUP(A12,#REF!,9,FALSE)</f>
        <v>#REF!</v>
      </c>
    </row>
    <row r="13" spans="1:26" ht="15.75" thickBot="1">
      <c r="A13" s="122" t="s">
        <v>926</v>
      </c>
      <c r="B13" s="103" t="s">
        <v>50</v>
      </c>
      <c r="C13" s="219" t="e">
        <v>#N/A</v>
      </c>
      <c r="D13" s="286"/>
      <c r="E13" s="273" t="s">
        <v>1782</v>
      </c>
      <c r="F13" s="286"/>
      <c r="G13" s="287" t="s">
        <v>1745</v>
      </c>
      <c r="H13" s="234"/>
      <c r="I13" s="234"/>
      <c r="J13" s="45"/>
      <c r="K13" s="208"/>
      <c r="L13" s="208"/>
      <c r="M13" s="208"/>
      <c r="N13" s="288"/>
      <c r="O13" s="289"/>
      <c r="P13" s="278" t="s">
        <v>1783</v>
      </c>
      <c r="Q13" s="279" t="s">
        <v>68</v>
      </c>
      <c r="R13" s="132" t="s">
        <v>1784</v>
      </c>
      <c r="S13" s="132"/>
      <c r="T13" s="280"/>
      <c r="U13" s="281"/>
      <c r="V13" s="281"/>
      <c r="W13" s="281"/>
      <c r="X13" s="281"/>
      <c r="Y13" s="281"/>
      <c r="Z13" t="e">
        <f>VLOOKUP(A13,#REF!,9,FALSE)</f>
        <v>#REF!</v>
      </c>
    </row>
    <row r="14" spans="1:26" ht="15.75" thickBot="1">
      <c r="A14" s="282" t="s">
        <v>391</v>
      </c>
      <c r="B14" s="103" t="s">
        <v>50</v>
      </c>
      <c r="C14" s="219">
        <v>45807</v>
      </c>
      <c r="D14" s="286"/>
      <c r="E14" s="273" t="s">
        <v>1782</v>
      </c>
      <c r="F14" s="286"/>
      <c r="G14" s="287" t="s">
        <v>1745</v>
      </c>
      <c r="H14" s="234"/>
      <c r="I14" s="234"/>
      <c r="J14" s="45"/>
      <c r="K14" s="208"/>
      <c r="L14" s="208"/>
      <c r="M14" s="208"/>
      <c r="N14" s="288"/>
      <c r="O14" s="289"/>
      <c r="P14" s="278" t="s">
        <v>1783</v>
      </c>
      <c r="Q14" s="279" t="s">
        <v>68</v>
      </c>
      <c r="R14" s="132" t="s">
        <v>1784</v>
      </c>
      <c r="S14" s="132"/>
      <c r="T14" s="280"/>
      <c r="U14" s="281"/>
      <c r="V14" s="281"/>
      <c r="W14" s="281"/>
      <c r="X14" s="281"/>
      <c r="Y14" s="281"/>
      <c r="Z14" t="e">
        <f>VLOOKUP(A14,#REF!,9,FALSE)</f>
        <v>#REF!</v>
      </c>
    </row>
    <row r="15" spans="1:26" ht="15.75" thickBot="1">
      <c r="A15" s="122" t="s">
        <v>903</v>
      </c>
      <c r="B15" s="103" t="s">
        <v>50</v>
      </c>
      <c r="C15" s="219" t="e">
        <v>#N/A</v>
      </c>
      <c r="D15" s="286"/>
      <c r="E15" s="273" t="s">
        <v>1782</v>
      </c>
      <c r="F15" s="286"/>
      <c r="G15" s="287" t="s">
        <v>1745</v>
      </c>
      <c r="H15" s="234"/>
      <c r="I15" s="234"/>
      <c r="J15" s="45"/>
      <c r="K15" s="208"/>
      <c r="L15" s="208"/>
      <c r="M15" s="208"/>
      <c r="N15" s="288"/>
      <c r="O15" s="289"/>
      <c r="P15" s="278" t="s">
        <v>1783</v>
      </c>
      <c r="Q15" s="279" t="s">
        <v>68</v>
      </c>
      <c r="R15" s="132" t="s">
        <v>1784</v>
      </c>
      <c r="S15" s="132"/>
      <c r="T15" s="280"/>
      <c r="U15" s="281"/>
      <c r="V15" s="281"/>
      <c r="W15" s="281"/>
      <c r="X15" s="281"/>
      <c r="Y15" s="281"/>
      <c r="Z15" t="e">
        <f>VLOOKUP(A15,#REF!,9,FALSE)</f>
        <v>#REF!</v>
      </c>
    </row>
    <row r="16" spans="1:26" ht="15.75" thickBot="1">
      <c r="A16" s="290" t="s">
        <v>1788</v>
      </c>
      <c r="B16" s="103" t="s">
        <v>50</v>
      </c>
      <c r="C16" s="219" t="e">
        <v>#N/A</v>
      </c>
      <c r="D16" s="286"/>
      <c r="E16" s="273" t="s">
        <v>1782</v>
      </c>
      <c r="F16" s="286"/>
      <c r="G16" s="287" t="s">
        <v>1745</v>
      </c>
      <c r="H16" s="234"/>
      <c r="I16" s="234"/>
      <c r="J16" s="45"/>
      <c r="K16" s="208"/>
      <c r="L16" s="208"/>
      <c r="M16" s="208"/>
      <c r="N16" s="288"/>
      <c r="O16" s="289"/>
      <c r="P16" s="278" t="s">
        <v>1783</v>
      </c>
      <c r="Q16" s="279" t="s">
        <v>68</v>
      </c>
      <c r="R16" s="132" t="s">
        <v>1784</v>
      </c>
      <c r="S16" s="132"/>
      <c r="T16" s="280"/>
      <c r="U16" s="281"/>
      <c r="V16" s="281"/>
      <c r="W16" s="281"/>
      <c r="X16" s="281"/>
      <c r="Y16" s="281"/>
      <c r="Z16" t="e">
        <f>VLOOKUP(A16,#REF!,9,FALSE)</f>
        <v>#REF!</v>
      </c>
    </row>
    <row r="17" spans="1:26" ht="15.75" thickBot="1">
      <c r="A17" s="279" t="s">
        <v>691</v>
      </c>
      <c r="B17" s="103" t="s">
        <v>50</v>
      </c>
      <c r="C17" s="219" t="e">
        <v>#N/A</v>
      </c>
      <c r="D17" s="286"/>
      <c r="E17" s="273" t="s">
        <v>1747</v>
      </c>
      <c r="F17" s="286"/>
      <c r="G17" s="287" t="s">
        <v>1745</v>
      </c>
      <c r="H17" s="234"/>
      <c r="I17" s="234"/>
      <c r="J17" s="45"/>
      <c r="K17" s="208"/>
      <c r="L17" s="208"/>
      <c r="M17" s="208"/>
      <c r="N17" s="288"/>
      <c r="O17" s="289"/>
      <c r="P17" s="278"/>
      <c r="Q17" s="279" t="s">
        <v>68</v>
      </c>
      <c r="R17" s="132" t="s">
        <v>1784</v>
      </c>
      <c r="S17" s="132"/>
      <c r="T17" s="280"/>
      <c r="U17" s="281"/>
      <c r="V17" s="281"/>
      <c r="W17" s="281"/>
      <c r="X17" s="281"/>
      <c r="Y17" s="281"/>
      <c r="Z17" t="e">
        <f>VLOOKUP(A17,#REF!,9,FALSE)</f>
        <v>#REF!</v>
      </c>
    </row>
    <row r="18" spans="1:26" ht="15.75" thickBot="1">
      <c r="A18" s="279" t="s">
        <v>673</v>
      </c>
      <c r="B18" s="103" t="s">
        <v>50</v>
      </c>
      <c r="C18" s="219">
        <v>45807</v>
      </c>
      <c r="D18" s="286"/>
      <c r="E18" s="273" t="s">
        <v>1747</v>
      </c>
      <c r="F18" s="286"/>
      <c r="G18" s="287" t="s">
        <v>1745</v>
      </c>
      <c r="H18" s="234"/>
      <c r="I18" s="234"/>
      <c r="J18" s="45"/>
      <c r="K18" s="208"/>
      <c r="L18" s="208"/>
      <c r="M18" s="208"/>
      <c r="N18" s="288"/>
      <c r="O18" s="289"/>
      <c r="P18" s="278" t="s">
        <v>1753</v>
      </c>
      <c r="Q18" s="279"/>
      <c r="R18" s="132" t="s">
        <v>1784</v>
      </c>
      <c r="S18" s="132"/>
      <c r="T18" s="280"/>
      <c r="U18" s="281"/>
      <c r="V18" s="281"/>
      <c r="W18" s="281"/>
      <c r="X18" s="281"/>
      <c r="Y18" s="281"/>
      <c r="Z18" t="e">
        <f>VLOOKUP(A18,#REF!,9,FALSE)</f>
        <v>#REF!</v>
      </c>
    </row>
    <row r="19" spans="1:26" ht="15.75" thickBot="1">
      <c r="A19" s="279" t="s">
        <v>676</v>
      </c>
      <c r="B19" s="103" t="s">
        <v>50</v>
      </c>
      <c r="C19" s="219" t="e">
        <v>#N/A</v>
      </c>
      <c r="D19" s="286"/>
      <c r="E19" s="273" t="s">
        <v>1747</v>
      </c>
      <c r="F19" s="286"/>
      <c r="G19" s="287" t="s">
        <v>1766</v>
      </c>
      <c r="H19" s="234"/>
      <c r="I19" s="234"/>
      <c r="J19" s="45"/>
      <c r="K19" s="208"/>
      <c r="L19" s="208"/>
      <c r="M19" s="208"/>
      <c r="N19" s="288"/>
      <c r="O19" s="289"/>
      <c r="P19" s="278"/>
      <c r="Q19" s="279" t="s">
        <v>1766</v>
      </c>
      <c r="R19" s="132" t="s">
        <v>1784</v>
      </c>
      <c r="S19" s="132"/>
      <c r="T19" s="280"/>
      <c r="U19" s="281"/>
      <c r="V19" s="281"/>
      <c r="W19" s="281"/>
      <c r="X19" s="281"/>
      <c r="Y19" s="281"/>
      <c r="Z19" t="e">
        <f>VLOOKUP(A19,#REF!,9,FALSE)</f>
        <v>#REF!</v>
      </c>
    </row>
    <row r="20" spans="1:26" ht="15.75" thickBot="1">
      <c r="A20" s="279" t="s">
        <v>623</v>
      </c>
      <c r="B20" s="103" t="s">
        <v>50</v>
      </c>
      <c r="C20" s="219" t="e">
        <v>#N/A</v>
      </c>
      <c r="D20" s="286"/>
      <c r="E20" s="273" t="s">
        <v>1747</v>
      </c>
      <c r="F20" s="286"/>
      <c r="G20" s="287" t="s">
        <v>1766</v>
      </c>
      <c r="H20" s="234"/>
      <c r="I20" s="234"/>
      <c r="J20" s="45"/>
      <c r="K20" s="208"/>
      <c r="L20" s="208"/>
      <c r="M20" s="208"/>
      <c r="N20" s="288"/>
      <c r="O20" s="289"/>
      <c r="P20" s="278"/>
      <c r="Q20" s="279" t="s">
        <v>1766</v>
      </c>
      <c r="R20" s="132" t="s">
        <v>1784</v>
      </c>
      <c r="S20" s="132"/>
      <c r="T20" s="280"/>
      <c r="U20" s="281"/>
      <c r="V20" s="281"/>
      <c r="W20" s="281"/>
      <c r="X20" s="281"/>
      <c r="Y20" s="281"/>
      <c r="Z20" t="e">
        <f>VLOOKUP(A20,#REF!,9,FALSE)</f>
        <v>#REF!</v>
      </c>
    </row>
    <row r="21" spans="1:26" s="218" customFormat="1" ht="15.75" thickBot="1">
      <c r="A21" s="266" t="s">
        <v>1762</v>
      </c>
      <c r="B21" s="103" t="e">
        <v>#N/A</v>
      </c>
      <c r="C21" s="235">
        <v>45807</v>
      </c>
      <c r="D21" s="286"/>
      <c r="E21" s="273" t="s">
        <v>1747</v>
      </c>
      <c r="F21" s="286"/>
      <c r="G21" s="287" t="s">
        <v>1745</v>
      </c>
      <c r="H21" s="234"/>
      <c r="I21" s="234"/>
      <c r="J21" s="234"/>
      <c r="K21" s="233"/>
      <c r="L21" s="233"/>
      <c r="M21" s="233"/>
      <c r="N21" s="288"/>
      <c r="O21" s="289"/>
      <c r="P21" s="278"/>
      <c r="Q21" s="229" t="s">
        <v>64</v>
      </c>
      <c r="R21" s="132" t="s">
        <v>1784</v>
      </c>
      <c r="S21" s="232"/>
      <c r="T21" s="231"/>
      <c r="U21" s="230"/>
      <c r="V21" s="230"/>
      <c r="W21" s="230"/>
      <c r="X21" s="230"/>
      <c r="Y21" s="230" t="s">
        <v>1789</v>
      </c>
      <c r="Z21" t="e">
        <f>VLOOKUP(A21,#REF!,9,FALSE)</f>
        <v>#REF!</v>
      </c>
    </row>
    <row r="22" spans="1:26" ht="15.75" thickBot="1">
      <c r="A22" s="279" t="s">
        <v>625</v>
      </c>
      <c r="B22" s="103" t="s">
        <v>50</v>
      </c>
      <c r="C22" s="219" t="e">
        <v>#N/A</v>
      </c>
      <c r="D22" s="286"/>
      <c r="E22" s="273" t="s">
        <v>1747</v>
      </c>
      <c r="F22" s="286"/>
      <c r="G22" s="287" t="s">
        <v>1766</v>
      </c>
      <c r="H22" s="234"/>
      <c r="I22" s="234"/>
      <c r="J22" s="45"/>
      <c r="K22" s="208"/>
      <c r="L22" s="208"/>
      <c r="M22" s="208"/>
      <c r="N22" s="288"/>
      <c r="O22" s="289"/>
      <c r="P22" s="278"/>
      <c r="Q22" s="279" t="s">
        <v>1766</v>
      </c>
      <c r="R22" s="132" t="s">
        <v>1784</v>
      </c>
      <c r="S22" s="132"/>
      <c r="T22" s="280"/>
      <c r="U22" s="281"/>
      <c r="V22" s="281"/>
      <c r="W22" s="281"/>
      <c r="X22" s="281"/>
      <c r="Y22" s="281"/>
      <c r="Z22" t="e">
        <f>VLOOKUP(A22,#REF!,9,FALSE)</f>
        <v>#REF!</v>
      </c>
    </row>
    <row r="23" spans="1:26" ht="15.75" thickBot="1">
      <c r="A23" s="279" t="s">
        <v>611</v>
      </c>
      <c r="B23" s="103" t="s">
        <v>50</v>
      </c>
      <c r="C23" s="219" t="e">
        <v>#N/A</v>
      </c>
      <c r="D23" s="286"/>
      <c r="E23" s="273" t="s">
        <v>1747</v>
      </c>
      <c r="F23" s="286"/>
      <c r="G23" s="287" t="s">
        <v>1745</v>
      </c>
      <c r="H23" s="234"/>
      <c r="I23" s="234"/>
      <c r="J23" s="45"/>
      <c r="K23" s="208"/>
      <c r="L23" s="208"/>
      <c r="M23" s="208"/>
      <c r="N23" s="288"/>
      <c r="O23" s="289"/>
      <c r="P23" s="278"/>
      <c r="Q23" s="279" t="s">
        <v>64</v>
      </c>
      <c r="R23" s="132" t="s">
        <v>1784</v>
      </c>
      <c r="S23" s="132"/>
      <c r="T23" s="280"/>
      <c r="U23" s="281"/>
      <c r="V23" s="281"/>
      <c r="W23" s="281"/>
      <c r="X23" s="281"/>
      <c r="Y23" s="281" t="s">
        <v>1790</v>
      </c>
      <c r="Z23" t="e">
        <f>VLOOKUP(A23,#REF!,9,FALSE)</f>
        <v>#REF!</v>
      </c>
    </row>
    <row r="24" spans="1:26" s="218" customFormat="1" ht="69.599999999999994" customHeight="1" thickBot="1">
      <c r="A24" s="229" t="s">
        <v>1758</v>
      </c>
      <c r="B24" s="236" t="e">
        <v>#N/A</v>
      </c>
      <c r="C24" s="235">
        <v>45716</v>
      </c>
      <c r="D24" s="286"/>
      <c r="E24" s="273" t="s">
        <v>1747</v>
      </c>
      <c r="F24" s="286"/>
      <c r="G24" s="287" t="s">
        <v>1745</v>
      </c>
      <c r="H24" s="234"/>
      <c r="I24" s="234"/>
      <c r="J24" s="234"/>
      <c r="K24" s="233"/>
      <c r="L24" s="233"/>
      <c r="M24" s="233"/>
      <c r="N24" s="288"/>
      <c r="O24" s="289"/>
      <c r="P24" s="278" t="s">
        <v>1759</v>
      </c>
      <c r="Q24" s="229" t="s">
        <v>64</v>
      </c>
      <c r="R24" s="132" t="s">
        <v>1784</v>
      </c>
      <c r="S24" s="232"/>
      <c r="T24" s="231"/>
      <c r="U24" s="230"/>
      <c r="V24" s="230"/>
      <c r="W24" s="230"/>
      <c r="X24" s="230"/>
      <c r="Y24" s="230" t="s">
        <v>1790</v>
      </c>
      <c r="Z24" t="e">
        <f>VLOOKUP(A24,#REF!,9,FALSE)</f>
        <v>#REF!</v>
      </c>
    </row>
    <row r="25" spans="1:26" ht="15.75" thickBot="1">
      <c r="A25" s="279" t="s">
        <v>615</v>
      </c>
      <c r="B25" s="103" t="s">
        <v>50</v>
      </c>
      <c r="C25" s="219">
        <v>45772</v>
      </c>
      <c r="D25" s="286"/>
      <c r="E25" s="273" t="s">
        <v>1747</v>
      </c>
      <c r="F25" s="286"/>
      <c r="G25" s="287" t="s">
        <v>1745</v>
      </c>
      <c r="H25" s="234"/>
      <c r="I25" s="234"/>
      <c r="J25" s="45"/>
      <c r="K25" s="208"/>
      <c r="L25" s="208"/>
      <c r="M25" s="208"/>
      <c r="N25" s="288"/>
      <c r="O25" s="289"/>
      <c r="P25" s="278" t="s">
        <v>1759</v>
      </c>
      <c r="Q25" s="279" t="s">
        <v>64</v>
      </c>
      <c r="R25" s="132" t="s">
        <v>1784</v>
      </c>
      <c r="S25" s="132"/>
      <c r="T25" s="280"/>
      <c r="U25" s="281"/>
      <c r="V25" s="281"/>
      <c r="W25" s="281"/>
      <c r="X25" s="281"/>
      <c r="Y25" s="281"/>
      <c r="Z25" t="e">
        <f>VLOOKUP(A25,#REF!,9,FALSE)</f>
        <v>#REF!</v>
      </c>
    </row>
    <row r="26" spans="1:26" ht="15.75" thickBot="1">
      <c r="A26" s="279" t="s">
        <v>493</v>
      </c>
      <c r="B26" s="103" t="s">
        <v>50</v>
      </c>
      <c r="C26" s="219">
        <v>45772</v>
      </c>
      <c r="D26" s="286"/>
      <c r="E26" s="273" t="s">
        <v>1747</v>
      </c>
      <c r="F26" s="286"/>
      <c r="G26" s="287" t="s">
        <v>1745</v>
      </c>
      <c r="H26" s="234"/>
      <c r="I26" s="234"/>
      <c r="J26" s="45"/>
      <c r="K26" s="208"/>
      <c r="L26" s="208"/>
      <c r="M26" s="208"/>
      <c r="N26" s="288"/>
      <c r="O26" s="289"/>
      <c r="P26" s="278" t="s">
        <v>1759</v>
      </c>
      <c r="Q26" s="279" t="s">
        <v>64</v>
      </c>
      <c r="R26" s="132" t="s">
        <v>1784</v>
      </c>
      <c r="S26" s="132"/>
      <c r="T26" s="280"/>
      <c r="U26" s="281"/>
      <c r="V26" s="281"/>
      <c r="W26" s="281"/>
      <c r="X26" s="281"/>
      <c r="Y26" s="281"/>
      <c r="Z26" t="e">
        <f>VLOOKUP(A26,#REF!,9,FALSE)</f>
        <v>#REF!</v>
      </c>
    </row>
    <row r="27" spans="1:26" ht="15.75" thickBot="1">
      <c r="A27" s="279" t="s">
        <v>829</v>
      </c>
      <c r="B27" s="103" t="s">
        <v>50</v>
      </c>
      <c r="C27" s="219">
        <v>45772</v>
      </c>
      <c r="D27" s="286"/>
      <c r="E27" s="273" t="s">
        <v>1747</v>
      </c>
      <c r="F27" s="286"/>
      <c r="G27" s="287" t="s">
        <v>1745</v>
      </c>
      <c r="H27" s="234"/>
      <c r="I27" s="234"/>
      <c r="J27" s="45"/>
      <c r="K27" s="208"/>
      <c r="L27" s="208"/>
      <c r="M27" s="208"/>
      <c r="N27" s="288"/>
      <c r="O27" s="289"/>
      <c r="P27" s="278" t="s">
        <v>1759</v>
      </c>
      <c r="Q27" s="279" t="s">
        <v>64</v>
      </c>
      <c r="R27" s="132" t="s">
        <v>1784</v>
      </c>
      <c r="S27" s="132"/>
      <c r="T27" s="280"/>
      <c r="U27" s="281"/>
      <c r="V27" s="281"/>
      <c r="W27" s="281"/>
      <c r="X27" s="281"/>
      <c r="Y27" s="281"/>
      <c r="Z27" t="e">
        <f>VLOOKUP(A27,#REF!,9,FALSE)</f>
        <v>#REF!</v>
      </c>
    </row>
    <row r="28" spans="1:26" ht="70.150000000000006" customHeight="1" thickBot="1">
      <c r="A28" s="229" t="s">
        <v>1761</v>
      </c>
      <c r="B28" s="236"/>
      <c r="C28" s="235"/>
      <c r="D28" s="286"/>
      <c r="E28" s="273" t="s">
        <v>1747</v>
      </c>
      <c r="F28" s="286"/>
      <c r="G28" s="287" t="s">
        <v>1745</v>
      </c>
      <c r="H28" s="234"/>
      <c r="I28" s="234"/>
      <c r="J28" s="234"/>
      <c r="K28" s="233"/>
      <c r="L28" s="233"/>
      <c r="M28" s="233"/>
      <c r="N28" s="288"/>
      <c r="O28" s="289"/>
      <c r="P28" s="278" t="s">
        <v>1759</v>
      </c>
      <c r="Q28" s="229" t="s">
        <v>64</v>
      </c>
      <c r="R28" s="132" t="s">
        <v>1784</v>
      </c>
      <c r="S28" s="232"/>
      <c r="T28" s="231"/>
      <c r="U28" s="230"/>
      <c r="V28" s="230"/>
      <c r="W28" s="230"/>
      <c r="X28" s="230"/>
      <c r="Y28" s="292" t="s">
        <v>1791</v>
      </c>
      <c r="Z28" t="e">
        <f>VLOOKUP(A28,#REF!,9,FALSE)</f>
        <v>#REF!</v>
      </c>
    </row>
    <row r="29" spans="1:26" s="218" customFormat="1" ht="69.599999999999994" customHeight="1" thickBot="1">
      <c r="A29" s="229" t="s">
        <v>1764</v>
      </c>
      <c r="B29" s="236" t="e">
        <v>#N/A</v>
      </c>
      <c r="C29" s="235" t="e">
        <v>#N/A</v>
      </c>
      <c r="D29" s="286"/>
      <c r="E29" s="273" t="s">
        <v>1747</v>
      </c>
      <c r="F29" s="286"/>
      <c r="G29" s="287" t="s">
        <v>1745</v>
      </c>
      <c r="H29" s="234"/>
      <c r="I29" s="234"/>
      <c r="J29" s="234"/>
      <c r="K29" s="233"/>
      <c r="L29" s="233"/>
      <c r="M29" s="233"/>
      <c r="N29" s="288"/>
      <c r="O29" s="289"/>
      <c r="P29" s="278"/>
      <c r="Q29" s="224" t="s">
        <v>64</v>
      </c>
      <c r="R29" s="132" t="s">
        <v>1784</v>
      </c>
      <c r="S29" s="232"/>
      <c r="T29" s="231"/>
      <c r="U29" s="230"/>
      <c r="V29" s="230"/>
      <c r="W29" s="230"/>
      <c r="X29" s="230"/>
      <c r="Y29" s="230" t="s">
        <v>1791</v>
      </c>
      <c r="Z29" t="e">
        <f>VLOOKUP(A29,#REF!,9,FALSE)</f>
        <v>#REF!</v>
      </c>
    </row>
    <row r="30" spans="1:26" ht="15.75" thickBot="1">
      <c r="A30" s="279" t="s">
        <v>643</v>
      </c>
      <c r="B30" s="103" t="s">
        <v>50</v>
      </c>
      <c r="C30" s="219">
        <v>45772</v>
      </c>
      <c r="D30" s="286"/>
      <c r="E30" s="273" t="s">
        <v>1747</v>
      </c>
      <c r="F30" s="286"/>
      <c r="G30" s="287" t="s">
        <v>1766</v>
      </c>
      <c r="H30" s="234"/>
      <c r="I30" s="234"/>
      <c r="J30" s="45"/>
      <c r="K30" s="208"/>
      <c r="L30" s="208"/>
      <c r="M30" s="208"/>
      <c r="N30" s="288"/>
      <c r="O30" s="289"/>
      <c r="P30" s="278"/>
      <c r="Q30" s="279" t="s">
        <v>1766</v>
      </c>
      <c r="R30" s="132" t="s">
        <v>1784</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1747</v>
      </c>
      <c r="F31" s="293"/>
      <c r="G31" s="294" t="s">
        <v>1766</v>
      </c>
      <c r="H31" s="226"/>
      <c r="I31" s="226"/>
      <c r="J31" s="240"/>
      <c r="K31" s="241"/>
      <c r="L31" s="241"/>
      <c r="M31" s="241"/>
      <c r="N31" s="226"/>
      <c r="O31" s="295"/>
      <c r="P31" s="278"/>
      <c r="Q31" s="237" t="s">
        <v>1766</v>
      </c>
      <c r="R31" s="132" t="s">
        <v>1784</v>
      </c>
      <c r="S31" s="242"/>
      <c r="T31" s="243"/>
      <c r="U31" s="244"/>
      <c r="V31" s="244"/>
      <c r="W31" s="244"/>
      <c r="X31" s="244"/>
      <c r="Y31" s="244" t="s">
        <v>1792</v>
      </c>
      <c r="Z31" t="e">
        <f>VLOOKUP(A31,#REF!,9,FALSE)</f>
        <v>#REF!</v>
      </c>
    </row>
    <row r="32" spans="1:26" ht="15.75" thickBot="1">
      <c r="A32" s="279" t="s">
        <v>645</v>
      </c>
      <c r="B32" s="103" t="s">
        <v>50</v>
      </c>
      <c r="C32" s="219">
        <v>45772</v>
      </c>
      <c r="D32" s="286"/>
      <c r="E32" s="273" t="s">
        <v>1747</v>
      </c>
      <c r="F32" s="286"/>
      <c r="G32" s="287" t="s">
        <v>1766</v>
      </c>
      <c r="H32" s="234"/>
      <c r="I32" s="234"/>
      <c r="J32" s="45"/>
      <c r="K32" s="208"/>
      <c r="L32" s="208"/>
      <c r="M32" s="208"/>
      <c r="N32" s="288"/>
      <c r="O32" s="289"/>
      <c r="P32" s="278"/>
      <c r="Q32" s="279" t="s">
        <v>1766</v>
      </c>
      <c r="R32" s="132" t="s">
        <v>1784</v>
      </c>
      <c r="S32" s="132"/>
      <c r="T32" s="280"/>
      <c r="U32" s="281"/>
      <c r="V32" s="281"/>
      <c r="W32" s="281"/>
      <c r="X32" s="281"/>
      <c r="Y32" s="281"/>
      <c r="Z32" t="e">
        <f>VLOOKUP(A32,#REF!,9,FALSE)</f>
        <v>#REF!</v>
      </c>
    </row>
    <row r="33" spans="1:26" ht="15.75" thickBot="1">
      <c r="A33" s="279" t="s">
        <v>635</v>
      </c>
      <c r="B33" s="103" t="s">
        <v>50</v>
      </c>
      <c r="C33" s="219">
        <v>45831</v>
      </c>
      <c r="D33" s="286"/>
      <c r="E33" s="273" t="s">
        <v>1747</v>
      </c>
      <c r="F33" s="286"/>
      <c r="G33" s="287" t="s">
        <v>1745</v>
      </c>
      <c r="H33" s="234"/>
      <c r="I33" s="234"/>
      <c r="J33" s="45"/>
      <c r="K33" s="208"/>
      <c r="L33" s="208"/>
      <c r="M33" s="208"/>
      <c r="N33" s="288"/>
      <c r="O33" s="289"/>
      <c r="P33" s="278"/>
      <c r="Q33" s="229" t="s">
        <v>64</v>
      </c>
      <c r="R33" s="132" t="s">
        <v>1784</v>
      </c>
      <c r="S33" s="132"/>
      <c r="T33" s="280"/>
      <c r="U33" s="281"/>
      <c r="V33" s="281"/>
      <c r="W33" s="281"/>
      <c r="X33" s="281"/>
      <c r="Y33" s="281"/>
      <c r="Z33" t="e">
        <f>VLOOKUP(A33,#REF!,9,FALSE)</f>
        <v>#REF!</v>
      </c>
    </row>
    <row r="34" spans="1:26" ht="15.75" thickBot="1">
      <c r="A34" s="279" t="s">
        <v>629</v>
      </c>
      <c r="B34" s="103" t="s">
        <v>50</v>
      </c>
      <c r="C34" s="219">
        <v>45831</v>
      </c>
      <c r="D34" s="286"/>
      <c r="E34" s="273" t="s">
        <v>1747</v>
      </c>
      <c r="F34" s="286"/>
      <c r="G34" s="287" t="s">
        <v>1745</v>
      </c>
      <c r="H34" s="234"/>
      <c r="I34" s="234"/>
      <c r="J34" s="45"/>
      <c r="K34" s="208"/>
      <c r="L34" s="208"/>
      <c r="M34" s="208"/>
      <c r="N34" s="288"/>
      <c r="O34" s="289"/>
      <c r="P34" s="278"/>
      <c r="Q34" s="279" t="s">
        <v>64</v>
      </c>
      <c r="R34" s="132" t="s">
        <v>1784</v>
      </c>
      <c r="S34" s="132"/>
      <c r="T34" s="280"/>
      <c r="U34" s="281"/>
      <c r="V34" s="281"/>
      <c r="W34" s="281"/>
      <c r="X34" s="281"/>
      <c r="Y34" s="281"/>
      <c r="Z34" t="e">
        <f>VLOOKUP(A34,#REF!,9,FALSE)</f>
        <v>#REF!</v>
      </c>
    </row>
    <row r="35" spans="1:26" ht="15.75" thickBot="1">
      <c r="A35" s="279" t="s">
        <v>631</v>
      </c>
      <c r="B35" s="103" t="s">
        <v>50</v>
      </c>
      <c r="C35" s="219">
        <v>45831</v>
      </c>
      <c r="D35" s="286"/>
      <c r="E35" s="273" t="s">
        <v>1747</v>
      </c>
      <c r="F35" s="286"/>
      <c r="G35" s="287" t="s">
        <v>1745</v>
      </c>
      <c r="H35" s="234"/>
      <c r="I35" s="234"/>
      <c r="J35" s="45"/>
      <c r="K35" s="208"/>
      <c r="L35" s="208"/>
      <c r="M35" s="208"/>
      <c r="N35" s="288"/>
      <c r="O35" s="289"/>
      <c r="P35" s="278"/>
      <c r="Q35" s="279" t="s">
        <v>64</v>
      </c>
      <c r="R35" s="132" t="s">
        <v>1784</v>
      </c>
      <c r="S35" s="132"/>
      <c r="T35" s="280"/>
      <c r="U35" s="281"/>
      <c r="V35" s="281"/>
      <c r="W35" s="281"/>
      <c r="X35" s="281"/>
      <c r="Y35" s="281"/>
      <c r="Z35" t="e">
        <f>VLOOKUP(A35,#REF!,9,FALSE)</f>
        <v>#REF!</v>
      </c>
    </row>
    <row r="36" spans="1:26" ht="15.75" thickBot="1">
      <c r="A36" s="279" t="s">
        <v>627</v>
      </c>
      <c r="B36" s="103" t="s">
        <v>50</v>
      </c>
      <c r="C36" s="219">
        <v>45772</v>
      </c>
      <c r="D36" s="286"/>
      <c r="E36" s="273" t="s">
        <v>1747</v>
      </c>
      <c r="F36" s="286"/>
      <c r="G36" s="287" t="s">
        <v>1766</v>
      </c>
      <c r="H36" s="234"/>
      <c r="I36" s="234"/>
      <c r="J36" s="45"/>
      <c r="K36" s="208"/>
      <c r="L36" s="208"/>
      <c r="M36" s="208"/>
      <c r="N36" s="288"/>
      <c r="O36" s="289"/>
      <c r="P36" s="278"/>
      <c r="Q36" s="279" t="s">
        <v>1766</v>
      </c>
      <c r="R36" s="132" t="s">
        <v>1784</v>
      </c>
      <c r="S36" s="132"/>
      <c r="T36" s="280"/>
      <c r="U36" s="281"/>
      <c r="V36" s="281"/>
      <c r="W36" s="281"/>
      <c r="X36" s="281"/>
      <c r="Y36" s="281"/>
      <c r="Z36" t="e">
        <f>VLOOKUP(A36,#REF!,9,FALSE)</f>
        <v>#REF!</v>
      </c>
    </row>
    <row r="37" spans="1:26" ht="15.75" thickBot="1">
      <c r="A37" s="279" t="s">
        <v>637</v>
      </c>
      <c r="B37" s="103" t="s">
        <v>50</v>
      </c>
      <c r="C37" s="219">
        <v>45831</v>
      </c>
      <c r="D37" s="286"/>
      <c r="E37" s="273" t="s">
        <v>1747</v>
      </c>
      <c r="F37" s="286"/>
      <c r="G37" s="287" t="s">
        <v>1745</v>
      </c>
      <c r="H37" s="234"/>
      <c r="I37" s="234"/>
      <c r="J37" s="45"/>
      <c r="K37" s="208"/>
      <c r="L37" s="208"/>
      <c r="M37" s="208"/>
      <c r="N37" s="288"/>
      <c r="O37" s="289"/>
      <c r="P37" s="278"/>
      <c r="Q37" s="279" t="s">
        <v>64</v>
      </c>
      <c r="R37" s="132" t="s">
        <v>1784</v>
      </c>
      <c r="S37" s="132"/>
      <c r="T37" s="280"/>
      <c r="U37" s="281"/>
      <c r="V37" s="281"/>
      <c r="W37" s="281"/>
      <c r="X37" s="281"/>
      <c r="Y37" s="281"/>
      <c r="Z37" t="e">
        <f>VLOOKUP(A37,#REF!,9,FALSE)</f>
        <v>#REF!</v>
      </c>
    </row>
    <row r="38" spans="1:26" ht="15.75" thickBot="1">
      <c r="A38" s="279" t="s">
        <v>641</v>
      </c>
      <c r="B38" s="103" t="s">
        <v>50</v>
      </c>
      <c r="C38" s="219">
        <v>45831</v>
      </c>
      <c r="D38" s="286"/>
      <c r="E38" s="273" t="s">
        <v>1747</v>
      </c>
      <c r="F38" s="286"/>
      <c r="G38" s="287" t="s">
        <v>1745</v>
      </c>
      <c r="H38" s="234"/>
      <c r="I38" s="234"/>
      <c r="J38" s="45"/>
      <c r="K38" s="208"/>
      <c r="L38" s="208"/>
      <c r="M38" s="208"/>
      <c r="N38" s="288"/>
      <c r="O38" s="289"/>
      <c r="P38" s="278"/>
      <c r="Q38" s="279" t="s">
        <v>64</v>
      </c>
      <c r="R38" s="132" t="s">
        <v>1784</v>
      </c>
      <c r="S38" s="132"/>
      <c r="T38" s="280"/>
      <c r="U38" s="281"/>
      <c r="V38" s="281"/>
      <c r="W38" s="281"/>
      <c r="X38" s="281"/>
      <c r="Y38" s="281"/>
      <c r="Z38" t="e">
        <f>VLOOKUP(A38,#REF!,9,FALSE)</f>
        <v>#REF!</v>
      </c>
    </row>
    <row r="39" spans="1:26" s="220" customFormat="1" ht="70.150000000000006" customHeight="1" thickBot="1">
      <c r="A39" s="224" t="s">
        <v>1767</v>
      </c>
      <c r="B39" s="228" t="e">
        <v>#N/A</v>
      </c>
      <c r="C39" s="227" t="e">
        <v>#N/A</v>
      </c>
      <c r="D39" s="293"/>
      <c r="E39" s="273" t="s">
        <v>1747</v>
      </c>
      <c r="F39" s="293"/>
      <c r="G39" s="294" t="s">
        <v>1766</v>
      </c>
      <c r="H39" s="226"/>
      <c r="I39" s="226"/>
      <c r="J39" s="226"/>
      <c r="K39" s="225"/>
      <c r="L39" s="225"/>
      <c r="M39" s="225"/>
      <c r="N39" s="226"/>
      <c r="O39" s="295"/>
      <c r="P39" s="278"/>
      <c r="Q39" s="224" t="s">
        <v>1766</v>
      </c>
      <c r="R39" s="132" t="s">
        <v>1784</v>
      </c>
      <c r="S39" s="223"/>
      <c r="T39" s="222"/>
      <c r="U39" s="221"/>
      <c r="V39" s="221"/>
      <c r="W39" s="221"/>
      <c r="X39" s="221"/>
      <c r="Y39" s="221" t="s">
        <v>1791</v>
      </c>
      <c r="Z39" t="e">
        <f>VLOOKUP(A39,#REF!,9,FALSE)</f>
        <v>#REF!</v>
      </c>
    </row>
    <row r="40" spans="1:26" ht="15.75" thickBot="1">
      <c r="A40" s="279" t="s">
        <v>702</v>
      </c>
      <c r="B40" s="103" t="s">
        <v>50</v>
      </c>
      <c r="C40" s="219">
        <v>45831</v>
      </c>
      <c r="D40" s="286"/>
      <c r="E40" s="273" t="s">
        <v>1747</v>
      </c>
      <c r="F40" s="286"/>
      <c r="G40" s="287" t="s">
        <v>1745</v>
      </c>
      <c r="H40" s="234"/>
      <c r="I40" s="234"/>
      <c r="J40" s="45"/>
      <c r="K40" s="208"/>
      <c r="L40" s="208"/>
      <c r="M40" s="208"/>
      <c r="N40" s="288"/>
      <c r="O40" s="289"/>
      <c r="P40" s="278"/>
      <c r="Q40" s="279" t="s">
        <v>64</v>
      </c>
      <c r="R40" s="132" t="s">
        <v>1784</v>
      </c>
      <c r="S40" s="132"/>
      <c r="T40" s="280"/>
      <c r="U40" s="281"/>
      <c r="V40" s="281"/>
      <c r="W40" s="281"/>
      <c r="X40" s="281"/>
      <c r="Y40" s="281"/>
      <c r="Z40" t="e">
        <f>VLOOKUP(A40,#REF!,9,FALSE)</f>
        <v>#REF!</v>
      </c>
    </row>
    <row r="41" spans="1:26" ht="15.75" thickBot="1">
      <c r="A41" s="279" t="s">
        <v>92</v>
      </c>
      <c r="B41" s="103" t="s">
        <v>50</v>
      </c>
      <c r="C41" s="219">
        <v>45807</v>
      </c>
      <c r="D41" s="286"/>
      <c r="E41" s="273" t="s">
        <v>1782</v>
      </c>
      <c r="F41" s="286"/>
      <c r="G41" s="287" t="s">
        <v>1745</v>
      </c>
      <c r="H41" s="234"/>
      <c r="I41" s="234"/>
      <c r="J41" s="45"/>
      <c r="K41" s="208"/>
      <c r="L41" s="208"/>
      <c r="M41" s="208"/>
      <c r="N41" s="288"/>
      <c r="O41" s="289"/>
      <c r="P41" s="278" t="s">
        <v>1783</v>
      </c>
      <c r="Q41" s="279" t="s">
        <v>58</v>
      </c>
      <c r="R41" s="132" t="s">
        <v>1784</v>
      </c>
      <c r="S41" s="132"/>
      <c r="T41" s="280"/>
      <c r="U41" s="281"/>
      <c r="V41" s="281"/>
      <c r="W41" s="281"/>
      <c r="X41" s="281"/>
      <c r="Y41" s="281"/>
      <c r="Z41" t="e">
        <f>VLOOKUP(A41,#REF!,9,FALSE)</f>
        <v>#REF!</v>
      </c>
    </row>
    <row r="42" spans="1:26" ht="15.75" thickBot="1">
      <c r="A42" s="279" t="s">
        <v>90</v>
      </c>
      <c r="B42" s="103" t="s">
        <v>50</v>
      </c>
      <c r="C42" s="219">
        <v>45807</v>
      </c>
      <c r="D42" s="286"/>
      <c r="E42" s="273" t="s">
        <v>1782</v>
      </c>
      <c r="F42" s="286"/>
      <c r="G42" s="287" t="s">
        <v>1745</v>
      </c>
      <c r="H42" s="234"/>
      <c r="I42" s="234"/>
      <c r="J42" s="45"/>
      <c r="K42" s="208"/>
      <c r="L42" s="208"/>
      <c r="M42" s="208"/>
      <c r="N42" s="288"/>
      <c r="O42" s="289"/>
      <c r="P42" s="278" t="s">
        <v>1783</v>
      </c>
      <c r="Q42" s="279" t="s">
        <v>64</v>
      </c>
      <c r="R42" s="132" t="s">
        <v>1784</v>
      </c>
      <c r="S42" s="132"/>
      <c r="T42" s="280"/>
      <c r="U42" s="281"/>
      <c r="V42" s="281"/>
      <c r="W42" s="281"/>
      <c r="X42" s="281"/>
      <c r="Y42" s="281"/>
      <c r="Z42" t="e">
        <f>VLOOKUP(A42,#REF!,9,FALSE)</f>
        <v>#REF!</v>
      </c>
    </row>
    <row r="43" spans="1:26" ht="15.75" thickBot="1">
      <c r="A43" s="279" t="s">
        <v>395</v>
      </c>
      <c r="B43" s="103" t="s">
        <v>50</v>
      </c>
      <c r="C43" s="219">
        <v>45807</v>
      </c>
      <c r="D43" s="286"/>
      <c r="E43" s="273" t="s">
        <v>1782</v>
      </c>
      <c r="F43" s="286"/>
      <c r="G43" s="287" t="s">
        <v>1745</v>
      </c>
      <c r="H43" s="234"/>
      <c r="I43" s="234"/>
      <c r="J43" s="45"/>
      <c r="K43" s="208"/>
      <c r="L43" s="208"/>
      <c r="M43" s="208"/>
      <c r="N43" s="288"/>
      <c r="O43" s="289"/>
      <c r="P43" s="278" t="s">
        <v>1783</v>
      </c>
      <c r="Q43" s="279" t="s">
        <v>58</v>
      </c>
      <c r="R43" s="132" t="s">
        <v>1784</v>
      </c>
      <c r="S43" s="132"/>
      <c r="T43" s="280"/>
      <c r="U43" s="281"/>
      <c r="V43" s="281"/>
      <c r="W43" s="281"/>
      <c r="X43" s="281"/>
      <c r="Y43" s="281"/>
      <c r="Z43" t="e">
        <f>VLOOKUP(A43,#REF!,9,FALSE)</f>
        <v>#REF!</v>
      </c>
    </row>
    <row r="44" spans="1:26" ht="15.75" thickBot="1">
      <c r="A44" s="279" t="s">
        <v>87</v>
      </c>
      <c r="B44" s="103" t="s">
        <v>50</v>
      </c>
      <c r="C44" s="219">
        <v>45807</v>
      </c>
      <c r="D44" s="286"/>
      <c r="E44" s="273" t="s">
        <v>1782</v>
      </c>
      <c r="F44" s="286"/>
      <c r="G44" s="287" t="s">
        <v>1745</v>
      </c>
      <c r="H44" s="234"/>
      <c r="I44" s="234"/>
      <c r="J44" s="45"/>
      <c r="K44" s="208"/>
      <c r="L44" s="208"/>
      <c r="M44" s="208"/>
      <c r="N44" s="288"/>
      <c r="O44" s="289"/>
      <c r="P44" s="278" t="s">
        <v>1753</v>
      </c>
      <c r="Q44" s="279" t="s">
        <v>64</v>
      </c>
      <c r="R44" s="132" t="s">
        <v>1784</v>
      </c>
      <c r="S44" s="132"/>
      <c r="T44" s="280"/>
      <c r="U44" s="281"/>
      <c r="V44" s="281"/>
      <c r="W44" s="281"/>
      <c r="X44" s="281"/>
      <c r="Y44" s="281"/>
      <c r="Z44" t="e">
        <f>VLOOKUP(A44,#REF!,9,FALSE)</f>
        <v>#REF!</v>
      </c>
    </row>
    <row r="45" spans="1:26" ht="15.75" thickBot="1">
      <c r="A45" s="346" t="s">
        <v>510</v>
      </c>
      <c r="B45" s="103" t="s">
        <v>50</v>
      </c>
      <c r="C45" s="219">
        <v>45807</v>
      </c>
      <c r="D45" s="286"/>
      <c r="E45" s="273" t="s">
        <v>1747</v>
      </c>
      <c r="F45" s="286"/>
      <c r="G45" s="287" t="s">
        <v>1745</v>
      </c>
      <c r="H45" s="234"/>
      <c r="I45" s="234"/>
      <c r="J45" s="45"/>
      <c r="K45" s="208"/>
      <c r="L45" s="208"/>
      <c r="M45" s="208"/>
      <c r="N45" s="288"/>
      <c r="O45" s="289"/>
      <c r="P45" s="278"/>
      <c r="Q45" s="279" t="s">
        <v>58</v>
      </c>
      <c r="R45" s="132" t="s">
        <v>1784</v>
      </c>
      <c r="S45" s="132"/>
      <c r="T45" s="280"/>
      <c r="U45" s="281"/>
      <c r="V45" s="281"/>
      <c r="W45" s="281"/>
      <c r="X45" s="281"/>
      <c r="Y45" s="281"/>
      <c r="Z45" t="e">
        <f>VLOOKUP(A45,#REF!,9,FALSE)</f>
        <v>#REF!</v>
      </c>
    </row>
    <row r="46" spans="1:26" ht="15.75" thickBot="1">
      <c r="A46" s="296" t="s">
        <v>512</v>
      </c>
      <c r="B46" s="103" t="s">
        <v>50</v>
      </c>
      <c r="C46" s="219">
        <v>45807</v>
      </c>
      <c r="D46" s="286"/>
      <c r="E46" s="273" t="s">
        <v>1747</v>
      </c>
      <c r="F46" s="286"/>
      <c r="G46" s="294" t="s">
        <v>1745</v>
      </c>
      <c r="H46" s="234"/>
      <c r="I46" s="234"/>
      <c r="J46" s="45"/>
      <c r="K46" s="208"/>
      <c r="L46" s="208"/>
      <c r="M46" s="208"/>
      <c r="N46" s="288"/>
      <c r="O46" s="289"/>
      <c r="P46" s="278"/>
      <c r="Q46" s="279" t="s">
        <v>58</v>
      </c>
      <c r="R46" s="132" t="s">
        <v>1784</v>
      </c>
      <c r="S46" s="132"/>
      <c r="T46" s="280"/>
      <c r="U46" s="281"/>
      <c r="V46" s="281"/>
      <c r="W46" s="281"/>
      <c r="X46" s="281"/>
      <c r="Y46" s="281"/>
      <c r="Z46" t="e">
        <f>VLOOKUP(A46,#REF!,9,FALSE)</f>
        <v>#REF!</v>
      </c>
    </row>
    <row r="47" spans="1:26" ht="15.75" thickBot="1">
      <c r="A47" s="297" t="s">
        <v>180</v>
      </c>
      <c r="B47" s="103" t="s">
        <v>50</v>
      </c>
      <c r="C47" s="219">
        <v>45807</v>
      </c>
      <c r="D47" s="286"/>
      <c r="E47" s="273" t="s">
        <v>1747</v>
      </c>
      <c r="F47" s="286"/>
      <c r="G47" s="287" t="s">
        <v>1745</v>
      </c>
      <c r="H47" s="234"/>
      <c r="I47" s="234"/>
      <c r="J47" s="45"/>
      <c r="K47" s="208"/>
      <c r="L47" s="208"/>
      <c r="M47" s="208"/>
      <c r="N47" s="288"/>
      <c r="O47" s="289"/>
      <c r="P47" s="278" t="s">
        <v>1756</v>
      </c>
      <c r="Q47" s="279" t="s">
        <v>58</v>
      </c>
      <c r="R47" s="132" t="s">
        <v>1787</v>
      </c>
      <c r="S47" s="132"/>
      <c r="T47" s="280"/>
      <c r="U47" s="281"/>
      <c r="V47" s="281"/>
      <c r="W47" s="281"/>
      <c r="X47" s="281"/>
      <c r="Y47" s="281"/>
      <c r="Z47" t="e">
        <f>VLOOKUP(A47,#REF!,9,FALSE)</f>
        <v>#REF!</v>
      </c>
    </row>
    <row r="48" spans="1:26" ht="15.75" thickBot="1">
      <c r="A48" s="296" t="s">
        <v>555</v>
      </c>
      <c r="B48" s="103" t="s">
        <v>50</v>
      </c>
      <c r="C48" s="219">
        <v>45807</v>
      </c>
      <c r="D48" s="286"/>
      <c r="E48" s="273" t="s">
        <v>1747</v>
      </c>
      <c r="F48" s="286"/>
      <c r="G48" s="294" t="s">
        <v>1766</v>
      </c>
      <c r="H48" s="234"/>
      <c r="I48" s="234"/>
      <c r="J48" s="45"/>
      <c r="K48" s="208"/>
      <c r="L48" s="208"/>
      <c r="M48" s="208"/>
      <c r="N48" s="288"/>
      <c r="O48" s="289"/>
      <c r="P48" s="278" t="s">
        <v>1793</v>
      </c>
      <c r="Q48" s="279" t="s">
        <v>1766</v>
      </c>
      <c r="R48" s="132" t="s">
        <v>1784</v>
      </c>
      <c r="S48" s="132"/>
      <c r="T48" s="280"/>
      <c r="U48" s="281"/>
      <c r="V48" s="281"/>
      <c r="W48" s="281"/>
      <c r="X48" s="281"/>
      <c r="Y48" s="281"/>
      <c r="Z48" t="e">
        <f>VLOOKUP(A48,#REF!,9,FALSE)</f>
        <v>#REF!</v>
      </c>
    </row>
    <row r="49" spans="1:26" ht="15.75" thickBot="1">
      <c r="A49" s="296" t="s">
        <v>549</v>
      </c>
      <c r="B49" s="103" t="s">
        <v>116</v>
      </c>
      <c r="C49" s="219">
        <v>45772</v>
      </c>
      <c r="D49" s="286"/>
      <c r="E49" s="273" t="s">
        <v>1747</v>
      </c>
      <c r="F49" s="286"/>
      <c r="G49" s="294" t="s">
        <v>1766</v>
      </c>
      <c r="H49" s="234"/>
      <c r="I49" s="234"/>
      <c r="J49" s="45"/>
      <c r="K49" s="208"/>
      <c r="L49" s="208"/>
      <c r="M49" s="208"/>
      <c r="N49" s="288"/>
      <c r="O49" s="289"/>
      <c r="P49" s="278" t="s">
        <v>1793</v>
      </c>
      <c r="Q49" s="279" t="s">
        <v>1766</v>
      </c>
      <c r="R49" s="132" t="s">
        <v>1784</v>
      </c>
      <c r="S49" s="132"/>
      <c r="T49" s="280"/>
      <c r="U49" s="281"/>
      <c r="V49" s="281"/>
      <c r="W49" s="281"/>
      <c r="X49" s="281"/>
      <c r="Y49" s="281"/>
      <c r="Z49" t="e">
        <f>VLOOKUP(A49,#REF!,9,FALSE)</f>
        <v>#REF!</v>
      </c>
    </row>
    <row r="50" spans="1:26" ht="15.75" thickBot="1">
      <c r="A50" s="296" t="s">
        <v>547</v>
      </c>
      <c r="B50" s="103" t="s">
        <v>116</v>
      </c>
      <c r="C50" s="219">
        <v>45772</v>
      </c>
      <c r="D50" s="286"/>
      <c r="E50" s="273" t="s">
        <v>1747</v>
      </c>
      <c r="F50" s="286"/>
      <c r="G50" s="294" t="s">
        <v>1766</v>
      </c>
      <c r="H50" s="234"/>
      <c r="I50" s="234"/>
      <c r="J50" s="45"/>
      <c r="K50" s="208"/>
      <c r="L50" s="208"/>
      <c r="M50" s="208"/>
      <c r="N50" s="288"/>
      <c r="O50" s="289"/>
      <c r="P50" s="278" t="s">
        <v>1793</v>
      </c>
      <c r="Q50" s="279" t="s">
        <v>1766</v>
      </c>
      <c r="R50" s="132" t="s">
        <v>1784</v>
      </c>
      <c r="S50" s="132"/>
      <c r="T50" s="280"/>
      <c r="U50" s="281"/>
      <c r="V50" s="281"/>
      <c r="W50" s="281"/>
      <c r="X50" s="281"/>
      <c r="Y50" s="281"/>
      <c r="Z50" t="e">
        <f>VLOOKUP(A50,#REF!,9,FALSE)</f>
        <v>#REF!</v>
      </c>
    </row>
    <row r="51" spans="1:26" ht="15.75" thickBot="1">
      <c r="A51" s="296" t="s">
        <v>553</v>
      </c>
      <c r="B51" s="103" t="e">
        <v>#N/A</v>
      </c>
      <c r="C51" s="219" t="e">
        <v>#N/A</v>
      </c>
      <c r="D51" s="286"/>
      <c r="E51" s="273" t="s">
        <v>1747</v>
      </c>
      <c r="F51" s="286"/>
      <c r="G51" s="294" t="s">
        <v>1766</v>
      </c>
      <c r="H51" s="234"/>
      <c r="I51" s="234"/>
      <c r="J51" s="45"/>
      <c r="K51" s="208"/>
      <c r="L51" s="208"/>
      <c r="M51" s="208"/>
      <c r="N51" s="288"/>
      <c r="O51" s="289"/>
      <c r="P51" s="278" t="s">
        <v>1793</v>
      </c>
      <c r="Q51" s="279" t="s">
        <v>1766</v>
      </c>
      <c r="R51" s="132" t="s">
        <v>1784</v>
      </c>
      <c r="S51" s="132"/>
      <c r="T51" s="280"/>
      <c r="U51" s="281"/>
      <c r="V51" s="281"/>
      <c r="W51" s="281"/>
      <c r="X51" s="281"/>
      <c r="Y51" s="281"/>
      <c r="Z51" t="e">
        <f>VLOOKUP(A51,#REF!,9,FALSE)</f>
        <v>#REF!</v>
      </c>
    </row>
    <row r="52" spans="1:26" ht="13.9" customHeight="1" thickBot="1">
      <c r="A52" s="296" t="s">
        <v>529</v>
      </c>
      <c r="B52" s="103" t="s">
        <v>116</v>
      </c>
      <c r="C52" s="219">
        <v>45925</v>
      </c>
      <c r="D52" s="286"/>
      <c r="E52" s="273" t="s">
        <v>1782</v>
      </c>
      <c r="F52" s="286"/>
      <c r="G52" s="287" t="s">
        <v>1745</v>
      </c>
      <c r="H52" s="234"/>
      <c r="I52" s="234"/>
      <c r="J52" s="45"/>
      <c r="K52" s="208"/>
      <c r="L52" s="208"/>
      <c r="M52" s="208"/>
      <c r="N52" s="288"/>
      <c r="O52" s="289"/>
      <c r="P52" s="278" t="s">
        <v>1783</v>
      </c>
      <c r="Q52" s="279" t="s">
        <v>64</v>
      </c>
      <c r="R52" s="132" t="s">
        <v>1784</v>
      </c>
      <c r="S52" s="132"/>
      <c r="T52" s="280"/>
      <c r="U52" s="281"/>
      <c r="V52" s="281"/>
      <c r="W52" s="281"/>
      <c r="X52" s="281"/>
      <c r="Y52" s="281"/>
      <c r="Z52" t="e">
        <f>VLOOKUP(A52,#REF!,9,FALSE)</f>
        <v>#REF!</v>
      </c>
    </row>
    <row r="53" spans="1:26" ht="15.75" thickBot="1">
      <c r="A53" s="296" t="s">
        <v>531</v>
      </c>
      <c r="B53" s="103" t="s">
        <v>116</v>
      </c>
      <c r="C53" s="219">
        <v>45925</v>
      </c>
      <c r="D53" s="286"/>
      <c r="E53" s="273" t="s">
        <v>1782</v>
      </c>
      <c r="F53" s="286"/>
      <c r="G53" s="287" t="s">
        <v>1745</v>
      </c>
      <c r="H53" s="234"/>
      <c r="I53" s="234"/>
      <c r="J53" s="45"/>
      <c r="K53" s="208"/>
      <c r="L53" s="208"/>
      <c r="M53" s="208"/>
      <c r="N53" s="288"/>
      <c r="O53" s="289"/>
      <c r="P53" s="278" t="s">
        <v>1783</v>
      </c>
      <c r="Q53" s="279" t="s">
        <v>64</v>
      </c>
      <c r="R53" s="132" t="s">
        <v>1784</v>
      </c>
      <c r="S53" s="132"/>
      <c r="T53" s="280"/>
      <c r="U53" s="281"/>
      <c r="V53" s="281"/>
      <c r="W53" s="281"/>
      <c r="X53" s="281"/>
      <c r="Y53" s="281"/>
      <c r="Z53" t="e">
        <f>VLOOKUP(A53,#REF!,9,FALSE)</f>
        <v>#REF!</v>
      </c>
    </row>
    <row r="54" spans="1:26" ht="15.75" thickBot="1">
      <c r="A54" s="296" t="s">
        <v>527</v>
      </c>
      <c r="B54" s="103" t="s">
        <v>116</v>
      </c>
      <c r="C54" s="219">
        <v>45925</v>
      </c>
      <c r="D54" s="286"/>
      <c r="E54" s="273" t="s">
        <v>1782</v>
      </c>
      <c r="F54" s="286"/>
      <c r="G54" s="287" t="s">
        <v>1745</v>
      </c>
      <c r="H54" s="234"/>
      <c r="I54" s="234"/>
      <c r="J54" s="45"/>
      <c r="K54" s="208"/>
      <c r="L54" s="208"/>
      <c r="M54" s="208"/>
      <c r="N54" s="288"/>
      <c r="O54" s="289"/>
      <c r="P54" s="278" t="s">
        <v>1783</v>
      </c>
      <c r="Q54" s="279" t="s">
        <v>64</v>
      </c>
      <c r="R54" s="132" t="s">
        <v>1784</v>
      </c>
      <c r="S54" s="132"/>
      <c r="T54" s="280"/>
      <c r="U54" s="281"/>
      <c r="V54" s="281"/>
      <c r="W54" s="281"/>
      <c r="X54" s="281"/>
      <c r="Y54" s="281"/>
      <c r="Z54" t="e">
        <f>VLOOKUP(A54,#REF!,9,FALSE)</f>
        <v>#REF!</v>
      </c>
    </row>
    <row r="55" spans="1:26" ht="15.75" thickBot="1">
      <c r="A55" s="296" t="s">
        <v>565</v>
      </c>
      <c r="B55" s="103" t="s">
        <v>116</v>
      </c>
      <c r="C55" s="219">
        <v>45862</v>
      </c>
      <c r="D55" s="286"/>
      <c r="E55" s="273" t="s">
        <v>1782</v>
      </c>
      <c r="F55" s="286"/>
      <c r="G55" s="287" t="s">
        <v>1745</v>
      </c>
      <c r="H55" s="234"/>
      <c r="I55" s="234"/>
      <c r="J55" s="45"/>
      <c r="K55" s="208"/>
      <c r="L55" s="208"/>
      <c r="M55" s="208"/>
      <c r="N55" s="288"/>
      <c r="O55" s="289"/>
      <c r="P55" s="278" t="s">
        <v>1756</v>
      </c>
      <c r="Q55" s="279" t="s">
        <v>58</v>
      </c>
      <c r="R55" s="132" t="s">
        <v>1787</v>
      </c>
      <c r="S55" s="132"/>
      <c r="T55" s="280"/>
      <c r="U55" s="281"/>
      <c r="V55" s="281"/>
      <c r="W55" s="281"/>
      <c r="X55" s="281"/>
      <c r="Y55" s="281"/>
      <c r="Z55" t="e">
        <f>VLOOKUP(A55,#REF!,9,FALSE)</f>
        <v>#REF!</v>
      </c>
    </row>
    <row r="56" spans="1:26" ht="15.75" thickBot="1">
      <c r="A56" s="296" t="s">
        <v>128</v>
      </c>
      <c r="B56" s="103"/>
      <c r="C56" s="219" t="e">
        <v>#N/A</v>
      </c>
      <c r="D56" s="286"/>
      <c r="E56" s="273" t="s">
        <v>1782</v>
      </c>
      <c r="F56" s="286"/>
      <c r="G56" s="287" t="s">
        <v>1745</v>
      </c>
      <c r="H56" s="234"/>
      <c r="I56" s="234"/>
      <c r="J56" s="45"/>
      <c r="K56" s="208"/>
      <c r="L56" s="208"/>
      <c r="M56" s="208"/>
      <c r="N56" s="288"/>
      <c r="O56" s="289"/>
      <c r="P56" s="278" t="s">
        <v>1794</v>
      </c>
      <c r="Q56" s="279" t="s">
        <v>58</v>
      </c>
      <c r="R56" s="132" t="s">
        <v>1787</v>
      </c>
      <c r="S56" s="132"/>
      <c r="T56" s="280"/>
      <c r="U56" s="281"/>
      <c r="V56" s="281"/>
      <c r="W56" s="281"/>
      <c r="X56" s="281"/>
      <c r="Y56" s="281"/>
      <c r="Z56" t="e">
        <f>VLOOKUP(A56,#REF!,9,FALSE)</f>
        <v>#REF!</v>
      </c>
    </row>
    <row r="57" spans="1:26" ht="15.75" thickBot="1">
      <c r="A57" s="163" t="s">
        <v>1795</v>
      </c>
      <c r="B57" s="103" t="s">
        <v>116</v>
      </c>
      <c r="C57" s="298">
        <v>45787</v>
      </c>
      <c r="D57" s="286"/>
      <c r="E57" s="273" t="s">
        <v>1782</v>
      </c>
      <c r="F57" s="286"/>
      <c r="G57" s="287" t="s">
        <v>1745</v>
      </c>
      <c r="H57" s="234"/>
      <c r="I57" s="234"/>
      <c r="J57" s="45"/>
      <c r="K57" s="208"/>
      <c r="L57" s="208"/>
      <c r="M57" s="208"/>
      <c r="N57" s="288"/>
      <c r="O57" s="289"/>
      <c r="P57" s="278" t="s">
        <v>1756</v>
      </c>
      <c r="Q57" s="279" t="s">
        <v>1796</v>
      </c>
      <c r="R57" s="132" t="s">
        <v>1787</v>
      </c>
      <c r="S57" s="132"/>
      <c r="T57" s="280"/>
      <c r="U57" s="281"/>
      <c r="V57" s="281"/>
      <c r="W57" s="281"/>
      <c r="X57" s="281"/>
      <c r="Y57" s="281"/>
      <c r="Z57" t="e">
        <f>VLOOKUP(A57,#REF!,9,FALSE)</f>
        <v>#REF!</v>
      </c>
    </row>
    <row r="58" spans="1:26" ht="15.75" thickBot="1">
      <c r="A58" s="640" t="s">
        <v>527</v>
      </c>
      <c r="B58" s="103" t="s">
        <v>50</v>
      </c>
      <c r="C58" s="300">
        <v>45807</v>
      </c>
      <c r="D58" s="286"/>
      <c r="E58" s="273" t="s">
        <v>1747</v>
      </c>
      <c r="F58" s="286"/>
      <c r="G58" s="287" t="s">
        <v>1745</v>
      </c>
      <c r="H58" s="234"/>
      <c r="I58" s="234"/>
      <c r="J58" s="45"/>
      <c r="K58" s="208"/>
      <c r="L58" s="208"/>
      <c r="M58" s="208"/>
      <c r="N58" s="288"/>
      <c r="O58" s="289"/>
      <c r="P58" s="291"/>
      <c r="Q58" s="279" t="s">
        <v>64</v>
      </c>
      <c r="R58" s="132" t="s">
        <v>1784</v>
      </c>
      <c r="S58" s="132"/>
      <c r="T58" s="280"/>
      <c r="U58" s="281"/>
      <c r="V58" s="281"/>
      <c r="W58" s="281"/>
      <c r="X58" s="281"/>
      <c r="Y58" s="281"/>
    </row>
    <row r="59" spans="1:26" ht="15.75" thickBot="1">
      <c r="A59" s="640" t="s">
        <v>529</v>
      </c>
      <c r="B59" s="103" t="s">
        <v>116</v>
      </c>
      <c r="C59" s="300">
        <v>45772</v>
      </c>
      <c r="D59" s="286"/>
      <c r="E59" s="273" t="s">
        <v>1747</v>
      </c>
      <c r="F59" s="286"/>
      <c r="G59" s="287" t="s">
        <v>1745</v>
      </c>
      <c r="H59" s="234"/>
      <c r="I59" s="234"/>
      <c r="J59" s="45"/>
      <c r="K59" s="208"/>
      <c r="L59" s="208"/>
      <c r="M59" s="208"/>
      <c r="N59" s="288"/>
      <c r="O59" s="289"/>
      <c r="P59" s="291"/>
      <c r="Q59" s="279" t="s">
        <v>64</v>
      </c>
      <c r="R59" s="132" t="s">
        <v>1784</v>
      </c>
      <c r="S59" s="132"/>
      <c r="T59" s="280"/>
      <c r="U59" s="281"/>
      <c r="V59" s="281"/>
      <c r="W59" s="281"/>
      <c r="X59" s="281"/>
      <c r="Y59" s="281"/>
    </row>
    <row r="60" spans="1:26" ht="15.75" thickBot="1">
      <c r="A60" s="641" t="s">
        <v>531</v>
      </c>
      <c r="B60" s="103" t="s">
        <v>116</v>
      </c>
      <c r="C60" s="300">
        <v>45772</v>
      </c>
      <c r="D60" s="286"/>
      <c r="E60" s="273" t="s">
        <v>1747</v>
      </c>
      <c r="F60" s="286"/>
      <c r="G60" s="287" t="s">
        <v>1745</v>
      </c>
      <c r="H60" s="234"/>
      <c r="I60" s="234"/>
      <c r="J60" s="45"/>
      <c r="K60" s="208"/>
      <c r="L60" s="208"/>
      <c r="M60" s="208"/>
      <c r="N60" s="288"/>
      <c r="O60" s="289"/>
      <c r="P60" s="291"/>
      <c r="Q60" s="279" t="s">
        <v>64</v>
      </c>
      <c r="R60" s="132" t="s">
        <v>1784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1776</v>
      </c>
      <c r="B70" s="305">
        <f>SUM(K4:K9)</f>
        <v>0</v>
      </c>
      <c r="C70" s="306" t="e">
        <f>B70/B73</f>
        <v>#DIV/0!</v>
      </c>
    </row>
    <row r="71" spans="1:25">
      <c r="A71" s="304" t="s">
        <v>1674</v>
      </c>
      <c r="B71" s="305">
        <f>SUM(L4:L9)</f>
        <v>0</v>
      </c>
      <c r="C71" s="306" t="e">
        <f>B71/B73</f>
        <v>#DIV/0!</v>
      </c>
    </row>
    <row r="72" spans="1:25">
      <c r="A72" s="304" t="s">
        <v>1777</v>
      </c>
      <c r="B72" s="305">
        <f>SUM(M4:M9)</f>
        <v>0</v>
      </c>
      <c r="C72" s="306" t="e">
        <f>B72/B73</f>
        <v>#DIV/0!</v>
      </c>
    </row>
    <row r="73" spans="1:25">
      <c r="A73" s="304" t="s">
        <v>879</v>
      </c>
      <c r="B73" s="305">
        <f>SUM(B70:B72)</f>
        <v>0</v>
      </c>
      <c r="C73" s="283"/>
    </row>
    <row r="80" spans="1:25">
      <c r="A80" t="s">
        <v>1797</v>
      </c>
    </row>
    <row r="81" spans="1:1">
      <c r="A81" t="s">
        <v>1798</v>
      </c>
    </row>
    <row r="82" spans="1:1">
      <c r="A82" t="s">
        <v>1783</v>
      </c>
    </row>
    <row r="83" spans="1:1">
      <c r="A83" t="s">
        <v>1799</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1DF0F12-0AD5-45A6-BCE9-A8C991C3805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2025-11-20T20:39:21Z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