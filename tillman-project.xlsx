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28" documentId="8_{E14B221E-02E2-46A3-8CEC-C736815F2DD5}" xr6:coauthVersionLast="47" xr6:coauthVersionMax="47" xr10:uidLastSave="{6B10861B-4DB9-4480-A308-D703E51C909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33" r:id="rId12"/>
    <pivotCache cacheId="434" r:id="rId13"/>
    <pivotCache cacheId="435" r:id="rId14"/>
    <pivotCache cacheId="436" r:id="rId15"/>
    <pivotCache cacheId="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<sst xmlns="http://schemas.openxmlformats.org/spreadsheetml/2006/main" count="17087" uniqueCount="2240">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</sst>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76" activePane="topRight" state="frozen"/>
      <selection pane="topRight" activeCell="Y88" sqref="Y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498" activePane="bottomLeft" state="frozen"/>
      <selection pane="bottomLeft" activeCell="D2521" sqref="D25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48" t="s">
        <v>2083</v>
      </c>
      <c r="G2510" t="s">
        <v>2026</v>
      </c>
    </row>
    <row r="2511" spans="1:7">
      <c r="A2511" s="247" t="s">
        <v>353</v>
      </c>
      <c r="B2511" s="157" t="s">
        <v>129</v>
      </c>
      <c r="C2511" s="56">
        <v>46036</v>
      </c>
      <c r="D2511" s="43">
        <v>544</v>
      </c>
      <c r="F2511" s="1442" t="s">
        <v>2084</v>
      </c>
      <c r="G2511" t="s">
        <v>2026</v>
      </c>
    </row>
    <row r="2512" spans="1:7">
      <c r="A2512" s="247" t="s">
        <v>324</v>
      </c>
      <c r="B2512" s="157" t="s">
        <v>1093</v>
      </c>
      <c r="C2512" s="56">
        <v>46036</v>
      </c>
      <c r="E2512" s="321">
        <v>1562</v>
      </c>
      <c r="F2512" s="1442" t="s">
        <v>2085</v>
      </c>
      <c r="G2512" t="s">
        <v>2026</v>
      </c>
    </row>
    <row r="2513" spans="1:7">
      <c r="A2513" s="247" t="s">
        <v>345</v>
      </c>
      <c r="B2513" s="157" t="s">
        <v>129</v>
      </c>
      <c r="C2513" s="56">
        <v>46036</v>
      </c>
      <c r="D2513" s="43">
        <v>0</v>
      </c>
      <c r="F2513" s="1442" t="s">
        <v>2086</v>
      </c>
      <c r="G2513" t="s">
        <v>2026</v>
      </c>
    </row>
    <row r="2514" spans="1:7">
      <c r="A2514" s="247" t="s">
        <v>351</v>
      </c>
      <c r="B2514" s="157" t="s">
        <v>129</v>
      </c>
      <c r="C2514" s="56">
        <v>46036</v>
      </c>
      <c r="D2514" s="155">
        <v>1728</v>
      </c>
      <c r="F2514" s="1442" t="s">
        <v>2087</v>
      </c>
      <c r="G2514" t="s">
        <v>2026</v>
      </c>
    </row>
    <row r="2515" spans="1:7">
      <c r="A2515" s="247" t="s">
        <v>342</v>
      </c>
      <c r="B2515" s="157" t="s">
        <v>129</v>
      </c>
      <c r="C2515" s="56">
        <v>46037</v>
      </c>
      <c r="D2515" s="43">
        <v>527</v>
      </c>
      <c r="F2515" s="1442" t="s">
        <v>2088</v>
      </c>
      <c r="G2515" t="s">
        <v>2026</v>
      </c>
    </row>
    <row r="2516" spans="1:7">
      <c r="A2516" s="247" t="s">
        <v>355</v>
      </c>
      <c r="B2516" s="157" t="s">
        <v>129</v>
      </c>
      <c r="C2516" s="56">
        <v>46037</v>
      </c>
      <c r="D2516" s="155">
        <v>1562</v>
      </c>
      <c r="F2516" s="1442" t="s">
        <v>2089</v>
      </c>
      <c r="G2516" t="s">
        <v>2026</v>
      </c>
    </row>
    <row r="2517" spans="1:7">
      <c r="A2517" s="247" t="s">
        <v>353</v>
      </c>
      <c r="B2517" s="157" t="s">
        <v>129</v>
      </c>
      <c r="C2517" s="56">
        <v>46037</v>
      </c>
      <c r="D2517" s="155">
        <v>2832</v>
      </c>
      <c r="F2517" s="1442" t="s">
        <v>2090</v>
      </c>
      <c r="G2517" t="s">
        <v>2026</v>
      </c>
    </row>
    <row r="2518" spans="1:7">
      <c r="A2518" s="247" t="s">
        <v>347</v>
      </c>
      <c r="B2518" s="157" t="s">
        <v>129</v>
      </c>
      <c r="C2518" s="56">
        <v>46037</v>
      </c>
      <c r="D2518" s="43">
        <v>0</v>
      </c>
      <c r="F2518" s="1442" t="s">
        <v>2091</v>
      </c>
      <c r="G2518" t="s">
        <v>2026</v>
      </c>
    </row>
    <row r="2519" spans="1:7">
      <c r="A2519" s="247" t="s">
        <v>359</v>
      </c>
      <c r="B2519" s="157" t="s">
        <v>129</v>
      </c>
      <c r="C2519" s="56">
        <v>46037</v>
      </c>
      <c r="D2519" s="155">
        <v>1639</v>
      </c>
      <c r="F2519" s="1442" t="s">
        <v>2092</v>
      </c>
      <c r="G2519" t="s">
        <v>2026</v>
      </c>
    </row>
    <row r="2520" spans="1:7">
      <c r="A2520" s="247" t="s">
        <v>264</v>
      </c>
      <c r="B2520" s="157" t="s">
        <v>232</v>
      </c>
      <c r="C2520" s="56">
        <v>46037</v>
      </c>
      <c r="D2520" s="43">
        <v>445</v>
      </c>
      <c r="F2520" s="1442" t="s">
        <v>2093</v>
      </c>
      <c r="G2520" t="s">
        <v>2026</v>
      </c>
    </row>
    <row r="2521" spans="1:7">
      <c r="A2521" s="247" t="s">
        <v>2059</v>
      </c>
      <c r="B2521" s="157" t="s">
        <v>1619</v>
      </c>
      <c r="C2521" s="56">
        <v>46037</v>
      </c>
      <c r="D2521" s="43">
        <v>499</v>
      </c>
      <c r="F2521" s="1442" t="s">
        <v>2094</v>
      </c>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538</v>
      </c>
      <c r="AB3" s="68" t="s">
        <v>48</v>
      </c>
    </row>
    <row r="4" spans="1:30" ht="24.75" customHeight="1" thickBot="1">
      <c r="A4" s="440" t="s">
        <v>2103</v>
      </c>
      <c r="B4" s="440" t="s">
        <v>2104</v>
      </c>
      <c r="C4" s="16">
        <v>45717</v>
      </c>
      <c r="D4" s="63" t="s">
        <v>2105</v>
      </c>
      <c r="E4" s="51">
        <v>45707</v>
      </c>
      <c r="F4" s="51" t="s">
        <v>208</v>
      </c>
      <c r="G4" s="382" t="s">
        <v>2106</v>
      </c>
      <c r="H4" s="97">
        <v>0</v>
      </c>
      <c r="I4" s="105"/>
      <c r="J4" s="76" t="s">
        <v>63</v>
      </c>
      <c r="K4" s="76" t="s">
        <v>2107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208</v>
      </c>
      <c r="G5" s="382" t="s">
        <v>2110</v>
      </c>
      <c r="H5" s="97">
        <v>0</v>
      </c>
      <c r="I5" s="105"/>
      <c r="J5" s="76" t="s">
        <v>63</v>
      </c>
      <c r="K5" s="76" t="s">
        <v>2107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208</v>
      </c>
      <c r="G6" s="382" t="s">
        <v>2112</v>
      </c>
      <c r="H6" s="97">
        <v>0</v>
      </c>
      <c r="I6" s="105"/>
      <c r="J6" s="76" t="s">
        <v>63</v>
      </c>
      <c r="K6" s="76" t="s">
        <v>2107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2113</v>
      </c>
      <c r="B8" s="440" t="s">
        <v>2114</v>
      </c>
      <c r="C8" s="16">
        <v>45748</v>
      </c>
      <c r="D8" s="16" t="s">
        <v>2105</v>
      </c>
      <c r="E8" s="94" t="s">
        <v>52</v>
      </c>
      <c r="F8" s="95" t="s">
        <v>52</v>
      </c>
      <c r="G8" s="620" t="s">
        <v>2115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117" t="s">
        <v>50</v>
      </c>
      <c r="C28" s="1110">
        <v>45991</v>
      </c>
      <c r="D28" s="375" t="s">
        <v>85</v>
      </c>
      <c r="E28" s="77">
        <v>45734</v>
      </c>
      <c r="F28" s="1108" t="s">
        <v>68</v>
      </c>
      <c r="G28" s="1119" t="s">
        <v>2143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117" t="s">
        <v>50</v>
      </c>
      <c r="C29" s="1110">
        <v>46021</v>
      </c>
      <c r="D29" s="375" t="s">
        <v>85</v>
      </c>
      <c r="E29" s="77">
        <v>45743</v>
      </c>
      <c r="F29" s="1108" t="s">
        <v>68</v>
      </c>
      <c r="G29" s="1118" t="s">
        <v>2145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2146</v>
      </c>
      <c r="AC29" s="1114"/>
      <c r="AD29" s="1116"/>
    </row>
    <row r="30" spans="1:30" ht="24.75" customHeight="1">
      <c r="A30" s="374" t="s">
        <v>2147</v>
      </c>
      <c r="B30" s="669" t="s">
        <v>50</v>
      </c>
      <c r="C30" s="375">
        <v>45991</v>
      </c>
      <c r="D30" s="50" t="s">
        <v>85</v>
      </c>
      <c r="E30" s="51">
        <v>45743</v>
      </c>
      <c r="F30" s="50" t="s">
        <v>68</v>
      </c>
      <c r="G30" s="379" t="s">
        <v>2148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2149</v>
      </c>
      <c r="AC30" s="333"/>
      <c r="AD30" s="115"/>
    </row>
    <row r="31" spans="1:30" ht="24.75" customHeight="1">
      <c r="A31" s="374" t="s">
        <v>1110</v>
      </c>
      <c r="B31" s="669" t="s">
        <v>50</v>
      </c>
      <c r="C31" s="375">
        <v>46021</v>
      </c>
      <c r="D31" s="375" t="s">
        <v>85</v>
      </c>
      <c r="E31" s="51">
        <v>45735</v>
      </c>
      <c r="F31" s="50" t="s">
        <v>68</v>
      </c>
      <c r="G31" s="670" t="s">
        <v>2150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2151</v>
      </c>
      <c r="W31" s="34">
        <v>0</v>
      </c>
      <c r="X31" s="34">
        <v>0</v>
      </c>
      <c r="Y31" s="31">
        <v>0</v>
      </c>
      <c r="Z31" s="34">
        <v>0</v>
      </c>
      <c r="AA31" s="31">
        <v>0</v>
      </c>
      <c r="AB31" s="353" t="s">
        <v>2146</v>
      </c>
    </row>
    <row r="32" spans="1:30" ht="24.75" customHeight="1">
      <c r="A32" s="905" t="s">
        <v>2152</v>
      </c>
      <c r="B32" s="1109" t="s">
        <v>50</v>
      </c>
      <c r="C32" s="985">
        <v>45717</v>
      </c>
      <c r="D32" s="985" t="s">
        <v>2134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2153</v>
      </c>
      <c r="B33" s="989" t="s">
        <v>50</v>
      </c>
      <c r="C33" s="907">
        <v>45989</v>
      </c>
      <c r="D33" s="907" t="s">
        <v>2154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2155</v>
      </c>
    </row>
    <row r="34" spans="1:30" ht="24.75" customHeight="1">
      <c r="A34" s="905" t="s">
        <v>2156</v>
      </c>
      <c r="B34" s="1109" t="s">
        <v>50</v>
      </c>
      <c r="C34" s="985">
        <v>45717</v>
      </c>
      <c r="D34" s="985" t="s">
        <v>2134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2157</v>
      </c>
      <c r="B35" s="1109" t="s">
        <v>50</v>
      </c>
      <c r="C35" s="985">
        <v>45717</v>
      </c>
      <c r="D35" s="985" t="s">
        <v>2134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2158</v>
      </c>
      <c r="B36" s="1109" t="s">
        <v>50</v>
      </c>
      <c r="C36" s="985">
        <v>45717</v>
      </c>
      <c r="D36" s="985" t="s">
        <v>2134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1238</v>
      </c>
      <c r="V1" s="160" t="s">
        <v>2164</v>
      </c>
      <c r="W1" s="160" t="s">
        <v>2165</v>
      </c>
      <c r="X1" s="163" t="s">
        <v>2166</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2167</v>
      </c>
      <c r="B4" s="407" t="s">
        <v>207</v>
      </c>
      <c r="C4" s="408">
        <v>45742</v>
      </c>
      <c r="D4" s="696"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2169</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2169</v>
      </c>
      <c r="S7" s="43" t="s">
        <v>87</v>
      </c>
      <c r="T7" s="43" t="s">
        <v>87</v>
      </c>
      <c r="U7" s="43" t="s">
        <v>87</v>
      </c>
      <c r="V7" s="69" t="s">
        <v>92</v>
      </c>
      <c r="W7" s="30"/>
      <c r="X7" s="69" t="s">
        <v>92</v>
      </c>
      <c r="Y7" t="e">
        <f>VLOOKUP(A7,#REF!,2,FALSE)</f>
        <v>#REF!</v>
      </c>
    </row>
    <row r="8" spans="1:25">
      <c r="A8" s="175" t="s">
        <v>950</v>
      </c>
      <c r="B8" s="180" t="s">
        <v>207</v>
      </c>
      <c r="C8" s="176">
        <v>45742</v>
      </c>
      <c r="D8" s="185" t="s">
        <v>2170</v>
      </c>
      <c r="E8" s="120"/>
      <c r="F8" s="108"/>
      <c r="G8" s="108"/>
      <c r="H8" s="179">
        <v>84</v>
      </c>
      <c r="I8" s="181"/>
      <c r="J8" s="185" t="s">
        <v>57</v>
      </c>
      <c r="K8" s="185" t="s">
        <v>57</v>
      </c>
      <c r="L8" s="185" t="s">
        <v>63</v>
      </c>
      <c r="M8" s="193">
        <v>45716</v>
      </c>
      <c r="N8" s="30" t="s">
        <v>87</v>
      </c>
      <c r="O8" s="30" t="s">
        <v>87</v>
      </c>
      <c r="P8" s="711" t="s">
        <v>87</v>
      </c>
      <c r="Q8" s="69" t="s">
        <v>87</v>
      </c>
      <c r="R8" s="43" t="s">
        <v>2169</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2169</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2169</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2169</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2169</v>
      </c>
      <c r="S12" s="43" t="s">
        <v>87</v>
      </c>
      <c r="T12" s="43" t="s">
        <v>87</v>
      </c>
      <c r="U12" s="69" t="s">
        <v>92</v>
      </c>
      <c r="V12" s="69" t="s">
        <v>92</v>
      </c>
      <c r="W12" s="30"/>
      <c r="X12" s="69" t="s">
        <v>92</v>
      </c>
      <c r="Y12" t="e">
        <f>VLOOKUP(A12,#REF!,2,FALSE)</f>
        <v>#REF!</v>
      </c>
    </row>
    <row r="13" spans="1:25">
      <c r="A13" s="178" t="s">
        <v>264</v>
      </c>
      <c r="B13" s="180" t="s">
        <v>207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2172</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2173</v>
      </c>
      <c r="N16" s="30" t="s">
        <v>87</v>
      </c>
      <c r="O16" s="54" t="s">
        <v>2173</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2172</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2172</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2172</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2172</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2172</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2172</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2172</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2169</v>
      </c>
      <c r="S31" s="43" t="s">
        <v>87</v>
      </c>
      <c r="T31" s="139" t="s">
        <v>87</v>
      </c>
      <c r="U31" s="115" t="s">
        <v>87</v>
      </c>
      <c r="V31" s="69" t="s">
        <v>87</v>
      </c>
      <c r="W31" s="54">
        <v>45779</v>
      </c>
      <c r="X31" s="69" t="s">
        <v>2172</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2169</v>
      </c>
      <c r="S32" s="43" t="s">
        <v>87</v>
      </c>
      <c r="T32" s="139" t="s">
        <v>87</v>
      </c>
      <c r="U32" s="43" t="s">
        <v>87</v>
      </c>
      <c r="V32" s="69" t="s">
        <v>87</v>
      </c>
      <c r="W32" s="54">
        <v>45792</v>
      </c>
      <c r="X32" s="69" t="s">
        <v>2172</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2169</v>
      </c>
      <c r="S33" s="43" t="s">
        <v>87</v>
      </c>
      <c r="T33" s="139" t="s">
        <v>87</v>
      </c>
      <c r="U33" s="43" t="s">
        <v>87</v>
      </c>
      <c r="V33" s="334" t="s">
        <v>87</v>
      </c>
      <c r="W33" s="54">
        <v>45812</v>
      </c>
      <c r="X33" s="69" t="s">
        <v>2172</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2169</v>
      </c>
      <c r="S34" s="43" t="s">
        <v>87</v>
      </c>
      <c r="T34" s="139" t="s">
        <v>87</v>
      </c>
      <c r="U34" s="43" t="s">
        <v>87</v>
      </c>
      <c r="V34" s="404" t="s">
        <v>87</v>
      </c>
      <c r="W34" s="166">
        <v>45797</v>
      </c>
      <c r="X34" s="69" t="s">
        <v>2172</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2169</v>
      </c>
      <c r="S35" s="43" t="s">
        <v>87</v>
      </c>
      <c r="T35" s="139" t="s">
        <v>87</v>
      </c>
      <c r="U35" s="169" t="s">
        <v>87</v>
      </c>
      <c r="V35" s="69" t="s">
        <v>87</v>
      </c>
      <c r="W35" s="54">
        <v>45789</v>
      </c>
      <c r="X35" s="334" t="s">
        <v>2172</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2169</v>
      </c>
      <c r="S36" s="43" t="s">
        <v>87</v>
      </c>
      <c r="T36" s="139" t="s">
        <v>87</v>
      </c>
      <c r="U36" s="43" t="s">
        <v>87</v>
      </c>
      <c r="V36" s="69" t="s">
        <v>87</v>
      </c>
      <c r="W36" s="54">
        <v>45824</v>
      </c>
      <c r="X36" s="334" t="s">
        <v>2172</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2169</v>
      </c>
      <c r="S37" s="43" t="s">
        <v>87</v>
      </c>
      <c r="T37" s="43" t="s">
        <v>87</v>
      </c>
      <c r="U37" s="169" t="s">
        <v>87</v>
      </c>
      <c r="V37" s="69" t="s">
        <v>87</v>
      </c>
      <c r="W37" s="156">
        <v>45789</v>
      </c>
      <c r="X37" s="69" t="s">
        <v>2172</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2169</v>
      </c>
      <c r="S38" s="43" t="s">
        <v>87</v>
      </c>
      <c r="T38" s="43" t="s">
        <v>87</v>
      </c>
      <c r="U38" s="169" t="s">
        <v>87</v>
      </c>
      <c r="V38" s="69" t="s">
        <v>87</v>
      </c>
      <c r="W38" s="54">
        <v>45789</v>
      </c>
      <c r="X38" s="69" t="s">
        <v>2172</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2169</v>
      </c>
      <c r="S39" s="43" t="s">
        <v>87</v>
      </c>
      <c r="T39" s="43" t="s">
        <v>87</v>
      </c>
      <c r="U39" s="169" t="s">
        <v>87</v>
      </c>
      <c r="V39" s="69" t="s">
        <v>87</v>
      </c>
      <c r="W39" s="54">
        <v>45789</v>
      </c>
      <c r="X39" s="69" t="s">
        <v>2172</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2172</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2172</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2172</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2172</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2172</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2172</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2172</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2172</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2172</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2172</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2172</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2172</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2169</v>
      </c>
      <c r="S57" s="43" t="s">
        <v>87</v>
      </c>
      <c r="T57" s="43" t="s">
        <v>87</v>
      </c>
      <c r="U57" s="43" t="s">
        <v>87</v>
      </c>
      <c r="V57" s="69" t="s">
        <v>87</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2169</v>
      </c>
      <c r="S58" s="43" t="s">
        <v>87</v>
      </c>
      <c r="T58" s="43" t="s">
        <v>87</v>
      </c>
      <c r="U58" s="43" t="s">
        <v>87</v>
      </c>
      <c r="V58" s="334" t="s">
        <v>87</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2151</v>
      </c>
      <c r="P59" s="328" t="s">
        <v>87</v>
      </c>
      <c r="Q59" s="43" t="s">
        <v>87</v>
      </c>
      <c r="R59" s="43" t="s">
        <v>2169</v>
      </c>
      <c r="S59" s="43" t="s">
        <v>87</v>
      </c>
      <c r="T59" s="43" t="s">
        <v>87</v>
      </c>
      <c r="U59" s="43" t="s">
        <v>87</v>
      </c>
      <c r="V59" s="334" t="s">
        <v>87</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2169</v>
      </c>
      <c r="S60" s="43" t="s">
        <v>87</v>
      </c>
      <c r="T60" s="43" t="s">
        <v>87</v>
      </c>
      <c r="U60" s="43" t="s">
        <v>87</v>
      </c>
      <c r="V60" s="334" t="s">
        <v>87</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2174</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2169</v>
      </c>
      <c r="S81" s="43" t="s">
        <v>87</v>
      </c>
      <c r="T81" s="43" t="s">
        <v>87</v>
      </c>
      <c r="U81" s="115" t="s">
        <v>87</v>
      </c>
      <c r="V81" s="69" t="s">
        <v>87</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2169</v>
      </c>
      <c r="S84" s="169" t="s">
        <v>87</v>
      </c>
      <c r="T84" s="169" t="s">
        <v>87</v>
      </c>
      <c r="U84" s="91" t="s">
        <v>87</v>
      </c>
      <c r="V84" s="69" t="s">
        <v>87</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2169</v>
      </c>
      <c r="S85" s="169" t="s">
        <v>87</v>
      </c>
      <c r="T85" s="169" t="s">
        <v>87</v>
      </c>
      <c r="U85" s="91" t="s">
        <v>87</v>
      </c>
      <c r="V85" s="91" t="s">
        <v>87</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2169</v>
      </c>
      <c r="S86" s="43" t="s">
        <v>87</v>
      </c>
      <c r="T86" s="43" t="s">
        <v>87</v>
      </c>
      <c r="U86" s="69" t="s">
        <v>87</v>
      </c>
      <c r="V86" s="69" t="s">
        <v>87</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2169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2169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2169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2169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2169</v>
      </c>
      <c r="S91" s="69" t="s">
        <v>87</v>
      </c>
      <c r="T91" s="69" t="s">
        <v>87</v>
      </c>
      <c r="U91" s="69" t="s">
        <v>87</v>
      </c>
      <c r="V91" s="69" t="s">
        <v>87</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2169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2169</v>
      </c>
      <c r="S93" s="43" t="s">
        <v>87</v>
      </c>
      <c r="T93" s="43" t="s">
        <v>87</v>
      </c>
      <c r="U93" s="334" t="s">
        <v>87</v>
      </c>
      <c r="V93" s="69" t="s">
        <v>87</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2169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2169</v>
      </c>
      <c r="S95" s="69" t="s">
        <v>87</v>
      </c>
      <c r="T95" s="43" t="s">
        <v>87</v>
      </c>
      <c r="U95" s="69" t="s">
        <v>87</v>
      </c>
      <c r="V95" s="69" t="s">
        <v>87</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2169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2169</v>
      </c>
      <c r="S97" s="69" t="s">
        <v>87</v>
      </c>
      <c r="T97" s="69" t="s">
        <v>87</v>
      </c>
      <c r="U97" s="69" t="s">
        <v>87</v>
      </c>
      <c r="V97" s="43" t="s">
        <v>87</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2169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2169</v>
      </c>
      <c r="S99" s="43" t="s">
        <v>87</v>
      </c>
      <c r="T99" s="115" t="s">
        <v>87</v>
      </c>
      <c r="U99" s="148" t="s">
        <v>87</v>
      </c>
      <c r="V99" s="69" t="s">
        <v>87</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2169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2169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2169</v>
      </c>
      <c r="S102" s="43" t="s">
        <v>87</v>
      </c>
      <c r="T102" s="43" t="s">
        <v>87</v>
      </c>
      <c r="U102" s="43" t="s">
        <v>87</v>
      </c>
      <c r="V102" s="165" t="s">
        <v>87</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2169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2169</v>
      </c>
      <c r="S104" s="43" t="s">
        <v>87</v>
      </c>
      <c r="T104" s="43" t="s">
        <v>87</v>
      </c>
      <c r="U104" s="43" t="s">
        <v>87</v>
      </c>
      <c r="V104" s="139" t="s">
        <v>87</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2169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2169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2169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2169</v>
      </c>
      <c r="S108" s="43" t="s">
        <v>87</v>
      </c>
      <c r="T108" s="43" t="s">
        <v>87</v>
      </c>
      <c r="U108" s="88" t="s">
        <v>87</v>
      </c>
      <c r="V108" s="481" t="s">
        <v>87</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2169</v>
      </c>
      <c r="S109" s="43" t="s">
        <v>87</v>
      </c>
      <c r="T109" s="43" t="s">
        <v>87</v>
      </c>
      <c r="U109" s="43" t="s">
        <v>2175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2169</v>
      </c>
      <c r="S110" s="43" t="s">
        <v>87</v>
      </c>
      <c r="T110" s="43" t="s">
        <v>87</v>
      </c>
      <c r="U110" s="88" t="s">
        <v>87</v>
      </c>
      <c r="V110" s="481" t="s">
        <v>87</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2169</v>
      </c>
      <c r="S111" s="43" t="s">
        <v>87</v>
      </c>
      <c r="T111" s="43" t="s">
        <v>87</v>
      </c>
      <c r="U111" s="43" t="s">
        <v>87</v>
      </c>
      <c r="V111" s="201" t="s">
        <v>87</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2169</v>
      </c>
      <c r="S112" s="43" t="s">
        <v>87</v>
      </c>
      <c r="T112" s="43" t="s">
        <v>87</v>
      </c>
      <c r="U112" s="43" t="s">
        <v>87</v>
      </c>
      <c r="V112" s="201" t="s">
        <v>87</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2169</v>
      </c>
      <c r="S113" s="115" t="s">
        <v>87</v>
      </c>
      <c r="T113" s="43" t="s">
        <v>87</v>
      </c>
      <c r="U113" s="43" t="s">
        <v>87</v>
      </c>
      <c r="V113" s="201" t="s">
        <v>87</v>
      </c>
      <c r="W113" s="479">
        <v>45791</v>
      </c>
      <c r="X113" s="148" t="s">
        <v>2172</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2169</v>
      </c>
      <c r="S114" s="115" t="s">
        <v>87</v>
      </c>
      <c r="T114" s="43" t="s">
        <v>87</v>
      </c>
      <c r="U114" s="157" t="s">
        <v>87</v>
      </c>
      <c r="V114" s="201" t="s">
        <v>87</v>
      </c>
      <c r="W114" s="54">
        <v>45798</v>
      </c>
      <c r="X114" s="69" t="s">
        <v>2172</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2169</v>
      </c>
      <c r="S115" s="43" t="s">
        <v>87</v>
      </c>
      <c r="T115" s="43" t="s">
        <v>87</v>
      </c>
      <c r="U115" s="43" t="s">
        <v>87</v>
      </c>
      <c r="V115" s="88" t="s">
        <v>87</v>
      </c>
      <c r="W115" s="54">
        <v>45814</v>
      </c>
      <c r="X115" s="69" t="s">
        <v>2172</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2169</v>
      </c>
      <c r="S116" s="43" t="s">
        <v>87</v>
      </c>
      <c r="T116" s="43" t="s">
        <v>87</v>
      </c>
      <c r="U116" s="43" t="s">
        <v>87</v>
      </c>
      <c r="V116" s="481" t="s">
        <v>87</v>
      </c>
      <c r="W116" s="54">
        <v>45807</v>
      </c>
      <c r="X116" s="69" t="s">
        <v>2172</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2169</v>
      </c>
      <c r="S117" s="43" t="s">
        <v>87</v>
      </c>
      <c r="T117" s="43" t="s">
        <v>87</v>
      </c>
      <c r="U117" s="43" t="s">
        <v>87</v>
      </c>
      <c r="V117" s="88" t="s">
        <v>87</v>
      </c>
      <c r="W117" s="54">
        <v>45811</v>
      </c>
      <c r="X117" s="69" t="s">
        <v>2172</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2169</v>
      </c>
      <c r="S118" s="43" t="s">
        <v>87</v>
      </c>
      <c r="T118" s="43" t="s">
        <v>87</v>
      </c>
      <c r="U118" s="157" t="s">
        <v>87</v>
      </c>
      <c r="V118" s="88" t="s">
        <v>87</v>
      </c>
      <c r="W118" s="54">
        <v>45810</v>
      </c>
      <c r="X118" s="69" t="s">
        <v>2172</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2169</v>
      </c>
      <c r="S119" s="43" t="s">
        <v>87</v>
      </c>
      <c r="T119" s="43" t="s">
        <v>87</v>
      </c>
      <c r="U119" s="157" t="s">
        <v>87</v>
      </c>
      <c r="V119" s="88" t="s">
        <v>87</v>
      </c>
      <c r="W119" s="54">
        <v>45813</v>
      </c>
      <c r="X119" s="69" t="s">
        <v>2172</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2169</v>
      </c>
      <c r="S120" s="43" t="s">
        <v>87</v>
      </c>
      <c r="T120" s="43" t="s">
        <v>87</v>
      </c>
      <c r="U120" s="43" t="s">
        <v>87</v>
      </c>
      <c r="V120" s="88" t="s">
        <v>87</v>
      </c>
      <c r="W120" s="54">
        <v>45811</v>
      </c>
      <c r="X120" s="69" t="s">
        <v>2172</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2169</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2169</v>
      </c>
      <c r="S122" s="43" t="s">
        <v>87</v>
      </c>
      <c r="T122" s="43" t="s">
        <v>87</v>
      </c>
      <c r="U122" s="157" t="s">
        <v>87</v>
      </c>
      <c r="V122" s="157" t="s">
        <v>87</v>
      </c>
      <c r="W122" s="54">
        <v>45789</v>
      </c>
      <c r="X122" s="69" t="s">
        <v>2172</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2169</v>
      </c>
      <c r="S123" s="43" t="s">
        <v>87</v>
      </c>
      <c r="T123" s="43" t="s">
        <v>87</v>
      </c>
      <c r="U123" s="43" t="s">
        <v>87</v>
      </c>
      <c r="V123" s="69" t="s">
        <v>87</v>
      </c>
      <c r="W123" s="54">
        <v>45811</v>
      </c>
      <c r="X123" s="69" t="s">
        <v>2172</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2169</v>
      </c>
      <c r="S124" s="43" t="s">
        <v>87</v>
      </c>
      <c r="T124" s="43" t="s">
        <v>87</v>
      </c>
      <c r="U124" s="43" t="s">
        <v>2175</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2169</v>
      </c>
      <c r="S125" s="43" t="s">
        <v>87</v>
      </c>
      <c r="T125" s="43" t="s">
        <v>87</v>
      </c>
      <c r="U125" s="43" t="s">
        <v>87</v>
      </c>
      <c r="V125" s="43" t="s">
        <v>87</v>
      </c>
      <c r="W125" s="54">
        <v>45814</v>
      </c>
      <c r="X125" s="69" t="s">
        <v>2172</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2169</v>
      </c>
      <c r="S126" s="43" t="s">
        <v>87</v>
      </c>
      <c r="T126" s="43" t="s">
        <v>87</v>
      </c>
      <c r="U126" s="43" t="s">
        <v>87</v>
      </c>
      <c r="V126" s="88" t="s">
        <v>87</v>
      </c>
      <c r="W126" s="54">
        <v>45819</v>
      </c>
      <c r="X126" s="69" t="s">
        <v>2172</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2169</v>
      </c>
      <c r="S127" s="43" t="s">
        <v>87</v>
      </c>
      <c r="T127" s="43" t="s">
        <v>87</v>
      </c>
      <c r="U127" s="43" t="s">
        <v>87</v>
      </c>
      <c r="V127" s="88" t="s">
        <v>87</v>
      </c>
      <c r="W127" s="54">
        <v>45812</v>
      </c>
      <c r="X127" s="69" t="s">
        <v>2172</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2169</v>
      </c>
      <c r="S128" s="43" t="s">
        <v>87</v>
      </c>
      <c r="T128" s="43" t="s">
        <v>87</v>
      </c>
      <c r="U128" s="43" t="s">
        <v>87</v>
      </c>
      <c r="V128" s="88" t="s">
        <v>87</v>
      </c>
      <c r="W128" s="166">
        <v>45883</v>
      </c>
      <c r="X128" s="69" t="s">
        <v>2172</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2169</v>
      </c>
      <c r="S129" s="43" t="s">
        <v>87</v>
      </c>
      <c r="T129" s="115" t="s">
        <v>87</v>
      </c>
      <c r="U129" s="115" t="s">
        <v>87</v>
      </c>
      <c r="V129" s="88" t="s">
        <v>87</v>
      </c>
      <c r="W129" s="166">
        <v>45814</v>
      </c>
      <c r="X129" s="69" t="s">
        <v>2172</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2169</v>
      </c>
      <c r="S130" s="43" t="s">
        <v>87</v>
      </c>
      <c r="T130" s="43" t="s">
        <v>87</v>
      </c>
      <c r="U130" s="43" t="s">
        <v>87</v>
      </c>
      <c r="V130" s="88" t="s">
        <v>87</v>
      </c>
      <c r="W130" s="54">
        <v>45798</v>
      </c>
      <c r="X130" s="69" t="s">
        <v>2172</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2169</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2169</v>
      </c>
      <c r="S132" s="43" t="s">
        <v>87</v>
      </c>
      <c r="T132" s="43" t="s">
        <v>87</v>
      </c>
      <c r="U132" s="43" t="s">
        <v>87</v>
      </c>
      <c r="V132" s="43" t="s">
        <v>87</v>
      </c>
      <c r="W132" s="54">
        <v>45820</v>
      </c>
      <c r="X132" s="69" t="s">
        <v>2172</v>
      </c>
      <c r="Y132" t="e">
        <f>VLOOKUP(A132,#REF!,2,FALSE)</f>
        <v>#REF!</v>
      </c>
    </row>
    <row r="133" spans="1:25" ht="15" customHeight="1">
      <c r="A133" s="358" t="s">
        <v>770</v>
      </c>
      <c r="B133" s="406" t="s">
        <v>50</v>
      </c>
      <c r="C133" s="367">
        <v>45742</v>
      </c>
      <c r="D133" s="419" t="s">
        <v>2176</v>
      </c>
      <c r="E133" s="361"/>
      <c r="F133" s="361"/>
      <c r="G133" s="361"/>
      <c r="H133" s="361">
        <v>38</v>
      </c>
      <c r="I133" s="360"/>
      <c r="J133" s="361" t="s">
        <v>57</v>
      </c>
      <c r="K133" s="361" t="s">
        <v>57</v>
      </c>
      <c r="L133" s="361" t="s">
        <v>63</v>
      </c>
      <c r="M133" s="49" t="s">
        <v>87</v>
      </c>
      <c r="N133" s="49" t="s">
        <v>87</v>
      </c>
      <c r="O133" s="54">
        <v>45701</v>
      </c>
      <c r="P133" s="30" t="s">
        <v>87</v>
      </c>
      <c r="Q133" s="69" t="s">
        <v>87</v>
      </c>
      <c r="R133" s="43" t="s">
        <v>2169</v>
      </c>
      <c r="S133" s="43" t="s">
        <v>87</v>
      </c>
      <c r="T133" s="43" t="s">
        <v>87</v>
      </c>
      <c r="U133" s="43" t="s">
        <v>87</v>
      </c>
      <c r="V133" s="69" t="s">
        <v>87</v>
      </c>
      <c r="W133" s="54">
        <v>45821</v>
      </c>
      <c r="X133" s="69" t="s">
        <v>2172</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2169</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2169</v>
      </c>
      <c r="S135" s="43" t="s">
        <v>87</v>
      </c>
      <c r="T135" s="43" t="s">
        <v>87</v>
      </c>
      <c r="U135" s="157" t="s">
        <v>87</v>
      </c>
      <c r="V135" s="43" t="s">
        <v>87</v>
      </c>
      <c r="W135" s="54">
        <v>45819</v>
      </c>
      <c r="X135" s="69" t="s">
        <v>2172</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2169</v>
      </c>
      <c r="S136" s="43" t="s">
        <v>87</v>
      </c>
      <c r="T136" s="43" t="s">
        <v>87</v>
      </c>
      <c r="U136" s="43" t="s">
        <v>87</v>
      </c>
      <c r="V136" s="43" t="s">
        <v>87</v>
      </c>
      <c r="W136" s="54">
        <v>45791</v>
      </c>
      <c r="X136" s="69" t="s">
        <v>2172</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2169</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2169</v>
      </c>
      <c r="S138" s="43" t="s">
        <v>87</v>
      </c>
      <c r="T138" s="43" t="s">
        <v>87</v>
      </c>
      <c r="U138" s="43" t="s">
        <v>87</v>
      </c>
      <c r="V138" s="43" t="s">
        <v>87</v>
      </c>
      <c r="W138" s="54">
        <v>45790</v>
      </c>
      <c r="X138" s="69" t="s">
        <v>2172</v>
      </c>
      <c r="Y138" t="e">
        <f>VLOOKUP(A138,#REF!,2,FALSE)</f>
        <v>#REF!</v>
      </c>
    </row>
    <row r="139" spans="1:25" ht="15" customHeight="1">
      <c r="A139" s="358" t="s">
        <v>2177</v>
      </c>
      <c r="B139" s="182" t="s">
        <v>50</v>
      </c>
      <c r="C139" s="408">
        <v>45742</v>
      </c>
      <c r="D139" s="361" t="s">
        <v>2178</v>
      </c>
      <c r="E139" s="521"/>
      <c r="F139" s="361"/>
      <c r="G139" s="361"/>
      <c r="H139" s="361">
        <v>87</v>
      </c>
      <c r="I139" s="360"/>
      <c r="J139" s="361" t="s">
        <v>57</v>
      </c>
      <c r="K139" s="361" t="s">
        <v>57</v>
      </c>
      <c r="L139" s="361" t="s">
        <v>63</v>
      </c>
      <c r="M139" s="49" t="s">
        <v>87</v>
      </c>
      <c r="N139" s="30" t="s">
        <v>87</v>
      </c>
      <c r="O139" s="30" t="s">
        <v>87</v>
      </c>
      <c r="P139" s="30" t="s">
        <v>87</v>
      </c>
      <c r="Q139" s="43" t="s">
        <v>87</v>
      </c>
      <c r="R139" s="43" t="s">
        <v>2169</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2169</v>
      </c>
      <c r="S140" s="43" t="s">
        <v>87</v>
      </c>
      <c r="T140" s="43" t="s">
        <v>87</v>
      </c>
      <c r="U140" s="88" t="s">
        <v>87</v>
      </c>
      <c r="V140" s="69" t="s">
        <v>87</v>
      </c>
      <c r="W140" s="54">
        <v>45819</v>
      </c>
      <c r="X140" s="69" t="s">
        <v>2172</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2169</v>
      </c>
      <c r="S141" s="43" t="s">
        <v>87</v>
      </c>
      <c r="T141" s="43" t="s">
        <v>87</v>
      </c>
      <c r="U141" s="88" t="s">
        <v>87</v>
      </c>
      <c r="V141" s="88" t="s">
        <v>87</v>
      </c>
      <c r="W141" s="54">
        <v>45811</v>
      </c>
      <c r="X141" s="69" t="s">
        <v>2172</v>
      </c>
      <c r="Y141" t="e">
        <f>VLOOKUP(A141,#REF!,2,FALSE)</f>
        <v>#REF!</v>
      </c>
    </row>
    <row r="142" spans="1:25" ht="15" customHeight="1">
      <c r="A142" s="358" t="s">
        <v>2179</v>
      </c>
      <c r="B142" s="406" t="s">
        <v>50</v>
      </c>
      <c r="C142" s="408">
        <v>45742</v>
      </c>
      <c r="D142" s="361" t="s">
        <v>2180</v>
      </c>
      <c r="E142" s="521"/>
      <c r="F142" s="361"/>
      <c r="G142" s="361"/>
      <c r="H142" s="361">
        <v>87</v>
      </c>
      <c r="I142" s="360"/>
      <c r="J142" s="361" t="s">
        <v>57</v>
      </c>
      <c r="K142" s="361" t="s">
        <v>57</v>
      </c>
      <c r="L142" s="361" t="s">
        <v>63</v>
      </c>
      <c r="M142" s="49" t="s">
        <v>87</v>
      </c>
      <c r="N142" s="49" t="s">
        <v>87</v>
      </c>
      <c r="O142" s="195">
        <v>45691</v>
      </c>
      <c r="P142" s="30" t="s">
        <v>87</v>
      </c>
      <c r="Q142" s="69" t="s">
        <v>87</v>
      </c>
      <c r="R142" s="43" t="s">
        <v>2169</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2169</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2172</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2169</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2169</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2169</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2169</v>
      </c>
      <c r="S153" s="43" t="s">
        <v>87</v>
      </c>
      <c r="T153" s="157" t="s">
        <v>87</v>
      </c>
      <c r="U153" s="157" t="s">
        <v>87</v>
      </c>
      <c r="V153" s="43" t="s">
        <v>87</v>
      </c>
      <c r="W153" s="54">
        <v>45807</v>
      </c>
      <c r="X153" s="69" t="s">
        <v>2172</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2169</v>
      </c>
      <c r="S154" s="43" t="s">
        <v>87</v>
      </c>
      <c r="T154" s="157" t="s">
        <v>87</v>
      </c>
      <c r="U154" s="157" t="s">
        <v>87</v>
      </c>
      <c r="V154" s="43" t="s">
        <v>87</v>
      </c>
      <c r="W154" s="166">
        <v>45792</v>
      </c>
      <c r="X154" s="148" t="s">
        <v>2172</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2169</v>
      </c>
      <c r="S155" s="43" t="s">
        <v>87</v>
      </c>
      <c r="T155" s="43" t="s">
        <v>87</v>
      </c>
      <c r="U155" s="157" t="s">
        <v>87</v>
      </c>
      <c r="V155" s="43" t="s">
        <v>87</v>
      </c>
      <c r="W155" s="356">
        <v>45821</v>
      </c>
      <c r="X155" s="69" t="s">
        <v>2172</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2169</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2150</v>
      </c>
      <c r="E157" s="704"/>
      <c r="F157" s="419"/>
      <c r="G157" s="419"/>
      <c r="H157" s="419">
        <v>79</v>
      </c>
      <c r="I157" s="360"/>
      <c r="J157" s="361" t="s">
        <v>57</v>
      </c>
      <c r="K157" s="553" t="s">
        <v>57</v>
      </c>
      <c r="L157" s="361" t="s">
        <v>63</v>
      </c>
      <c r="M157" s="195">
        <v>45735</v>
      </c>
      <c r="N157" s="30" t="s">
        <v>64</v>
      </c>
      <c r="O157" s="54">
        <v>45737</v>
      </c>
      <c r="P157" s="49" t="s">
        <v>64</v>
      </c>
      <c r="Q157" s="69" t="s">
        <v>64</v>
      </c>
      <c r="R157" s="69" t="s">
        <v>2169</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2169</v>
      </c>
      <c r="S158" s="43" t="s">
        <v>87</v>
      </c>
      <c r="T158" s="43" t="s">
        <v>87</v>
      </c>
      <c r="U158" s="157" t="s">
        <v>87</v>
      </c>
      <c r="V158" s="157" t="s">
        <v>87</v>
      </c>
      <c r="W158" s="356">
        <v>45817</v>
      </c>
      <c r="X158" s="69" t="s">
        <v>2172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2172</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2172</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2172</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2172</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2182</v>
      </c>
      <c r="C1" s="1460"/>
      <c r="D1" s="558"/>
      <c r="E1" s="1460" t="s">
        <v>2183</v>
      </c>
      <c r="F1" s="1460"/>
    </row>
    <row r="2" spans="1:25">
      <c r="B2" s="44" t="s">
        <v>2184</v>
      </c>
      <c r="E2" s="44" t="s">
        <v>22</v>
      </c>
      <c r="F2" t="s">
        <v>1081</v>
      </c>
      <c r="P2" s="44" t="s">
        <v>27</v>
      </c>
      <c r="Q2" t="s">
        <v>2185</v>
      </c>
    </row>
    <row r="3" spans="1:25">
      <c r="B3" s="44" t="s">
        <v>22</v>
      </c>
      <c r="C3" t="s">
        <v>1087</v>
      </c>
      <c r="K3" s="44" t="s">
        <v>2186</v>
      </c>
      <c r="L3" t="s">
        <v>2187</v>
      </c>
      <c r="P3" s="44" t="s">
        <v>2186</v>
      </c>
      <c r="Q3" t="s">
        <v>2187</v>
      </c>
    </row>
    <row r="4" spans="1:25">
      <c r="B4" t="s">
        <v>129</v>
      </c>
      <c r="C4">
        <v>69424</v>
      </c>
      <c r="E4" s="44" t="s">
        <v>2184</v>
      </c>
      <c r="F4" t="s">
        <v>1087</v>
      </c>
      <c r="W4" t="s">
        <v>2188</v>
      </c>
      <c r="X4">
        <v>22</v>
      </c>
    </row>
    <row r="5" spans="1:25">
      <c r="B5" t="s">
        <v>85</v>
      </c>
      <c r="C5">
        <v>28636</v>
      </c>
      <c r="E5" t="s">
        <v>1087</v>
      </c>
      <c r="F5">
        <v>160466</v>
      </c>
      <c r="K5" s="44" t="s">
        <v>2189</v>
      </c>
      <c r="P5" s="44" t="s">
        <v>2189</v>
      </c>
      <c r="W5" t="s">
        <v>2190</v>
      </c>
      <c r="X5">
        <v>13</v>
      </c>
    </row>
    <row r="6" spans="1:25">
      <c r="B6" t="s">
        <v>1114</v>
      </c>
      <c r="C6">
        <v>208773</v>
      </c>
      <c r="K6" s="44" t="s">
        <v>27</v>
      </c>
      <c r="L6" s="44" t="s">
        <v>2191</v>
      </c>
      <c r="M6" t="s">
        <v>1087</v>
      </c>
      <c r="P6" s="44" t="s">
        <v>2192</v>
      </c>
      <c r="Q6" s="44" t="s">
        <v>2191</v>
      </c>
      <c r="R6" t="s">
        <v>1087</v>
      </c>
    </row>
    <row r="7" spans="1:25">
      <c r="B7" t="s">
        <v>51</v>
      </c>
      <c r="C7">
        <v>446</v>
      </c>
      <c r="K7" t="s">
        <v>2185</v>
      </c>
      <c r="L7" t="s">
        <v>547</v>
      </c>
      <c r="M7">
        <v>1</v>
      </c>
      <c r="P7" t="s">
        <v>2193</v>
      </c>
      <c r="R7">
        <v>1</v>
      </c>
      <c r="X7" t="s">
        <v>2194</v>
      </c>
      <c r="Y7" t="s">
        <v>2195</v>
      </c>
    </row>
    <row r="8" spans="1:25">
      <c r="B8" t="s">
        <v>22</v>
      </c>
      <c r="C8">
        <v>0</v>
      </c>
      <c r="L8" t="s">
        <v>549</v>
      </c>
      <c r="M8">
        <v>1</v>
      </c>
      <c r="P8" t="s">
        <v>2196</v>
      </c>
      <c r="R8">
        <v>1</v>
      </c>
      <c r="V8" t="s">
        <v>2197</v>
      </c>
      <c r="W8" s="257">
        <v>203521</v>
      </c>
      <c r="X8" s="313">
        <f>X5/X4</f>
        <v>0.59090909090909094</v>
      </c>
      <c r="Y8" s="313">
        <f>W9/W8</f>
        <v>0.31446386367991508</v>
      </c>
    </row>
    <row r="9" spans="1:25">
      <c r="B9" t="s">
        <v>221</v>
      </c>
      <c r="C9">
        <v>7128</v>
      </c>
      <c r="L9" t="s">
        <v>2198</v>
      </c>
      <c r="M9">
        <v>1</v>
      </c>
      <c r="P9" t="s">
        <v>2199</v>
      </c>
      <c r="Q9" t="s">
        <v>2198</v>
      </c>
      <c r="R9">
        <v>1</v>
      </c>
      <c r="V9" t="s">
        <v>2200</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2201</v>
      </c>
      <c r="R12">
        <v>1</v>
      </c>
    </row>
    <row r="13" spans="1:25">
      <c r="B13" t="s">
        <v>178</v>
      </c>
      <c r="C13">
        <v>3</v>
      </c>
      <c r="L13" t="s">
        <v>2202</v>
      </c>
      <c r="M13">
        <v>1</v>
      </c>
      <c r="Q13" t="s">
        <v>896</v>
      </c>
      <c r="R13">
        <v>1</v>
      </c>
    </row>
    <row r="14" spans="1:25">
      <c r="B14" t="s">
        <v>67</v>
      </c>
      <c r="C14">
        <v>3796</v>
      </c>
      <c r="L14" t="s">
        <v>735</v>
      </c>
      <c r="M14">
        <v>1</v>
      </c>
      <c r="P14" t="s">
        <v>2203</v>
      </c>
      <c r="R14">
        <v>5</v>
      </c>
    </row>
    <row r="15" spans="1:25">
      <c r="B15" t="s">
        <v>60</v>
      </c>
      <c r="C15">
        <v>10847</v>
      </c>
      <c r="L15" t="s">
        <v>2201</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2204</v>
      </c>
      <c r="M21">
        <v>1</v>
      </c>
    </row>
    <row r="22" spans="2:13">
      <c r="L22" t="s">
        <v>896</v>
      </c>
      <c r="M22">
        <v>1</v>
      </c>
    </row>
    <row r="23" spans="2:13">
      <c r="L23" t="s">
        <v>783</v>
      </c>
      <c r="M23">
        <v>1</v>
      </c>
    </row>
    <row r="24" spans="2:13">
      <c r="L24" t="s">
        <v>806</v>
      </c>
      <c r="M24">
        <v>1</v>
      </c>
    </row>
    <row r="25" spans="2:13">
      <c r="L25" t="s">
        <v>174</v>
      </c>
      <c r="M25">
        <v>1</v>
      </c>
    </row>
    <row r="26" spans="2:13">
      <c r="K26" t="s">
        <v>2205</v>
      </c>
      <c r="M26">
        <v>19</v>
      </c>
    </row>
    <row r="27" spans="2:13">
      <c r="K27" t="s">
        <v>2206</v>
      </c>
      <c r="L27" t="s">
        <v>729</v>
      </c>
      <c r="M27">
        <v>1</v>
      </c>
    </row>
    <row r="28" spans="2:13">
      <c r="L28" t="s">
        <v>731</v>
      </c>
      <c r="M28">
        <v>1</v>
      </c>
    </row>
    <row r="29" spans="2:13">
      <c r="L29" t="s">
        <v>733</v>
      </c>
      <c r="M29">
        <v>1</v>
      </c>
    </row>
    <row r="30" spans="2:13">
      <c r="L30" t="s">
        <v>749</v>
      </c>
      <c r="M30">
        <v>1</v>
      </c>
    </row>
    <row r="31" spans="2:13">
      <c r="L31" t="s">
        <v>753</v>
      </c>
      <c r="M31">
        <v>1</v>
      </c>
    </row>
    <row r="32" spans="2:13">
      <c r="L32" t="s">
        <v>2207</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2208</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2209</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538</v>
      </c>
      <c r="Y3" s="261" t="s">
        <v>2220</v>
      </c>
      <c r="Z3" s="312" t="s">
        <v>2221</v>
      </c>
    </row>
    <row r="4" spans="1:26" ht="15.75" thickBot="1">
      <c r="A4" s="121" t="s">
        <v>77</v>
      </c>
      <c r="B4" s="102" t="s">
        <v>50</v>
      </c>
      <c r="C4" s="77">
        <v>45807</v>
      </c>
      <c r="D4" s="268"/>
      <c r="E4" s="269" t="s">
        <v>2222</v>
      </c>
      <c r="F4" s="268"/>
      <c r="G4" s="270" t="s">
        <v>2185</v>
      </c>
      <c r="H4" s="268"/>
      <c r="I4" s="268"/>
      <c r="J4" s="271"/>
      <c r="K4" s="205"/>
      <c r="L4" s="205"/>
      <c r="M4" s="205"/>
      <c r="N4" s="272"/>
      <c r="O4" s="273"/>
      <c r="P4" s="274" t="s">
        <v>2223</v>
      </c>
      <c r="Q4" s="275" t="s">
        <v>82</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82</v>
      </c>
      <c r="R5" s="131" t="s">
        <v>2224</v>
      </c>
      <c r="S5" s="131"/>
      <c r="T5" s="276"/>
      <c r="U5" s="277"/>
      <c r="V5" s="277"/>
      <c r="W5" s="277"/>
      <c r="X5" s="277"/>
      <c r="Y5" s="277"/>
      <c r="Z5" t="e">
        <f>VLOOKUP(A5,#REF!,9,FALSE)</f>
        <v>#REF!</v>
      </c>
    </row>
    <row r="6" spans="1:26" ht="15.75" thickBot="1">
      <c r="A6" s="121" t="s">
        <v>1111</v>
      </c>
      <c r="B6" s="102" t="s">
        <v>50</v>
      </c>
      <c r="C6" s="215">
        <v>45807</v>
      </c>
      <c r="D6" s="268"/>
      <c r="E6" s="269" t="s">
        <v>2222</v>
      </c>
      <c r="F6" s="268"/>
      <c r="G6" s="270" t="s">
        <v>2185</v>
      </c>
      <c r="H6" s="268"/>
      <c r="I6" s="268"/>
      <c r="J6" s="279"/>
      <c r="K6" s="205"/>
      <c r="L6" s="205"/>
      <c r="M6" s="205"/>
      <c r="N6" s="272"/>
      <c r="O6" s="273"/>
      <c r="P6" s="274" t="s">
        <v>2223</v>
      </c>
      <c r="Q6" s="275" t="s">
        <v>82</v>
      </c>
      <c r="R6" s="131" t="s">
        <v>2224</v>
      </c>
      <c r="S6" s="131"/>
      <c r="T6" s="276"/>
      <c r="U6" s="277"/>
      <c r="V6" s="277"/>
      <c r="W6" s="277"/>
      <c r="X6" s="277"/>
      <c r="Y6" s="277"/>
      <c r="Z6" t="e">
        <f>VLOOKUP(A6,#REF!,9,FALSE)</f>
        <v>#REF!</v>
      </c>
    </row>
    <row r="7" spans="1:26" ht="15.75" thickBot="1">
      <c r="A7" s="121" t="s">
        <v>1128</v>
      </c>
      <c r="B7" s="102" t="s">
        <v>50</v>
      </c>
      <c r="C7" s="215">
        <v>45807</v>
      </c>
      <c r="D7" s="268"/>
      <c r="E7" s="269" t="s">
        <v>2222</v>
      </c>
      <c r="F7" s="268"/>
      <c r="G7" s="270" t="s">
        <v>2185</v>
      </c>
      <c r="H7" s="268"/>
      <c r="I7" s="268"/>
      <c r="J7" s="279"/>
      <c r="K7" s="205"/>
      <c r="L7" s="205"/>
      <c r="M7" s="205"/>
      <c r="N7" s="272"/>
      <c r="O7" s="273"/>
      <c r="P7" s="274" t="s">
        <v>2223</v>
      </c>
      <c r="Q7" s="275" t="s">
        <v>82</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1136</v>
      </c>
      <c r="B9" s="102" t="s">
        <v>50</v>
      </c>
      <c r="C9" s="215">
        <v>45807</v>
      </c>
      <c r="D9" s="280"/>
      <c r="E9" s="269" t="s">
        <v>2222</v>
      </c>
      <c r="F9" s="280"/>
      <c r="G9" s="281" t="s">
        <v>2185</v>
      </c>
      <c r="H9" s="268"/>
      <c r="I9" s="268"/>
      <c r="J9" s="279"/>
      <c r="K9" s="205"/>
      <c r="L9" s="205"/>
      <c r="M9" s="205"/>
      <c r="N9" s="272"/>
      <c r="O9" s="273"/>
      <c r="P9" s="274" t="s">
        <v>2223</v>
      </c>
      <c r="Q9" s="275" t="s">
        <v>82</v>
      </c>
      <c r="R9" s="131" t="s">
        <v>2224</v>
      </c>
      <c r="S9" s="131"/>
      <c r="T9" s="276"/>
      <c r="U9" s="277"/>
      <c r="V9" s="277"/>
      <c r="W9" s="277"/>
      <c r="X9" s="277"/>
      <c r="Y9" s="277"/>
      <c r="Z9" t="e">
        <f>VLOOKUP(A9,#REF!,9,FALSE)</f>
        <v>#REF!</v>
      </c>
    </row>
    <row r="10" spans="1:26" ht="15.75" thickBot="1">
      <c r="A10" s="121" t="s">
        <v>1113</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527</v>
      </c>
      <c r="B11" s="102" t="s">
        <v>50</v>
      </c>
      <c r="C11" s="215">
        <v>45807</v>
      </c>
      <c r="D11" s="282"/>
      <c r="E11" s="269" t="s">
        <v>2222</v>
      </c>
      <c r="F11" s="282"/>
      <c r="G11" s="283" t="s">
        <v>2185</v>
      </c>
      <c r="H11" s="230"/>
      <c r="I11" s="230"/>
      <c r="J11" s="45"/>
      <c r="K11" s="204"/>
      <c r="L11" s="204"/>
      <c r="M11" s="204"/>
      <c r="N11" s="284"/>
      <c r="O11" s="285"/>
      <c r="P11" s="274" t="s">
        <v>2223</v>
      </c>
      <c r="Q11" s="275" t="s">
        <v>82</v>
      </c>
      <c r="R11" s="131" t="s">
        <v>2224</v>
      </c>
      <c r="S11" s="131"/>
      <c r="T11" s="276"/>
      <c r="U11" s="277"/>
      <c r="V11" s="277"/>
      <c r="W11" s="277"/>
      <c r="X11" s="277"/>
      <c r="Y11" s="277"/>
      <c r="Z11" t="e">
        <f>VLOOKUP(A11,#REF!,9,FALSE)</f>
        <v>#REF!</v>
      </c>
    </row>
    <row r="12" spans="1:26" ht="15.75" thickBot="1">
      <c r="A12" s="121" t="s">
        <v>1108</v>
      </c>
      <c r="B12" s="102" t="s">
        <v>50</v>
      </c>
      <c r="C12" s="215" t="e">
        <v>#N/A</v>
      </c>
      <c r="D12" s="282"/>
      <c r="E12" s="269" t="s">
        <v>2222</v>
      </c>
      <c r="F12" s="282"/>
      <c r="G12" s="283" t="s">
        <v>2185</v>
      </c>
      <c r="H12" s="230"/>
      <c r="I12" s="230"/>
      <c r="J12" s="45"/>
      <c r="K12" s="204"/>
      <c r="L12" s="204"/>
      <c r="M12" s="204"/>
      <c r="N12" s="284"/>
      <c r="O12" s="285"/>
      <c r="P12" s="274" t="s">
        <v>2223</v>
      </c>
      <c r="Q12" s="275" t="s">
        <v>82</v>
      </c>
      <c r="R12" s="131" t="s">
        <v>2224</v>
      </c>
      <c r="S12" s="131"/>
      <c r="T12" s="276"/>
      <c r="U12" s="277"/>
      <c r="V12" s="277"/>
      <c r="W12" s="277"/>
      <c r="X12" s="277"/>
      <c r="Y12" s="277"/>
      <c r="Z12" t="e">
        <f>VLOOKUP(A12,#REF!,9,FALSE)</f>
        <v>#REF!</v>
      </c>
    </row>
    <row r="13" spans="1:26" ht="15.75" thickBot="1">
      <c r="A13" s="121" t="s">
        <v>1134</v>
      </c>
      <c r="B13" s="102" t="s">
        <v>50</v>
      </c>
      <c r="C13" s="215" t="e">
        <v>#N/A</v>
      </c>
      <c r="D13" s="282"/>
      <c r="E13" s="269" t="s">
        <v>2222</v>
      </c>
      <c r="F13" s="282"/>
      <c r="G13" s="283" t="s">
        <v>2185</v>
      </c>
      <c r="H13" s="230"/>
      <c r="I13" s="230"/>
      <c r="J13" s="45"/>
      <c r="K13" s="204"/>
      <c r="L13" s="204"/>
      <c r="M13" s="204"/>
      <c r="N13" s="284"/>
      <c r="O13" s="285"/>
      <c r="P13" s="274" t="s">
        <v>2223</v>
      </c>
      <c r="Q13" s="275" t="s">
        <v>82</v>
      </c>
      <c r="R13" s="131" t="s">
        <v>2224</v>
      </c>
      <c r="S13" s="131"/>
      <c r="T13" s="276"/>
      <c r="U13" s="277"/>
      <c r="V13" s="277"/>
      <c r="W13" s="277"/>
      <c r="X13" s="277"/>
      <c r="Y13" s="277"/>
      <c r="Z13" t="e">
        <f>VLOOKUP(A13,#REF!,9,FALSE)</f>
        <v>#REF!</v>
      </c>
    </row>
    <row r="14" spans="1:26" ht="15.75" thickBot="1">
      <c r="A14" s="278" t="s">
        <v>523</v>
      </c>
      <c r="B14" s="102" t="s">
        <v>50</v>
      </c>
      <c r="C14" s="215">
        <v>45807</v>
      </c>
      <c r="D14" s="282"/>
      <c r="E14" s="269" t="s">
        <v>2222</v>
      </c>
      <c r="F14" s="282"/>
      <c r="G14" s="283" t="s">
        <v>2185</v>
      </c>
      <c r="H14" s="230"/>
      <c r="I14" s="230"/>
      <c r="J14" s="45"/>
      <c r="K14" s="204"/>
      <c r="L14" s="204"/>
      <c r="M14" s="204"/>
      <c r="N14" s="284"/>
      <c r="O14" s="285"/>
      <c r="P14" s="274" t="s">
        <v>2223</v>
      </c>
      <c r="Q14" s="275" t="s">
        <v>82</v>
      </c>
      <c r="R14" s="131" t="s">
        <v>2224</v>
      </c>
      <c r="S14" s="131"/>
      <c r="T14" s="276"/>
      <c r="U14" s="277"/>
      <c r="V14" s="277"/>
      <c r="W14" s="277"/>
      <c r="X14" s="277"/>
      <c r="Y14" s="277"/>
      <c r="Z14" t="e">
        <f>VLOOKUP(A14,#REF!,9,FALSE)</f>
        <v>#REF!</v>
      </c>
    </row>
    <row r="15" spans="1:26" ht="15.75" thickBot="1">
      <c r="A15" s="121" t="s">
        <v>1112</v>
      </c>
      <c r="B15" s="102" t="s">
        <v>50</v>
      </c>
      <c r="C15" s="215" t="e">
        <v>#N/A</v>
      </c>
      <c r="D15" s="282"/>
      <c r="E15" s="269" t="s">
        <v>2222</v>
      </c>
      <c r="F15" s="282"/>
      <c r="G15" s="283" t="s">
        <v>2185</v>
      </c>
      <c r="H15" s="230"/>
      <c r="I15" s="230"/>
      <c r="J15" s="45"/>
      <c r="K15" s="204"/>
      <c r="L15" s="204"/>
      <c r="M15" s="204"/>
      <c r="N15" s="284"/>
      <c r="O15" s="285"/>
      <c r="P15" s="274" t="s">
        <v>2223</v>
      </c>
      <c r="Q15" s="275" t="s">
        <v>82</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82</v>
      </c>
      <c r="R16" s="131" t="s">
        <v>2224</v>
      </c>
      <c r="S16" s="131"/>
      <c r="T16" s="276"/>
      <c r="U16" s="277"/>
      <c r="V16" s="277"/>
      <c r="W16" s="277"/>
      <c r="X16" s="277"/>
      <c r="Y16" s="277"/>
      <c r="Z16" t="e">
        <f>VLOOKUP(A16,#REF!,9,FALSE)</f>
        <v>#REF!</v>
      </c>
    </row>
    <row r="17" spans="1:26" ht="15.75" thickBot="1">
      <c r="A17" s="275" t="s">
        <v>806</v>
      </c>
      <c r="B17" s="102" t="s">
        <v>50</v>
      </c>
      <c r="C17" s="215" t="e">
        <v>#N/A</v>
      </c>
      <c r="D17" s="282"/>
      <c r="E17" s="269" t="s">
        <v>2187</v>
      </c>
      <c r="F17" s="282"/>
      <c r="G17" s="283" t="s">
        <v>2185</v>
      </c>
      <c r="H17" s="230"/>
      <c r="I17" s="230"/>
      <c r="J17" s="45"/>
      <c r="K17" s="204"/>
      <c r="L17" s="204"/>
      <c r="M17" s="204"/>
      <c r="N17" s="284"/>
      <c r="O17" s="285"/>
      <c r="P17" s="274"/>
      <c r="Q17" s="275" t="s">
        <v>82</v>
      </c>
      <c r="R17" s="131" t="s">
        <v>2224</v>
      </c>
      <c r="S17" s="131"/>
      <c r="T17" s="276"/>
      <c r="U17" s="277"/>
      <c r="V17" s="277"/>
      <c r="W17" s="277"/>
      <c r="X17" s="277"/>
      <c r="Y17" s="277"/>
      <c r="Z17" t="e">
        <f>VLOOKUP(A17,#REF!,9,FALSE)</f>
        <v>#REF!</v>
      </c>
    </row>
    <row r="18" spans="1:26" ht="15.75" thickBot="1">
      <c r="A18" s="275" t="s">
        <v>783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786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729</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731</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713</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717</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720</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896</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749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753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741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735</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737</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733</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743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747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751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89</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84</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530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80</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547</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549</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174</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599</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593</v>
      </c>
      <c r="B49" s="102" t="s">
        <v>109</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591</v>
      </c>
      <c r="B50" s="102" t="s">
        <v>109</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597</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573</v>
      </c>
      <c r="B52" s="102" t="s">
        <v>109</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575</v>
      </c>
      <c r="B53" s="102" t="s">
        <v>109</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571</v>
      </c>
      <c r="B54" s="102" t="s">
        <v>109</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623</v>
      </c>
      <c r="B55" s="102" t="s">
        <v>109</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126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109</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22" t="s">
        <v>571</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22" t="s">
        <v>573</v>
      </c>
      <c r="B59" s="102" t="s">
        <v>109</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23" t="s">
        <v>575</v>
      </c>
      <c r="B60" s="102" t="s">
        <v>109</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1087</v>
      </c>
      <c r="B73" s="301">
        <f>SUM(B70:B72)</f>
        <v>0</v>
      </c>
      <c r="C73" s="279"/>
    </row>
    <row r="80" spans="1:25">
      <c r="A80" t="s">
        <v>2237</v>
      </c>
    </row>
    <row r="81" spans="1:1">
      <c r="A81" t="s">
        <v>2238</v>
      </c>
    </row>
    <row r="82" spans="1:1">
      <c r="A82" t="s">
        <v>2223</v>
      </c>
    </row>
    <row r="83" spans="1:1">
      <c r="A83" t="s">
        <v>2239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37CFE1E-D2B2-4E59-8555-B9CE6F5D901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2026-01-15T23:11:47Z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