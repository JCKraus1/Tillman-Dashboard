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966" documentId="8_{E14B221E-02E2-46A3-8CEC-C736815F2DD5}" xr6:coauthVersionLast="47" xr6:coauthVersionMax="47" xr10:uidLastSave="{824C7D62-A22B-45D2-B6FC-AD20A9760C1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419" r:id="rId12"/>
    <pivotCache cacheId="4420" r:id="rId13"/>
    <pivotCache cacheId="4421" r:id="rId14"/>
    <pivotCache cacheId="4422" r:id="rId15"/>
    <pivotCache cacheId="442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2" i="30" l="1"/>
  <c r="U161" i="30"/>
  <c r="U164" i="30"/>
  <c r="U160" i="30"/>
  <c r="U163" i="30"/>
  <c r="Y49" i="32"/>
  <c r="X49" i="32"/>
  <c r="X37" i="2"/>
  <c r="Y4" i="32"/>
  <c r="X4" i="32"/>
  <c r="Y34" i="32"/>
  <c r="X34" i="32"/>
  <c r="Y33" i="32"/>
  <c r="X33" i="32"/>
  <c r="Y15" i="32"/>
  <c r="X15" i="32"/>
  <c r="Y39" i="32"/>
  <c r="X39" i="32"/>
  <c r="Y32" i="32"/>
  <c r="X32" i="32"/>
  <c r="Y18" i="32"/>
  <c r="X18" i="32"/>
  <c r="Y54" i="31"/>
  <c r="X54"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7" i="30"/>
  <c r="Y11" i="32"/>
  <c r="X11" i="32"/>
  <c r="Y122" i="2"/>
  <c r="Y123" i="2"/>
  <c r="Y124" i="2"/>
  <c r="Y125" i="2"/>
  <c r="Y126" i="2"/>
  <c r="Y127" i="2"/>
  <c r="Y128" i="2"/>
  <c r="Y129" i="2"/>
  <c r="Y130" i="2"/>
  <c r="Y131" i="2"/>
  <c r="Y132" i="2"/>
  <c r="Y133" i="2"/>
  <c r="Y48" i="31"/>
  <c r="X48" i="31"/>
  <c r="Y41" i="2"/>
  <c r="X41" i="2"/>
  <c r="Y45" i="31"/>
  <c r="X45" i="31"/>
  <c r="Y28" i="31"/>
  <c r="X28" i="31"/>
  <c r="Y49" i="31"/>
  <c r="X49" i="31"/>
  <c r="Y47" i="31"/>
  <c r="X47" i="31"/>
  <c r="Y42" i="31"/>
  <c r="X42" i="31"/>
  <c r="X58" i="2"/>
  <c r="Y58" i="2"/>
  <c r="Y72" i="2"/>
  <c r="X72" i="2"/>
  <c r="Y82" i="2"/>
  <c r="X82" i="2"/>
  <c r="Y30" i="32"/>
  <c r="X30" i="32"/>
  <c r="Y16" i="31"/>
  <c r="X16" i="31"/>
  <c r="U132" i="30"/>
  <c r="Y29" i="32"/>
  <c r="X29" i="32"/>
  <c r="Y20" i="32"/>
  <c r="X20" i="32"/>
  <c r="X46" i="31"/>
  <c r="Y46" i="31"/>
  <c r="X44" i="31"/>
  <c r="Y44" i="31"/>
  <c r="X40" i="31"/>
  <c r="Y40" i="31"/>
  <c r="X102" i="2"/>
  <c r="X103" i="2"/>
  <c r="X104" i="2"/>
  <c r="X105" i="2"/>
  <c r="X106" i="2"/>
  <c r="X107" i="2"/>
  <c r="X108" i="2"/>
  <c r="X109" i="2"/>
  <c r="U42" i="30"/>
  <c r="U146" i="30"/>
  <c r="X31" i="32"/>
  <c r="Y31" i="32"/>
  <c r="X20" i="31"/>
  <c r="Y20" i="31"/>
  <c r="Y87" i="2"/>
  <c r="X87" i="2"/>
  <c r="X37" i="32"/>
  <c r="Y37" i="32"/>
  <c r="X29" i="31"/>
  <c r="Y29" i="31"/>
  <c r="X15" i="31"/>
  <c r="Y15" i="31"/>
  <c r="X24" i="31"/>
  <c r="Y24" i="31"/>
  <c r="Y34" i="2"/>
  <c r="X34" i="2"/>
  <c r="Y41" i="31"/>
  <c r="X41" i="31"/>
  <c r="Y38" i="31"/>
  <c r="X38" i="31"/>
  <c r="Y17" i="31"/>
  <c r="X17" i="31"/>
  <c r="Y25" i="31"/>
  <c r="X25" i="31"/>
  <c r="Y26" i="32"/>
  <c r="X26" i="32"/>
  <c r="Y36" i="31"/>
  <c r="X36" i="31"/>
  <c r="Y81" i="2"/>
  <c r="X81" i="2"/>
  <c r="T31" i="8"/>
  <c r="U31" i="8"/>
  <c r="T29" i="8"/>
  <c r="U29" i="8"/>
  <c r="Y38" i="32"/>
  <c r="X38" i="32"/>
  <c r="Y43" i="31"/>
  <c r="X43" i="31"/>
  <c r="Y35" i="31"/>
  <c r="X35" i="31"/>
  <c r="Y19" i="31"/>
  <c r="X19" i="31"/>
  <c r="Y2" i="32"/>
  <c r="X2" i="32"/>
  <c r="Y76" i="2"/>
  <c r="X76" i="2"/>
  <c r="Y103" i="2"/>
  <c r="X75" i="2"/>
  <c r="Y75" i="2"/>
  <c r="Y28" i="32"/>
  <c r="X28" i="32"/>
  <c r="Y27" i="32"/>
  <c r="X27" i="32"/>
  <c r="Y43" i="32"/>
  <c r="X43" i="32"/>
  <c r="X52" i="31"/>
  <c r="Y52" i="31"/>
  <c r="Y49" i="2"/>
  <c r="X49" i="2"/>
  <c r="Y6" i="31"/>
  <c r="X6" i="31"/>
  <c r="Y23" i="31"/>
  <c r="X23" i="31"/>
  <c r="Y105" i="2"/>
  <c r="Y106" i="2"/>
  <c r="Y107" i="2"/>
  <c r="Y108" i="2"/>
  <c r="Y109" i="2"/>
  <c r="X86" i="2"/>
  <c r="Y86" i="2"/>
  <c r="Y31" i="31"/>
  <c r="X31" i="31"/>
  <c r="Y22" i="2"/>
  <c r="X22" i="2"/>
  <c r="Y39" i="31"/>
  <c r="X39" i="31"/>
  <c r="Y37" i="31"/>
  <c r="X37"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7"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6" i="30"/>
  <c r="Y7" i="32"/>
  <c r="X7" i="32"/>
  <c r="X41" i="32"/>
  <c r="Y41" i="32"/>
  <c r="X51" i="2"/>
  <c r="X57" i="2"/>
  <c r="Y57" i="2"/>
  <c r="U129"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3" i="31"/>
  <c r="X53" i="31"/>
  <c r="Y51" i="31"/>
  <c r="X51" i="31"/>
  <c r="Y50" i="31"/>
  <c r="X50" i="31"/>
  <c r="Y9" i="31"/>
  <c r="X9" i="31"/>
  <c r="Y12" i="31"/>
  <c r="X12" i="31"/>
  <c r="Y11" i="31"/>
  <c r="X11" i="31"/>
  <c r="Y10" i="31"/>
  <c r="X10" i="31"/>
  <c r="Y4" i="31"/>
  <c r="X4" i="31"/>
  <c r="Y2" i="31"/>
  <c r="X2" i="31"/>
  <c r="Y3" i="31"/>
  <c r="X3" i="31"/>
  <c r="U140" i="30"/>
  <c r="U135" i="30"/>
  <c r="Y180" i="30"/>
  <c r="X180" i="30"/>
  <c r="Y179" i="30"/>
  <c r="X179" i="30"/>
  <c r="Y176" i="30"/>
  <c r="X176" i="30"/>
  <c r="Y175" i="30"/>
  <c r="X175" i="30"/>
  <c r="Y174" i="30"/>
  <c r="X174" i="30"/>
  <c r="Y173" i="30"/>
  <c r="X173" i="30"/>
  <c r="Y172" i="30"/>
  <c r="X172" i="30"/>
  <c r="Y171" i="30"/>
  <c r="X171" i="30"/>
  <c r="Y170" i="30"/>
  <c r="X170" i="30"/>
  <c r="U126" i="30"/>
  <c r="U134" i="30"/>
  <c r="U149" i="30"/>
  <c r="U147" i="30"/>
  <c r="U148" i="30"/>
  <c r="U128" i="30"/>
  <c r="U133" i="30"/>
  <c r="U152" i="30"/>
  <c r="U153" i="30"/>
  <c r="U154" i="30"/>
  <c r="U155" i="30"/>
  <c r="U15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6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6" authorId="26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7" authorId="26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7" authorId="26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8" authorId="26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8" authorId="26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9" authorId="27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9" authorId="27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0" authorId="27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0" authorId="27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1" authorId="27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1" authorId="27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2" authorId="27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2" authorId="27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3" authorId="27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3" authorId="27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4" authorId="28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4" authorId="28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4" authorId="28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5" authorId="28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5" authorId="28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6" authorId="28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6" authorId="28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7" authorId="28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7" authorId="28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8" authorId="28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9" authorId="29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9" authorId="29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1" authorId="29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2" authorId="29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2" authorId="29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3" authorId="29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29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29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5" authorId="30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7" authorId="30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7" authorId="30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7" authorId="30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8" authorId="3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8" authorId="3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9" authorId="30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9" authorId="30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0" authorId="31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0" authorId="31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1" authorId="31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1" authorId="31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2" authorId="3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2" authorId="3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3" authorId="3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3" authorId="3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4" authorId="3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4" authorId="3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4" authorId="3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4" authorId="3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5" authorId="3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5" authorId="3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5" authorId="3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6" authorId="3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6" authorId="3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7" authorId="3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7" authorId="3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8" authorId="32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3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9" authorId="33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<sst xmlns="http://schemas.openxmlformats.org/spreadsheetml/2006/main" count="17066" uniqueCount="2217">
  <si>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</si>
  <si>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</si>
  <si>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</si>
  <si>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</si>
  <si>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</si>
  <si>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</si>
  <si>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</si>
  <si>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</si>
  <si>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</si>
  <si>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</si>
  <si>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</si>
  <si>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</si>
  <si>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</si>
  <si>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</si>
  <si>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</si>
  <si>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</si>
  <si>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</si>
  <si>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</si>
  <si>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</si>
  <si>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</si>
  <si>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</si>
  <si>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</si>
  <si>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</si>
  <si>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</si>
  <si>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</si>
  <si>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</si>
  <si>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</si>
  <si>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</si>
  <si>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</si>
  <si>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</si>
  <si>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</si>
  <si>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</si>
  <si>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</si>
  <si>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</si>
  <si>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</si>
  <si>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</si>
  <si>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</si>
  <si>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</si>
  <si>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</si>
  <si>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</si>
  <si>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</si>
  <si>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</si>
  <si>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</si>
  <si>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</si>
  <si>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</si>
  <si>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</si>
  <si>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</si>
  <si>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</si>
  <si>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</si>
  <si>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</si>
  <si>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</si>
  <si>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</si>
  <si>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</si>
  <si>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</si>
  <si>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</si>
  <si>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</si>
  <si>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</si>
  <si>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</si>
  <si>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</si>
  <si>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</si>
  <si>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</si>
  <si>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</si>
  <si>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</si>
  <si>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</si>
  <si>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</si>
  <si>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</si>
  <si>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</si>
  <si>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</si>
  <si>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</si>
  <si>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</si>
  <si>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</si>
  <si>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</si>
  <si>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</si>
  <si>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</si>
  <si>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</si>
  <si>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</si>
  <si>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</si>
  <si>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</si>
  <si>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</si>
  <si>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</si>
  <si>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</si>
  <si>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</si>
  <si>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</si>
  <si>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</si>
  <si>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</si>
  <si>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</si>
  <si>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</si>
  <si>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</si>
  <si>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</si>
  <si>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</si>
  <si>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</si>
  <si>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</si>
  <si>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</si>
  <si>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</si>
  <si>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</si>
  <si>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</si>
  <si>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</si>
  <si>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</si>
  <si>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</si>
  <si>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</si>
  <si>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</si>
  <si>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</si>
  <si>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</si>
  <si>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</si>
  <si>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</si>
  <si>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</si>
  <si>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</si>
  <si>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</si>
  <si>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</si>
  <si>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</si>
  <si>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</si>
  <si>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</si>
  <si>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</si>
  <si>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</si>
  <si>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</si>
  <si>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</si>
  <si>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</si>
  <si>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</si>
  <si>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</si>
  <si>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</si>
  <si>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</si>
  <si>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</si>
  <si>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</si>
  <si>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</si>
  <si>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</si>
  <si>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</si>
  <si>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</si>
  <si>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</si>
  <si>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</si>
  <si>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</si>
  <si>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</si>
  <si>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</si>
  <si>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</si>
  <si>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</si>
  <si>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</si>
  <si>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</si>
  <si>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</si>
  <si>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</si>
  <si>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</si>
  <si>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</si>
  <si>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</si>
  <si>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</si>
  <si>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</si>
  <si>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</si>
  <si>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</si>
  <si>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</si>
  <si>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</si>
  <si>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</si>
  <si>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</si>
  <si>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</si>
  <si>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</si>
  <si>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</si>
  <si>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</si>
  <si>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</si>
  <si>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</si>
  <si>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</si>
  <si>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</si>
  <si>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</si>
  <si>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</si>
  <si>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</si>
  <si>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</si>
  <si>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</si>
  <si>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</si>
  <si>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</si>
  <si>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</si>
  <si>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</si>
  <si>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</si>
  <si>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</si>
  <si>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</si>
  <si>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</si>
  <si>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</si>
  <si>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</si>
  <si>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</si>
  <si>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</si>
  <si>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</si>
  <si>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</si>
  <si>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</si>
  <si>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</si>
  <si>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</si>
  <si>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</si>
  <si>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</si>
  <si>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</si>
  <si>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</si>
  <si>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</si>
  <si>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</si>
  <si>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</si>
  <si>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</si>
  <si>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</si>
  <si>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</si>
  <si>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</si>
  <si>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</si>
  <si>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</si>
  <si>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</si>
  <si>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</si>
  <si>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</si>
  <si>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</si>
  <si>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</si>
  <si>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</si>
  <si>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</si>
  <si>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</si>
  <si>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</si>
  <si>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</si>
  <si>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</si>
  <si>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</si>
  <si>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</si>
  <si>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</si>
  <si>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</si>
  <si>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</si>
  <si>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</si>
  <si>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</si>
  <si>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</si>
  <si>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</si>
  <si>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</si>
  <si>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</si>
  <si>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</si>
  <si>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</si>
  <si>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</si>
  <si>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</si>
  <si>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</si>
  <si>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</si>
  <si>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</si>
  <si>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</si>
  <si>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</si>
  <si>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</si>
  <si>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</si>
  <si>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</si>
  <si>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</si>
  <si>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</si>
  <si>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</si>
  <si>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</si>
  <si>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</si>
  <si>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</si>
  <si>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</si>
  <si>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</si>
  <si>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</si>
  <si>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</si>
  <si>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</si>
  <si>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</si>
  <si>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</si>
  <si>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</si>
  <si>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</si>
  <si>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</si>
  <si>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</si>
  <si>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</si>
  <si>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</si>
  <si>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</si>
  <si>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</si>
  <si>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</si>
  <si>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</si>
  <si>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</si>
  <si>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</si>
  <si>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</si>
  <si>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</si>
  <si>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</si>
  <si>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</si>
  <si>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</si>
  <si>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</si>
  <si>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</si>
  <si>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</si>
  <si>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</si>
  <si>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</si>
  <si>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</si>
  <si>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</si>
  <si>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</si>
  <si>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</si>
  <si>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</si>
  <si>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</si>
  <si>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</si>
  <si>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</si>
  <si>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</si>
  <si>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</si>
  <si>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</si>
  <si>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</si>
  <si>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</si>
  <si>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</si>
  <si>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</si>
  <si>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</si>
  <si>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</si>
  <si>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</si>
  <si>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</si>
  <si>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</si>
  <si>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</si>
  <si>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</si>
  <si>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</si>
  <si>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</si>
  <si>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</si>
  <si>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</si>
  <si>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</si>
  <si>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</si>
  <si>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</si>
  <si>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</si>
  <si>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</si>
  <si>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</si>
  <si>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</si>
  <si>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</si>
  <si>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</si>
  <si>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</si>
  <si>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</si>
  <si>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</si>
  <si>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</si>
  <si>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</si>
  <si>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</si>
  <si>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</si>
  <si>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</si>
  <si>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</si>
  <si>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</si>
  <si>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</si>
  <si>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</si>
  <si>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</si>
  <si>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</si>
  <si>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</si>
  <si>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</si>
  <si>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</si>
  <si>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</si>
  <si>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</si>
  <si>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</si>
  <si>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</si>
  <si>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</si>
  <si>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</si>
  <si>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</si>
  <si>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</si>
  <si>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</si>
  <si>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</si>
  <si>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</si>
  <si>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</si>
  <si>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</si>
  <si>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</si>
  <si>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</si>
  <si>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</si>
  <si>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</si>
  <si>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</si>
  <si>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</si>
  <si>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</si>
  <si>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</si>
  <si>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</si>
  <si>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</si>
  <si>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</si>
  <si>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</si>
  <si>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</si>
  <si>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</si>
  <si>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</si>
  <si>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</si>
  <si>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</si>
  <si>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</si>
  <si>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</si>
  <si>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</si>
  <si>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</si>
  <si>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</si>
  <si>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</si>
  <si>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</si>
  <si>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</si>
  <si>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</si>
  <si>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</si>
  <si>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</si>
  <si>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</si>
  <si>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</si>
  <si>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</si>
  <si>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</si>
  <si>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</si>
  <si>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</si>
  <si>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</si>
  <si>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</si>
  <si>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</si>
  <si>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</si>
  <si>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</si>
  <si>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</si>
  <si>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</si>
  <si>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</si>
  <si>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</si>
  <si>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</si>
  <si>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</si>
  <si>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</si>
  <si>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</si>
  <si>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</si>
  <si>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</si>
  <si>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</si>
  <si>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</si>
  <si>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</si>
  <si>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</si>
  <si>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</si>
  <si>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</si>
  <si>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</si>
  <si>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</si>
  <si>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</si>
  <si>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</si>
  <si>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</si>
  <si>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</si>
  <si>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</si>
  <si>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</si>
  <si>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</si>
  <si>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</si>
  <si>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</si>
  <si>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</si>
  <si>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</si>
  <si>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</si>
  <si>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</si>
  <si>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</si>
  <si>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</si>
  <si>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</si>
  <si>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</si>
  <si>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</si>
  <si>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</si>
  <si>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</si>
  <si>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</si>
  <si>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</si>
  <si>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</si>
  <si>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</si>
  <si>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</si>
  <si>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</si>
  <si>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</si>
  <si>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</si>
  <si>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</si>
  <si>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</si>
  <si>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</si>
  <si>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</si>
  <si>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</si>
  <si>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</si>
  <si>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</si>
  <si>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</si>
  <si>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</si>
  <si>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</si>
  <si>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</si>
  <si>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</si>
  <si>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</si>
  <si>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</si>
  <si>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</si>
  <si>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</si>
  <si>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</si>
  <si>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</si>
  <si>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</si>
  <si>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</si>
  <si>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</si>
  <si>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</si>
  <si>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</si>
  <si>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</si>
  <si>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</si>
  <si>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</si>
  <si>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</si>
  <si>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</si>
  <si>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</si>
  <si>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</si>
  <si>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</si>
  <si>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</si>
  <si>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</si>
  <si>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</si>
  <si>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</si>
  <si>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</si>
  <si>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</si>
  <si>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</si>
  <si>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</si>
  <si>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</si>
  <si>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</si>
  <si>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</si>
  <si>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</si>
  <si>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</si>
  <si>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</si>
  <si>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</si>
  <si>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</si>
  <si>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</si>
  <si>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</si>
  <si>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</si>
  <si>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</si>
  <si>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</si>
  <si>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</si>
  <si>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</si>
  <si>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</si>
  <si>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</si>
  <si>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</si>
  <si>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</si>
  <si>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</si>
  <si>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</si>
  <si>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</si>
  <si>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</si>
  <si>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</si>
  <si>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</si>
  <si>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</si>
  <si>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</si>
  <si>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</si>
  <si>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</si>
  <si>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</si>
  <si>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</si>
  <si>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</si>
  <si>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</si>
  <si>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</si>
  <si>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</si>
  <si>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</si>
  <si>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</si>
  <si>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</si>
  <si>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</si>
  <si>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</si>
  <si>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</si>
  <si>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</si>
  <si>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</si>
  <si>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</si>
  <si>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</si>
  <si>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</si>
  <si>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</si>
  <si>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</si>
  <si>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</si>
  <si>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</si>
  <si>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</si>
  <si>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</si>
  <si>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</si>
  <si>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</si>
  <si>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</si>
  <si>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</si>
  <si>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</si>
  <si>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</si>
  <si>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</si>
  <si>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</si>
  <si>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</si>
  <si>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</si>
  <si>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</si>
  <si>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</si>
  <si>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</si>
  <si>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</si>
  <si>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</si>
  <si>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</si>
  <si>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</si>
  <si>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</si>
  <si>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</si>
  <si>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</si>
  <si>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</si>
  <si>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</si>
  <si>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</si>
  <si>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</si>
  <si>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</si>
  <si>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</si>
  <si>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</si>
  <si>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</si>
  <si>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</si>
  <si>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</si>
  <si>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</si>
  <si>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</si>
  <si>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</si>
  <si>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</si>
  <si>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</si>
  <si>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</si>
  <si>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</si>
  <si>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</si>
  <si>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</si>
  <si>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</si>
  <si>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</si>
  <si>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</si>
  <si>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</si>
  <si>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</si>
  <si>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</si>
  <si>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</si>
  <si>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</si>
  <si>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</si>
  <si>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</si>
  <si>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</si>
  <si>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</si>
  <si>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</si>
  <si>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</si>
  <si>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</si>
  <si>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</si>
  <si>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</si>
  <si>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</si>
  <si>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</si>
  <si>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</si>
  <si>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</si>
  <si>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</si>
  <si>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</si>
  <si>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</si>
  <si>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</si>
  <si>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</si>
  <si>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</si>
  <si>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</si>
  <si>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</si>
  <si>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</si>
  <si>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</si>
  <si>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</si>
  <si>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</si>
  <si>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</si>
  <si>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</si>
  <si>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</si>
  <si>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</si>
  <si>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</si>
  <si>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</si>
  <si>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</si>
  <si>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</si>
  <si>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</si>
  <si>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</si>
  <si>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</si>
  <si>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</si>
  <si>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</si>
  <si>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</si>
  <si>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</si>
  <si>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</si>
  <si>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</si>
  <si>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</si>
  <si>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</si>
  <si>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</si>
  <si>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</si>
  <si>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</si>
  <si>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</si>
  <si>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</si>
  <si>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</si>
  <si>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</si>
  <si>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</si>
  <si>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</si>
  <si>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</si>
  <si>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</si>
  <si>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</si>
  <si>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</si>
  <si>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</si>
  <si>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</si>
  <si>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</si>
  <si>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</si>
  <si>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</si>
  <si>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</si>
  <si>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</si>
  <si>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</si>
  <si>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</si>
  <si>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</si>
  <si>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</si>
  <si>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</si>
  <si>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</si>
  <si>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</si>
  <si>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</si>
  <si>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</si>
  <si>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</si>
  <si>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</si>
  <si>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</si>
  <si>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</si>
  <si>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</si>
  <si>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</si>
  <si>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</si>
  <si>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</si>
  <si>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</si>
  <si>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</si>
  <si>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</si>
  <si>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</si>
  <si>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</si>
  <si>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</si>
  <si>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</si>
  <si>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</si>
  <si>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</si>
  <si>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</si>
  <si>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</si>
  <si>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</si>
  <si>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</si>
  <si>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</si>
  <si>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</si>
  <si>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</si>
  <si>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</si>
  <si>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</si>
  <si>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</si>
  <si>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</si>
  <si>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</si>
  <si>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</si>
  <si>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</si>
  <si>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</si>
  <si>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</si>
  <si>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</si>
  <si>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</si>
  <si>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</si>
  <si>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</si>
  <si>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</si>
  <si>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</si>
  <si>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</si>
  <si>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</si>
  <si>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</si>
  <si>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</si>
  <si>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</si>
  <si>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</si>
  <si>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</si>
  <si>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</si>
  <si>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</si>
  <si>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</si>
  <si>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</si>
  <si>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</si>
  <si>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</si>
  <si>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</si>
  <si>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</si>
  <si>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</si>
  <si>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</si>
  <si>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</si>
  <si>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</si>
  <si>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</si>
  <si>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</si>
  <si>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</si>
  <si>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</si>
  <si>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</si>
  <si>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</si>
  <si>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</si>
  <si>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</si>
  <si>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</si>
  <si>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</si>
  <si>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</si>
  <si>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</si>
  <si>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</si>
  <si>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</si>
  <si>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</si>
  <si>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</si>
  <si>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</si>
  <si>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</si>
  <si>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</si>
  <si>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</si>
  <si>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</si>
  <si>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</si>
  <si>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</si>
  <si>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</si>
  <si>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</si>
  <si>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</si>
  <si>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</si>
  <si>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</si>
  <si>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</si>
  <si>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</si>
  <si>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</si>
  <si>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</si>
  <si>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</si>
  <si>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</si>
  <si>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</si>
  <si>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</si>
  <si>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</si>
  <si>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</si>
  <si>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</si>
  <si>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</si>
  <si>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</si>
  <si>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</si>
  <si>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</si>
  <si>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</si>
  <si>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</si>
  <si>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</si>
  <si>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</si>
  <si>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</si>
  <si>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</si>
  <si>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</si>
  <si>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</si>
  <si>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</si>
  <si>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</si>
  <si>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</si>
  <si>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</si>
  <si>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</si>
  <si>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</si>
  <si>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</si>
  <si>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</si>
  <si>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</si>
  <si>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</si>
  <si>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</si>
  <si>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</si>
  <si>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</si>
  <si>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</si>
  <si>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</si>
  <si>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</si>
  <si>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</si>
  <si>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</si>
  <si>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</si>
  <si>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</si>
  <si>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</si>
  <si>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</si>
  <si>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</si>
  <si>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</si>
  <si>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</si>
  <si>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</si>
  <si>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</si>
  <si>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</si>
  <si>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</si>
  <si>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</si>
  <si>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</si>
  <si>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</si>
  <si>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</si>
  <si>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</si>
  <si>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</si>
  <si>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</si>
  <si>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</si>
  <si>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</si>
  <si>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</si>
  <si>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</si>
  <si>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</si>
  <si>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</si>
  <si>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</si>
  <si>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</si>
  <si>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</si>
  <si>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</si>
  <si>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</si>
  <si>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</si>
  <si>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</si>
  <si>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</si>
  <si>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</si>
  <si>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</si>
  <si>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</si>
  <si>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</si>
  <si>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</si>
  <si>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</si>
  <si>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</si>
  <si>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</si>
  <si>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</si>
  <si>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</si>
  <si>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</si>
  <si>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</si>
  <si>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</si>
  <si>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</si>
  <si>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</si>
  <si>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</si>
  <si>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</si>
  <si>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</si>
  <si>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</si>
  <si>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</si>
  <si>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</si>
  <si>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</si>
  <si>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</si>
  <si>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</si>
  <si>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</si>
  <si>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</si>
  <si>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</si>
  <si>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</si>
  <si>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</si>
  <si>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</si>
  <si>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</si>
  <si>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</si>
  <si>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</si>
  <si>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</si>
  <si>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</si>
  <si>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</si>
  <si>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</si>
  <si>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</si>
  <si>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</si>
  <si>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</si>
  <si>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</si>
  <si>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</si>
  <si>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</si>
  <si>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</si>
  <si>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</si>
  <si>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</si>
  <si>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</si>
  <si>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</si>
  <si>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</si>
  <si>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</si>
  <si>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</si>
  <si>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</si>
  <si>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</si>
  <si>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</si>
  <si>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</si>
  <si>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</si>
  <si>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</si>
  <si>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</si>
  <si>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</si>
  <si>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</si>
  <si>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</si>
  <si>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</si>
  <si>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</si>
  <si>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</si>
  <si>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</si>
  <si>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</si>
  <si>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</si>
  <si>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</si>
  <si>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</si>
  <si>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</si>
  <si>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</si>
  <si>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</si>
  <si>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</si>
  <si>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</si>
  <si>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</si>
  <si>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</si>
  <si>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</si>
  <si>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</si>
  <si>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</si>
  <si>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</si>
  <si>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</si>
  <si>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</si>
  <si>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</si>
  <si>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</si>
  <si>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</si>
  <si>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</si>
  <si>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</si>
  <si>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</si>
  <si>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</si>
  <si>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</si>
  <si>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</si>
  <si>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</si>
  <si>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</si>
  <si>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</si>
  <si>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</si>
  <si>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</si>
  <si>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</si>
  <si>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</si>
  <si>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</si>
  <si>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</si>
  <si>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</si>
  <si>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</si>
  <si>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</si>
  <si>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</si>
  <si>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</si>
  <si>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</si>
  <si>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</si>
  <si>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</si>
  <si>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</si>
  <si>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</si>
  <si>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</si>
  <si>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</si>
  <si>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</si>
  <si>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</si>
  <si>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</si>
  <si>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</si>
  <si>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</si>
  <si>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</si>
  <si>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</si>
  <si>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</si>
  <si>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</si>
  <si>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</si>
  <si>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</si>
  <si>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</si>
  <si>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</si>
  <si>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</si>
  <si>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</si>
  <si>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</si>
  <si>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</si>
  <si>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</si>
  <si>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</si>
  <si>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</si>
  <si>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</si>
  <si>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</si>
  <si>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</si>
  <si>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</si>
  <si>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</si>
  <si>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</si>
  <si>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</si>
  <si>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</si>
  <si>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</si>
  <si>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</si>
  <si>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</si>
  <si>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</si>
  <si>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</si>
  <si>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</si>
  <si>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</si>
  <si>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</si>
  <si>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</si>
  <si>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</si>
  <si>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</si>
  <si>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</si>
  <si>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</si>
  <si>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</si>
  <si>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</si>
  <si>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</si>
  <si>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</si>
  <si>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</si>
  <si>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</si>
  <si>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</si>
  <si>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</si>
  <si>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</si>
  <si>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</si>
  <si>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</si>
  <si>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</si>
  <si>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</si>
  <si>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</si>
  <si>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</si>
  <si>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</si>
  <si>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</si>
  <si>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</si>
  <si>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</si>
  <si>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</si>
  <si>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</si>
  <si>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</si>
  <si>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</si>
  <si>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</si>
  <si>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</si>
  <si>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</si>
  <si>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</si>
  <si>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</si>
  <si>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</si>
  <si>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</si>
  <si>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</si>
  <si>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</si>
  <si>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</si>
  <si>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</si>
  <si>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</si>
  <si>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</si>
  <si>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</si>
  <si>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</si>
  <si>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</si>
  <si>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</si>
  <si>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</si>
  <si>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</si>
  <si>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</si>
  <si>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</si>
  <si>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</si>
  <si>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</si>
  <si>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</si>
  <si>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</si>
  <si>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</si>
  <si>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</si>
  <si>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</si>
  <si>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</si>
  <si>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</si>
  <si>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</si>
  <si>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</si>
  <si>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</si>
  <si>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</si>
  <si>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</si>
  <si>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</si>
  <si>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</si>
  <si>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</si>
  <si>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</si>
  <si>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</si>
  <si>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</si>
  <si>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</si>
  <si>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</si>
  <si>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</si>
  <si>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</si>
  <si>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</si>
  <si>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</si>
  <si>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</si>
  <si>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</si>
  <si>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</si>
  <si>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</si>
  <si>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</si>
  <si>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</si>
  <si>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</si>
  <si>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</si>
  <si>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</si>
  <si>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</si>
  <si>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</si>
  <si>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</si>
  <si>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</si>
  <si>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</si>
  <si>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</si>
  <si>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</si>
  <si>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</si>
  <si>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</si>
  <si>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</si>
  <si>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</si>
  <si>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</si>
  <si>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</si>
  <si>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</si>
  <si>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</si>
  <si>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</si>
  <si>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</si>
  <si>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</si>
  <si>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</si>
  <si>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</si>
  <si>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</si>
  <si>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</si>
  <si>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</si>
  <si>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</si>
  <si>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</si>
  <si>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</si>
  <si>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</si>
  <si>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</si>
  <si>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</si>
  <si>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</si>
  <si>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</si>
  <si>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</si>
  <si>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</si>
  <si>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</si>
  <si>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</si>
  <si>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</si>
  <si>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</si>
  <si>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</si>
  <si>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</si>
  <si>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</si>
  <si>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</si>
  <si>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</si>
  <si>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</si>
  <si>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</si>
  <si>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</si>
  <si>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</si>
  <si>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</si>
  <si>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</si>
  <si>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</si>
  <si>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</si>
  <si>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</si>
  <si>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</si>
  <si>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</si>
  <si>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</si>
  <si>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</si>
  <si>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</si>
  <si>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</si>
  <si>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</si>
  <si>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</si>
  <si>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</si>
  <si>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</si>
  <si>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</si>
  <si>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</si>
  <si>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</si>
  <si>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</si>
  <si>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</si>
  <si>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</si>
  <si>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</si>
  <si>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</si>
  <si>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</si>
  <si>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</si>
  <si>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</si>
  <si>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</si>
  <si>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</si>
  <si>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</si>
  <si>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</si>
  <si>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</si>
  <si>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</si>
  <si>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</si>
  <si>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</si>
  <si>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</si>
  <si>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</si>
  <si>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</si>
  <si>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</si>
  <si>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</si>
  <si>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</si>
  <si>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</si>
  <si>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</si>
  <si>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</si>
  <si>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</si>
  <si>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</si>
  <si>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</si>
  <si>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</si>
  <si>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</si>
  <si>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</si>
  <si>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</si>
  <si>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</si>
  <si>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</si>
  <si>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</si>
  <si>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</si>
  <si>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</si>
  <si>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</si>
  <si>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</si>
  <si>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</si>
  <si>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</si>
  <si>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</si>
  <si>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</si>
  <si>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</si>
  <si>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</si>
  <si>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</si>
  <si>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</si>
  <si>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</si>
  <si>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</si>
  <si>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</si>
  <si>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</si>
  <si>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</si>
  <si>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</si>
  <si>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</si>
  <si>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</si>
  <si>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</si>
  <si>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</si>
  <si>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</si>
  <si>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</si>
  <si>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</si>
  <si>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</si>
  <si>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</si>
  <si>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</si>
  <si>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</si>
  <si>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</si>
  <si>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</si>
  <si>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</si>
  <si>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</si>
  <si>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</si>
  <si>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</si>
  <si>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</si>
  <si>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</si>
  <si>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</si>
  <si>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</si>
  <si>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</si>
  <si>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</si>
  <si>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</si>
  <si>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</si>
  <si>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</si>
  <si>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</si>
  <si>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</si>
  <si>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</si>
  <si>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</si>
  <si>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</si>
  <si>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</si>
  <si>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</si>
  <si>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</si>
  <si>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</si>
  <si>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</si>
  <si>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</si>
  <si>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</si>
  <si>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</si>
  <si>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</si>
  <si>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</si>
  <si>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</si>
  <si>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</si>
  <si>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</si>
  <si>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</si>
  <si>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</si>
  <si>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</si>
  <si>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</si>
  <si>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</si>
  <si>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</si>
  <si>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</si>
  <si>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</si>
  <si>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</si>
  <si>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</si>
  <si>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</si>
  <si>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</si>
  <si>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</si>
  <si>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</si>
  <si>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</si>
  <si>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</si>
  <si>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</si>
  <si>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</si>
  <si>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</si>
  <si>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</si>
  <si>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</si>
  <si>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</si>
  <si>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</si>
  <si>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</si>
  <si>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</si>
  <si>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</si>
  <si>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</si>
  <si>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</si>
  <si>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</si>
  <si>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</si>
  <si>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</si>
  <si>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</si>
  <si>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</si>
  <si>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</si>
  <si>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</si>
  <si>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</si>
  <si>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</si>
  <si>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</si>
  <si>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</si>
  <si>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</si>
  <si>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</si>
  <si>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</si>
  <si>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</si>
  <si>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</si>
  <si>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</si>
  <si>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</si>
  <si>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</si>
  <si>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</si>
  <si>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</si>
  <si>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</si>
  <si>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</si>
  <si>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</si>
  <si>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</si>
  <si>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</si>
  <si>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</si>
  <si>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</si>
  <si>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</si>
  <si>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</si>
  <si>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</si>
  <si>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</si>
  <si>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</si>
  <si>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</si>
  <si>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</si>
  <si>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</si>
  <si>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</si>
  <si>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</si>
  <si>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</si>
  <si>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</si>
  <si>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</si>
  <si>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</si>
  <si>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</si>
  <si>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</si>
  <si>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</si>
  <si>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</si>
  <si>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</si>
  <si>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</si>
  <si>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</si>
  <si>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</si>
  <si>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</si>
  <si>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</si>
  <si>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</si>
  <si>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</si>
  <si>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</si>
  <si>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</si>
  <si>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</si>
  <si>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</si>
  <si>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</si>
  <si>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</si>
  <si>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</si>
  <si>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</si>
  <si>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</si>
  <si>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</si>
  <si>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</si>
  <si>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</si>
  <si>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</si>
  <si>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</si>
  <si>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</si>
  <si>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</si>
  <si>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</si>
  <si>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</si>
  <si>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</si>
  <si>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</si>
  <si>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</si>
  <si>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</si>
  <si>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</si>
  <si>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</si>
  <si>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</si>
  <si>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</si>
  <si>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</si>
  <si>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</si>
  <si>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</si>
  <si>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</si>
  <si>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</si>
  <si>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</si>
  <si>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</si>
  <si>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</si>
  <si>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</si>
  <si>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</si>
  <si>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</si>
  <si>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</si>
  <si>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</si>
  <si>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</si>
  <si>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</si>
  <si>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</si>
  <si>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</si>
  <si>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</si>
  <si>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</si>
  <si>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</si>
  <si>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</si>
  <si>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</si>
  <si>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</si>
  <si>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</si>
  <si>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</si>
  <si>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</si>
  <si>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</si>
  <si>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</si>
  <si>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</si>
  <si>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</si>
  <si>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</si>
  <si>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</si>
  <si>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</si>
  <si>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</si>
  <si>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</si>
  <si>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</si>
  <si>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</si>
  <si>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</si>
  <si>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</si>
  <si>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</si>
  <si>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</si>
  <si>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</si>
  <si>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</si>
  <si>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</si>
  <si>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</si>
  <si>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</si>
  <si>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</si>
  <si>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</si>
  <si>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</si>
  <si>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</si>
  <si>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</si>
  <si>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</si>
  <si>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</si>
  <si>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</si>
  <si>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</si>
  <si>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</si>
  <si>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</si>
  <si>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</si>
  <si>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</si>
  <si>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</si>
  <si>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</si>
  <si>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</si>
  <si>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</si>
  <si>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</si>
  <si>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</si>
  <si>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</si>
  <si>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</si>
  <si>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</si>
  <si>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</si>
  <si>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</si>
  <si>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</si>
  <si>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</si>
  <si>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</si>
  <si>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</si>
  <si>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</si>
  <si>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</si>
  <si>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</si>
  <si>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</si>
  <si>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</si>
  <si>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</si>
  <si>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</si>
  <si>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</si>
  <si>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</si>
  <si>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</si>
  <si>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</si>
  <si>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</si>
  <si>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</si>
  <si>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</si>
  <si>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</si>
  <si>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</si>
  <si>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</si>
  <si>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</si>
  <si>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</si>
  <si>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</si>
  <si>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</si>
  <si>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</si>
  <si>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</si>
  <si>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</si>
  <si>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</si>
  <si>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</si>
  <si>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</si>
  <si>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</si>
  <si>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</si>
  <si>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</si>
  <si>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</si>
  <si>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</si>
  <si>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</si>
  <si>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</si>
  <si>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</si>
  <si>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</si>
  <si>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</si>
  <si>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</si>
  <si>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</si>
  <si>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</si>
  <si>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</si>
  <si>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</si>
  <si>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</si>
  <si>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</si>
  <si>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</si>
  <si>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</si>
  <si>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</si>
  <si>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</si>
  <si>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</si>
  <si>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</si>
  <si>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</si>
  <si>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</si>
  <si>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</si>
  <si>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</si>
  <si>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</si>
  <si>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</si>
  <si>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</si>
  <si>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</si>
  <si>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</si>
  <si>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</si>
  <si>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</si>
  <si>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</si>
  <si>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</si>
  <si>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</si>
  <si>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</si>
  <si>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</si>
  <si>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</si>
  <si>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</si>
  <si>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</si>
  <si>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</si>
  <si>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</si>
  <si>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</si>
  <si>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</si>
  <si>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</si>
  <si>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</si>
  <si>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</si>
  <si>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</si>
  <si>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</si>
  <si>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</si>
  <si>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</si>
  <si>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</si>
  <si>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</si>
  <si>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</si>
  <si>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</si>
  <si>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</si>
  <si>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</si>
  <si>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</si>
  <si>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</si>
  <si>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</si>
  <si>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</si>
  <si>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</si>
  <si>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</si>
  <si>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</si>
  <si>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</si>
  <si>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</si>
  <si>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</si>
  <si>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</si>
  <si>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</si>
  <si>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</si>
  <si>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</si>
  <si>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</si>
  <si>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</si>
  <si>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</si>
  <si>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</si>
  <si>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</si>
  <si>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</si>
  <si>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</si>
  <si>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</si>
  <si>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</si>
  <si>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</si>
  <si>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</si>
  <si>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</si>
  <si>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</si>
  <si>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</si>
  <si>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</si>
  <si>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</si>
  <si>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</si>
  <si>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</si>
  <si>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</si>
  <si>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</si>
  <si>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</si>
  <si>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</si>
  <si>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</si>
  <si>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</si>
  <si>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</si>
  <si>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</si>
  <si>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</si>
  <si>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</si>
  <si>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</si>
  <si>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</si>
  <si>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</si>
  <si>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</si>
  <si>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</si>
  <si>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</si>
  <si>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</si>
  <si>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</si>
  <si>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</si>
  <si>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</si>
  <si>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</si>
  <si>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</si>
  <si>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</si>
  <si>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</si>
  <si>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</si>
  <si>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</si>
  <si>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</si>
  <si>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</si>
  <si>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</si>
  <si>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</si>
  <si>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</si>
  <si>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</si>
  <si>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</si>
  <si>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</si>
  <si>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</si>
  <si>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</si>
  <si>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</si>
  <si>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</si>
  <si>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</si>
  <si>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</si>
  <si>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</si>
  <si>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</si>
  <si>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</si>
  <si>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</si>
  <si>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</si>
  <si>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</si>
  <si>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</si>
  <si>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</si>
  <si>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</si>
  <si>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</si>
  <si>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</si>
  <si>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</si>
  <si>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</si>
  <si>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</si>
  <si>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</si>
  <si>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</si>
  <si>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</si>
  <si>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</si>
  <si>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</si>
  <si>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</si>
  <si>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</si>
  <si>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</si>
  <si>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</si>
  <si>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</si>
  <si>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</si>
  <si>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</si>
  <si>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</si>
  <si>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</si>
  <si>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</si>
  <si>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</si>
  <si>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</si>
  <si>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</si>
  <si>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</si>
  <si>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</si>
  <si>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</si>
  <si>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</si>
  <si>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</si>
  <si>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</si>
  <si>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</si>
  <si>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</si>
  <si>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</si>
  <si>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</si>
  <si>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</si>
  <si>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</si>
  <si>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</si>
  <si>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</si>
  <si>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</si>
  <si>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</si>
  <si>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</si>
  <si>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</si>
  <si>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</si>
  <si>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</si>
  <si>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</si>
  <si>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</si>
  <si>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</si>
  <si>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</si>
  <si>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</si>
  <si>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</si>
  <si>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</si>
  <si>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</si>
  <si>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</si>
  <si>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</si>
  <si>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</si>
  <si>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</si>
  <si>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</si>
  <si>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</si>
  <si>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</si>
  <si>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</si>
  <si>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</si>
  <si>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</si>
  <si>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</si>
  <si>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</si>
  <si>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</si>
  <si>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</si>
  <si>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</si>
  <si>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</si>
  <si>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</si>
  <si>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</si>
  <si>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</si>
  <si>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</si>
  <si>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</si>
  <si>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</si>
  <si>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</si>
  <si>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</si>
  <si>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</si>
  <si>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</si>
  <si>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</si>
  <si>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</si>
  <si>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</si>
  <si>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</si>
  <si>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</si>
  <si>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</si>
  <si>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</si>
  <si>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</si>
  <si>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</si>
  <si>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</si>
  <si>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</si>
  <si>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</si>
  <si>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</si>
  <si>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</si>
  <si>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</si>
  <si>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</si>
  <si>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</si>
  <si>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</si>
  <si>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</si>
  <si>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</si>
  <si>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</si>
  <si>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</si>
  <si>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</si>
  <si>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</si>
  <si>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</si>
  <si>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</si>
  <si>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</si>
  <si>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</si>
  <si>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</si>
  <si>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</si>
  <si>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</si>
  <si>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</si>
  <si>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</si>
  <si>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</si>
  <si>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</si>
  <si>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</si>
  <si>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</si>
  <si>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</si>
  <si>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</si>
  <si>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</si>
  <si>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</si>
  <si>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</si>
  <si>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</si>
  <si>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</si>
  <si>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</si>
  <si>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</si>
  <si>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</si>
  <si>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</si>
  <si>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</si>
  <si>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</si>
  <si>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</si>
  <si>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</si>
  <si>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</si>
  <si>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</si>
  <si>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</si>
  <si>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</si>
  <si>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</si>
  <si>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</si>
  <si>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</si>
  <si>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</si>
  <si>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</si>
  <si>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</si>
  <si>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</si>
  <si>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</si>
  <si>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</si>
  <si>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</si>
  <si>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</si>
  <si>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</si>
  <si>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</si>
  <si>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</si>
  <si>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</si>
  <si>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</si>
  <si>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</si>
  <si>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</si>
  <si>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</si>
  <si>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</si>
  <si>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</si>
  <si>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</si>
  <si>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</si>
  <si>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</si>
  <si>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</si>
  <si>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</si>
  <si>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</si>
  <si>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</si>
  <si>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</si>
  <si>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</si>
  <si>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</si>
  <si>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</si>
  <si>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</si>
  <si>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</si>
  <si>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</si>
  <si>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</si>
  <si>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</si>
  <si>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</si>
  <si>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</si>
  <si>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</si>
  <si>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</si>
  <si>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</si>
  <si>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</si>
  <si>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</si>
  <si>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</si>
  <si>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</si>
  <si>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</si>
  <si>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</si>
  <si>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</si>
  <si>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</si>
  <si>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</si>
  <si>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</si>
  <si>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</si>
  <si>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</si>
  <si>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</si>
  <si>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</si>
  <si>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</si>
  <si>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</si>
  <si>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</si>
  <si>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</si>
  <si>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</si>
  <si>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</si>
  <si>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</si>
  <si>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</si>
  <si>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</si>
  <si>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</si>
  <si>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</si>
  <si>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</si>
  <si>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</si>
  <si>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</si>
  <si>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</si>
  <si>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</si>
  <si>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</si>
  <si>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</si>
  <si>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</si>
  <si>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</si>
  <si>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</si>
  <si>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</si>
  <si>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</si>
  <si>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</si>
  <si>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</si>
  <si>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</si>
  <si>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</si>
  <si>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</si>
  <si>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</si>
  <si>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</si>
  <si>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</si>
  <si>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</si>
  <si>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</si>
  <si>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</si>
  <si>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</si>
  <si>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</si>
  <si>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</si>
  <si>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</si>
  <si>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</si>
  <si>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</si>
  <si>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</si>
  <si>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</si>
  <si>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</si>
  <si>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</si>
  <si>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</si>
  <si>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</si>
  <si>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</si>
  <si>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</si>
  <si>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</si>
  <si>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</si>
  <si>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</si>
  <si>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</si>
  <si>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</si>
  <si>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</si>
  <si>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</si>
  <si>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</si>
  <si>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</si>
  <si>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</si>
  <si>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</si>
  <si>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</si>
  <si>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</si>
  <si>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</si>
  <si>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</si>
  <si>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</si>
  <si>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</si>
  <si>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</si>
  <si>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</si>
  <si>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</si>
  <si>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</si>
  <si>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</si>
  <si>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</si>
  <si>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</si>
  <si>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</si>
  <si>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</si>
  <si>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</si>
  <si>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</si>
  <si>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</si>
  <si>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</si>
  <si>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</si>
  <si>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</si>
  <si>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</si>
  <si>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</si>
  <si>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</si>
  <si>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</si>
  <si>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</si>
  <si>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</si>
  <si>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</si>
  <si>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</si>
  <si>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</si>
  <si>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</si>
  <si>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</si>
  <si>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</si>
  <si>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</si>
  <si>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</si>
  <si>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</si>
  <si>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</si>
  <si>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</si>
  <si>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</si>
  <si>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</si>
  <si>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</si>
  <si>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</si>
  <si>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</si>
  <si>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</si>
  <si>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</si>
  <si>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</si>
  <si>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</si>
  <si>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</si>
  <si>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</si>
  <si>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</si>
  <si>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</si>
  <si>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</si>
  <si>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</si>
  <si>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</si>
  <si>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</si>
  <si>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</si>
  <si>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</si>
  <si>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</si>
  <si>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</si>
  <si>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</si>
  <si>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</si>
  <si>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</si>
  <si>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</si>
  <si>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</si>
  <si>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</si>
  <si>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</si>
  <si>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</si>
  <si>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</si>
  <si>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</si>
  <si>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</si>
  <si>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</si>
  <si>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</si>
  <si>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</si>
  <si>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</si>
  <si>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</si>
  <si>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</si>
  <si>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</si>
  <si>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</si>
  <si>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</si>
  <si>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</si>
  <si>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</si>
  <si>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</si>
  <si>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</si>
  <si>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</si>
  <si>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</si>
  <si>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</si>
  <si>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</si>
  <si>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</si>
  <si>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</si>
  <si>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</si>
  <si>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</si>
  <si>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</si>
  <si>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</si>
  <si>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</si>
  <si>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</si>
  <si>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</si>
  <si>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</si>
  <si>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</si>
  <si>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</si>
  <si>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</si>
  <si>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</si>
  <si>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</si>
  <si>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</si>
  <si>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</si>
  <si>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</si>
  <si>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</si>
  <si>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</si>
  <si>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</si>
  <si>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</si>
  <si>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</si>
  <si>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</si>
  <si>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</si>
  <si>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</si>
  <si>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</si>
  <si>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</si>
  <si>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</si>
  <si>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</si>
  <si>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</si>
  <si>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</si>
  <si>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</si>
  <si>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</si>
  <si>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</si>
  <si>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</si>
  <si>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</si>
  <si>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</si>
  <si>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</si>
  <si>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</si>
  <si>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</si>
  <si>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</si>
  <si>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</si>
  <si>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</si>
  <si>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</si>
  <si>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</si>
  <si>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</si>
  <si>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</si>
  <si>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</si>
  <si>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</si>
  <si>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</si>
  <si>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</si>
  <si>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</si>
  <si>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</si>
  <si>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</si>
  <si>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</si>
  <si>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</si>
  <si>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</si>
  <si>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</si>
  <si>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</si>
  <si>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</si>
  <si>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</si>
  <si>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</si>
  <si>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</si>
  <si>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</si>
  <si>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</si>
  <si>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</si>
  <si>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</si>
  <si>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</si>
  <si>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</si>
  <si>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</si>
  <si>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</si>
  <si>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</si>
  <si>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</si>
  <si>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</si>
  <si>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</si>
  <si>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</si>
  <si>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</si>
  <si>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</si>
  <si>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</si>
  <si>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</si>
  <si>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</si>
  <si>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</si>
  <si>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</si>
  <si>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</si>
  <si>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</si>
  <si>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</si>
  <si>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</si>
  <si>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</si>
  <si>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</si>
  <si>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</si>
  <si>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</si>
  <si>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</si>
  <si>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</si>
  <si>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</si>
  <si>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</si>
  <si>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</si>
  <si>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</si>
  <si>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</si>
  <si>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</si>
  <si>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</si>
  <si>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</si>
  <si>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</si>
  <si>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</si>
  <si>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</si>
  <si>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</si>
  <si>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</si>
  <si>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</si>
  <si>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</si>
  <si>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</si>
  <si>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</si>
  <si>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</si>
  <si>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</si>
  <si>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</si>
  <si>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</si>
  <si>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</si>
  <si>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</si>
  <si>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</si>
  <si>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</si>
  <si>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</si>
  <si>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</si>
  <si>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</si>
  <si>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</si>
  <si>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</si>
  <si>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</si>
  <si>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</si>
  <si>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</si>
  <si>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</si>
  <si>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</si>
  <si>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</si>
  <si>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</si>
  <si>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</si>
  <si>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</si>
  <si>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</si>
  <si>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</si>
  <si>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</si>
  <si>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</si>
  <si>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</si>
  <si>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</si>
  <si>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</si>
  <si>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</si>
  <si>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</si>
  <si>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</si>
  <si>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</si>
  <si>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</si>
  <si>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</si>
  <si>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</si>
  <si>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</si>
  <si>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</si>
  <si>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</si>
  <si>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</si>
  <si>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</si>
  <si>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</si>
  <si>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</si>
  <si>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</si>
  <si>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</si>
  <si>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</si>
  <si>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</si>
  <si>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</si>
  <si>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</si>
  <si>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</si>
  <si>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</si>
  <si>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</si>
  <si>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</si>
  <si>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</si>
  <si>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</si>
  <si>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</si>
  <si>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</si>
  <si>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</si>
  <si>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</si>
  <si>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</si>
  <si>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</si>
  <si>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</si>
  <si>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</si>
  <si>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</si>
  <si>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</si>
  <si>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</si>
  <si>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</si>
  <si>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</si>
  <si>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Moss Creek, SFU-MNTE-2</t>
  </si>
  <si>
    <t>2 Toby Boxes / 2 Daps / 5 Splices</t>
  </si>
  <si>
    <t>13 Toby Boxes / 11 Daps / 15 Splices</t>
  </si>
  <si>
    <t>13 Toby Boxes / 10 Daps / 79 Splices</t>
  </si>
  <si>
    <t>Hyn Enterprise</t>
  </si>
  <si>
    <t>4,912 Tracer Wire</t>
  </si>
  <si>
    <t>8 Toby Boxes / 5 Daps / 24 Splices</t>
  </si>
  <si>
    <t>1/13 CX Construction Continues--12F Stingray Installed.</t>
  </si>
  <si>
    <t>30 Toby Boxes / 19 Daps / 86 Splices</t>
  </si>
  <si>
    <t>10 Toby Boxes / 8 Daps / 20 Splices</t>
  </si>
  <si>
    <t>5 Toby Boxes / 6 Daps / 25 Splices</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</si>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</sst>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10" borderId="14" xfId="0" applyNumberFormat="1" applyFill="1" applyBorder="1" applyAlignment="1">
      <alignment horizontal="center"/>
    </xf>
    <xf numFmtId="164" fontId="0" fillId="0" borderId="25" xfId="0" applyNumberFormat="1" applyFill="1" applyBorder="1"/>
    <xf numFmtId="9" fontId="6" fillId="0" borderId="9" xfId="0" applyNumberFormat="1" applyFont="1" applyFill="1" applyBorder="1" applyAlignment="1">
      <alignment horizontal="center" wrapText="1"/>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16" fillId="0" borderId="24" xfId="0" applyNumberFormat="1" applyFont="1" applyFill="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40" fillId="0" borderId="21" xfId="0" applyFont="1" applyBorder="1"/>
    <xf numFmtId="0" fontId="54" fillId="0" borderId="21" xfId="0" applyFont="1" applyBorder="1"/>
    <xf numFmtId="0" fontId="53" fillId="0" borderId="15" xfId="0" applyFont="1" applyBorder="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4" totalsRowShown="0" headerRowDxfId="83" tableBorderDxfId="82">
  <autoFilter ref="A1:AD54"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5:AA164" totalsRowShown="0" headerRowDxfId="31" dataDxfId="30" headerRowBorderDxfId="29">
  <autoFilter ref="A125:AA164" xr:uid="{3754D8CF-035B-4624-939E-6943FE283BFD}"/>
  <sortState xmlns:xlrd2="http://schemas.microsoft.com/office/spreadsheetml/2017/richdata2" ref="A126:AA157">
    <sortCondition ref="B125:B15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6" dT="2025-07-18T18:50:00.64" personId="{79160F3F-A2CD-4B5D-ACD4-80E02EA51DFF}" id="{608D8C8C-6C66-4B67-979F-6CAC8DD9CEB8}">
    <text>7-18-2025 Confirmed Actual Completed Footage.</text>
  </threadedComment>
  <threadedComment ref="U126" dT="2025-07-18T18:49:31.62" personId="{79160F3F-A2CD-4B5D-ACD4-80E02EA51DFF}" id="{27A4E76C-3487-42A9-A264-3AA2DF4FC5A0}">
    <text>7-18-2025 Conduit Placement Confirmed Completed.</text>
  </threadedComment>
  <threadedComment ref="S127" dT="2025-12-29T19:05:08.19" personId="{79160F3F-A2CD-4B5D-ACD4-80E02EA51DFF}" id="{4EDB33E6-9AC1-42C0-9FE9-919666486722}">
    <text>12-29-2025 Confirmed Actual Completed Footage.</text>
  </threadedComment>
  <threadedComment ref="U127" dT="2025-12-29T19:06:01.27" personId="{79160F3F-A2CD-4B5D-ACD4-80E02EA51DFF}" id="{578B7F92-21DB-4A43-8B81-6CB5F5FFC2B7}">
    <text>12-29-2025 Conduit Placement Confirmed Completed.</text>
  </threadedComment>
  <threadedComment ref="S128" dT="2025-09-11T12:41:43.39" personId="{79160F3F-A2CD-4B5D-ACD4-80E02EA51DFF}" id="{978A7D16-1AC3-45AE-81AC-3FEB51E12DC6}">
    <text>9-11-2025 Confirmed Actual Completed Footage.</text>
  </threadedComment>
  <threadedComment ref="U128" dT="2025-09-11T12:42:10.74" personId="{79160F3F-A2CD-4B5D-ACD4-80E02EA51DFF}" id="{78A22408-080E-462B-ABFE-72F189E2975C}">
    <text>9-11-2025 Conduit Placement Confirmed Completed.</text>
  </threadedComment>
  <threadedComment ref="S129" dT="2025-10-31T18:52:58.95" personId="{79160F3F-A2CD-4B5D-ACD4-80E02EA51DFF}" id="{A0863B09-5994-4D45-9AA6-0B279BE2B408}">
    <text>10-31-2025 Confirmed Actual Completed Footage.</text>
  </threadedComment>
  <threadedComment ref="U129" dT="2025-10-31T18:53:27.65" personId="{79160F3F-A2CD-4B5D-ACD4-80E02EA51DFF}" id="{BB598D48-E2E6-4E76-A34E-B878E3B582D7}">
    <text>10-31-2025 Conduit Placement Confirmed Completed.</text>
  </threadedComment>
  <threadedComment ref="S130" dT="2025-10-20T16:49:49.06" personId="{79160F3F-A2CD-4B5D-ACD4-80E02EA51DFF}" id="{24811B7D-D55C-4152-B389-B8EC40AFE771}">
    <text>10-20-2025 Confirmed Actual Completed Footage.</text>
  </threadedComment>
  <threadedComment ref="U130" dT="2025-10-20T16:50:15.30" personId="{79160F3F-A2CD-4B5D-ACD4-80E02EA51DFF}" id="{23C25D0D-195E-42AA-B461-3301A1D2DE6C}">
    <text>10-20-2025 Conduit Placement Confirmed Completed.</text>
  </threadedComment>
  <threadedComment ref="S131" dT="2025-10-15T15:52:51.54" personId="{79160F3F-A2CD-4B5D-ACD4-80E02EA51DFF}" id="{8344E9AA-BAB4-4405-8729-B5226644BB64}">
    <text>10-15-2025 Confirmed Actual Completed Footage.</text>
  </threadedComment>
  <threadedComment ref="U131" dT="2025-10-15T15:59:52.73" personId="{79160F3F-A2CD-4B5D-ACD4-80E02EA51DFF}" id="{C7D4EFF2-1078-4200-BF3A-4FB4B89D5A73}">
    <text>10-15-2025 Conduit Placement Confirmed Completed.</text>
  </threadedComment>
  <threadedComment ref="S132" dT="2025-12-16T15:58:09.38" personId="{79160F3F-A2CD-4B5D-ACD4-80E02EA51DFF}" id="{8E8FDF3C-48A0-4E73-A9DB-E3C39439C595}">
    <text>12-16-2025 Confirmed Actual Completed Footage. Change Order Submitted For Additional Footage Added To Project--Approved By Tillman.</text>
  </threadedComment>
  <threadedComment ref="U132" dT="2025-12-16T15:58:42.46" personId="{79160F3F-A2CD-4B5D-ACD4-80E02EA51DFF}" id="{D1452882-3E20-4DF0-B48D-F5407BCED906}">
    <text>12-16-2025 Conduit Placement Confirmed Completed.</text>
  </threadedComment>
  <threadedComment ref="S133" dT="2025-09-17T17:53:40.58" personId="{79160F3F-A2CD-4B5D-ACD4-80E02EA51DFF}" id="{93B7186D-9E27-4279-8E29-BFF4CFBCA8E4}">
    <text>9-17-2025 Footage Changed Due To Adding Additional Conduit To Project BHZD-FWP-13-W.</text>
  </threadedComment>
  <threadedComment ref="S133" dT="2025-09-30T23:13:29.53" personId="{79160F3F-A2CD-4B5D-ACD4-80E02EA51DFF}" id="{1308E563-7F0B-4D35-89D9-96662C297BE3}" parentId="{93B7186D-9E27-4279-8E29-BFF4CFBCA8E4}">
    <text>9-30-2025 Confirmed Actual Completed Footage.</text>
  </threadedComment>
  <threadedComment ref="U133" dT="2025-09-30T23:12:28.65" personId="{79160F3F-A2CD-4B5D-ACD4-80E02EA51DFF}" id="{F6551809-F240-4B97-AABC-471215EF6CED}">
    <text>9-30-2025 Conduit Placement Confirmed Completed.</text>
  </threadedComment>
  <threadedComment ref="A134" dT="2025-08-20T12:29:15.44" personId="{79160F3F-A2CD-4B5D-ACD4-80E02EA51DFF}" id="{13BAE7E2-5330-4094-BE68-9EEC74349E59}">
    <text>8-20-2025 Pending SiteTracker Change By Tillman.</text>
  </threadedComment>
  <threadedComment ref="S134" dT="2025-07-09T12:46:05.12" personId="{79160F3F-A2CD-4B5D-ACD4-80E02EA51DFF}" id="{40B294D8-6434-46EC-A401-4A703E6E0D7B}">
    <text>7-9-2025 Confirmed Actual Completed Footage.</text>
  </threadedComment>
  <threadedComment ref="U134" dT="2025-07-09T12:46:34.67" personId="{79160F3F-A2CD-4B5D-ACD4-80E02EA51DFF}" id="{FE972BB2-5051-45E1-87A7-528E3A93A221}">
    <text>7-9-2025 Conduit Placement Confirmed Completed.</text>
  </threadedComment>
  <threadedComment ref="S135" dT="2025-10-21T16:40:00.37" personId="{79160F3F-A2CD-4B5D-ACD4-80E02EA51DFF}" id="{BD940C3C-CBF5-44BD-A56F-FB4BF98C8DE8}">
    <text/>
  </threadedComment>
  <threadedComment ref="S13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5" dT="2025-10-21T16:43:01.14" personId="{79160F3F-A2CD-4B5D-ACD4-80E02EA51DFF}" id="{43A26B05-26C4-4EAA-8E9B-9739A85687C2}" parentId="{BD940C3C-CBF5-44BD-A56F-FB4BF98C8DE8}">
    <text>10-21-2025 Confirmed Actual Completed Footage.</text>
  </threadedComment>
  <threadedComment ref="U135" dT="2025-10-21T16:40:24.93" personId="{79160F3F-A2CD-4B5D-ACD4-80E02EA51DFF}" id="{6C601E3E-113C-4820-A1E1-8FB7BB9D1FAB}">
    <text>10-21-2025 Conduit Placement Confirmed Completed.</text>
  </threadedComment>
  <threadedComment ref="S136" dT="2025-11-04T15:22:18.46" personId="{79160F3F-A2CD-4B5D-ACD4-80E02EA51DFF}" id="{ABB3E271-8BA4-4BC7-A7F7-E84D759B729F}">
    <text>11-4-2025 Confirmed Actual Completed Footage.</text>
  </threadedComment>
  <threadedComment ref="U136" dT="2025-11-04T15:23:03.54" personId="{79160F3F-A2CD-4B5D-ACD4-80E02EA51DFF}" id="{ABBEC96B-51AA-4645-B961-F045FCB350FD}">
    <text>11-4-2025 Conduit Placement Confirmed Completed.</text>
  </threadedComment>
  <threadedComment ref="S137" dT="2025-10-06T18:32:53.65" personId="{79160F3F-A2CD-4B5D-ACD4-80E02EA51DFF}" id="{CC430295-19BA-4A04-8025-99EC04ADA002}">
    <text>10-6-2025 Confirmed Actual Completed Footage.</text>
  </threadedComment>
  <threadedComment ref="U137" dT="2025-10-06T18:33:24.56" personId="{79160F3F-A2CD-4B5D-ACD4-80E02EA51DFF}" id="{E163EAC2-29B9-4E33-B6E8-B88CD2227B35}">
    <text>10-6-2025 Conduit Placement Confirmed Completed.</text>
  </threadedComment>
  <threadedComment ref="S138" dT="2025-10-10T18:00:01.74" personId="{79160F3F-A2CD-4B5D-ACD4-80E02EA51DFF}" id="{B27F1D30-D5EA-4FAE-A379-581D59357C31}">
    <text>10-10-2025 Confirmed Actual Completed Footage.</text>
  </threadedComment>
  <threadedComment ref="U138" dT="2025-10-10T18:00:31.66" personId="{79160F3F-A2CD-4B5D-ACD4-80E02EA51DFF}" id="{F69552C7-C65A-4E3C-98B0-3D447557800E}">
    <text>10-10-2025 Conduit Placement Confirmed Completed.</text>
  </threadedComment>
  <threadedComment ref="S139" dT="2025-09-11T18:39:09.67" personId="{79160F3F-A2CD-4B5D-ACD4-80E02EA51DFF}" id="{CD6A4135-AA39-4133-8A20-AA77C2F4381E}">
    <text>9-11-2025 As Per Anthony Part Of The Project Was Removed By Tillman--Approved By Jessie.</text>
  </threadedComment>
  <threadedComment ref="S139" dT="2025-10-13T18:52:15.22" personId="{79160F3F-A2CD-4B5D-ACD4-80E02EA51DFF}" id="{2953228B-BC21-4B10-A41F-48C419D1149E}" parentId="{CD6A4135-AA39-4133-8A20-AA77C2F4381E}">
    <text>10-13-2025 Confirmed Actual Completed Footage.</text>
  </threadedComment>
  <threadedComment ref="U139" dT="2025-10-13T18:52:39.58" personId="{79160F3F-A2CD-4B5D-ACD4-80E02EA51DFF}" id="{3704B04E-FA54-40B9-964E-CBF99AA84648}">
    <text>10-13-2025 Conduit Placement Confirmed Completed.</text>
  </threadedComment>
  <threadedComment ref="S14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1" dT="2025-10-09T19:35:45.28" personId="{79160F3F-A2CD-4B5D-ACD4-80E02EA51DFF}" id="{1C0B8325-BEB8-486D-9B0A-D2629FE68077}" parentId="{24419E88-4D8A-4808-B1F5-F7A663F5FAAD}">
    <text>10-9-2025 Confirmed Actual Completed Footage.</text>
  </threadedComment>
  <threadedComment ref="U141" dT="2025-10-09T19:36:15.10" personId="{79160F3F-A2CD-4B5D-ACD4-80E02EA51DFF}" id="{014350A7-C6E1-44AD-98BD-D34283335E8D}">
    <text>10-9-2025 Conduit Placement Confirmed Completed.</text>
  </threadedComment>
  <threadedComment ref="S142" dT="2025-10-14T18:46:54.81" personId="{79160F3F-A2CD-4B5D-ACD4-80E02EA51DFF}" id="{F3897203-F2FA-4AED-8E18-26CFC4F18A92}">
    <text>10-14-2025 Confirmed Actual Completed Footage.</text>
  </threadedComment>
  <threadedComment ref="U142" dT="2025-10-14T18:47:19.81" personId="{79160F3F-A2CD-4B5D-ACD4-80E02EA51DFF}" id="{29111F55-4DB2-4936-A642-D82BFFE8DF6B}">
    <text>10-14-2025 Conduit Placement Confirmed Completed.</text>
  </threadedComment>
  <threadedComment ref="S143" dT="2025-11-04T15:25:39.81" personId="{79160F3F-A2CD-4B5D-ACD4-80E02EA51DFF}" id="{72934D65-C46F-447C-B2F5-F8D0FA309AFD}">
    <text>11-4-2025 Confirmed Actual Completed Footage.</text>
  </threadedComment>
  <threadedComment ref="U143" dT="2025-11-04T15:26:16.40" personId="{79160F3F-A2CD-4B5D-ACD4-80E02EA51DFF}" id="{A807E88A-4BF4-49EF-B404-DD47EE3CCFBB}">
    <text>11-4-2025 Conduit Placement Confirmed Completed.</text>
  </threadedComment>
  <threadedComment ref="S144" dT="2025-11-03T17:47:02.16" personId="{79160F3F-A2CD-4B5D-ACD4-80E02EA51DFF}" id="{7DEC1497-1AD7-4756-8F4B-05544990BB5F}">
    <text>11-3-2025 Confirmed Actual Completed Footage.</text>
  </threadedComment>
  <threadedComment ref="U144" dT="2025-11-03T17:47:34.04" personId="{79160F3F-A2CD-4B5D-ACD4-80E02EA51DFF}" id="{AA736ABC-9AAD-4E17-906D-ABE3655970BD}">
    <text>11-3-2025 Conduit Placement Confirmed Completed.</text>
  </threadedComment>
  <threadedComment ref="S145" dT="2025-09-25T16:58:01.72" personId="{79160F3F-A2CD-4B5D-ACD4-80E02EA51DFF}" id="{6EF4CFD2-D5C0-4E02-9861-EE265A28B782}">
    <text>9-25-2025 Confirmed Actual Completed Footage.</text>
  </threadedComment>
  <threadedComment ref="U145" dT="2025-09-25T16:58:39.99" personId="{79160F3F-A2CD-4B5D-ACD4-80E02EA51DFF}" id="{1A11367F-7CF1-4290-9C7F-6A2AF57DA1CF}">
    <text>9-25-2025 Conduit Placement Confirmed Completed.</text>
  </threadedComment>
  <threadedComment ref="A147" dT="2025-08-29T14:54:16.45" personId="{79160F3F-A2CD-4B5D-ACD4-80E02EA51DFF}" id="{4A6D8137-EBD1-49D5-8E35-ED812842061C}">
    <text>8-29-2025 Fiber Splicing Completed.</text>
  </threadedComment>
  <threadedComment ref="S147" dT="2025-09-05T17:35:52.29" personId="{79160F3F-A2CD-4B5D-ACD4-80E02EA51DFF}" id="{5748F5F6-0F4D-4F37-B49C-64ED1C2679C3}">
    <text>9-4-2025 Confirmed Actual Completed Footage.</text>
  </threadedComment>
  <threadedComment ref="U147" dT="2025-09-05T17:38:14.87" personId="{79160F3F-A2CD-4B5D-ACD4-80E02EA51DFF}" id="{C91F0039-EE9E-4353-8BCE-086224178DD4}">
    <text>9-4-2025 Conduit Placement Confirmed Completed.</text>
  </threadedComment>
  <threadedComment ref="S148" dT="2025-09-08T16:57:51.38" personId="{79160F3F-A2CD-4B5D-ACD4-80E02EA51DFF}" id="{52117EF6-31E4-4888-A04E-4FEB13AA53F1}">
    <text>9-8-2025 Confirmed Actual Completed Footage.</text>
  </threadedComment>
  <threadedComment ref="U148" dT="2025-09-08T16:58:27.55" personId="{79160F3F-A2CD-4B5D-ACD4-80E02EA51DFF}" id="{3872CF74-48CD-43CE-8A6F-B150DFBDA571}">
    <text>9-8-2025 Conduit Placement Confirmed Completed.</text>
  </threadedComment>
  <threadedComment ref="S149" dT="2025-09-05T18:04:20.64" personId="{79160F3F-A2CD-4B5D-ACD4-80E02EA51DFF}" id="{71648C94-AE5A-4CBE-8964-062D8765D93E}">
    <text>9-4-2025 Confirmed Actual Completed Footage.</text>
  </threadedComment>
  <threadedComment ref="U149" dT="2025-09-05T18:04:56.31" personId="{79160F3F-A2CD-4B5D-ACD4-80E02EA51DFF}" id="{B2DFEF0E-EB7A-40F1-8DB2-053C56B0287E}">
    <text>9-4-2025 Conduit Placement Confirmed Completed.</text>
  </threadedComment>
  <threadedComment ref="S150" dT="2025-10-20T19:03:52.91" personId="{79160F3F-A2CD-4B5D-ACD4-80E02EA51DFF}" id="{8D33E686-F5D7-45B9-B025-6B684974494E}">
    <text>10-20-2025 Confirmed Actual Completed Footage.</text>
  </threadedComment>
  <threadedComment ref="U150" dT="2025-10-20T19:04:13.71" personId="{79160F3F-A2CD-4B5D-ACD4-80E02EA51DFF}" id="{E8C44D27-1ABD-45F6-AA83-A4319D8C0970}">
    <text>10-20-2025 Conduit Placement Confirmed Completed.</text>
  </threadedComment>
  <threadedComment ref="S151" dT="2025-09-25T13:43:53.24" personId="{79160F3F-A2CD-4B5D-ACD4-80E02EA51DFF}" id="{092F352F-24A5-425E-82FB-1643E38E162D}">
    <text>9-25-2025 All Rear Easement Toby Boxes Were Changed To Front Yard As Per Tillman And Skyview Management As Per Anthony.</text>
  </threadedComment>
  <threadedComment ref="S151" dT="2025-10-13T15:56:20.84" personId="{79160F3F-A2CD-4B5D-ACD4-80E02EA51DFF}" id="{FFABCF5F-19D9-4EC3-90B1-EAC7CC6F9D24}" parentId="{092F352F-24A5-425E-82FB-1643E38E162D}">
    <text>10-13-2025 Confirmed Actual Completed Footage.</text>
  </threadedComment>
  <threadedComment ref="U151" dT="2025-10-13T15:56:51.25" personId="{79160F3F-A2CD-4B5D-ACD4-80E02EA51DFF}" id="{05C2C591-F696-4C5F-8436-820D383D6963}">
    <text>10-13-2025 Conduit Placement Confirmed Completed.</text>
  </threadedComment>
  <threadedComment ref="S152" dT="2025-06-17T16:39:36.55" personId="{79160F3F-A2CD-4B5D-ACD4-80E02EA51DFF}" id="{D1852C84-14FD-4DC1-BC16-89890BB4781E}">
    <text xml:space="preserve">6-17-2025 Confirmed Actual Completed Footage. </text>
  </threadedComment>
  <threadedComment ref="U152" dT="2025-06-17T16:40:11.59" personId="{79160F3F-A2CD-4B5D-ACD4-80E02EA51DFF}" id="{3BBE86DA-5374-4D96-8579-A3B1FA92A2A9}">
    <text>6-17-2025 Conduit Placement Confirmed Completed.</text>
  </threadedComment>
  <threadedComment ref="S153" dT="2025-06-24T17:02:44.45" personId="{79160F3F-A2CD-4B5D-ACD4-80E02EA51DFF}" id="{745D7727-40D7-47F6-A2B1-BA4AB1E0BB2E}">
    <text>6-24-2025 Confirmed Actual Completed Footage.</text>
  </threadedComment>
  <threadedComment ref="U153" dT="2025-06-24T17:03:14.57" personId="{79160F3F-A2CD-4B5D-ACD4-80E02EA51DFF}" id="{2F8020AC-CF79-42FC-93FF-5B7A2960DB7C}">
    <text>6-24-2025 Conduit Placement Confirmed Completed.</text>
  </threadedComment>
  <threadedComment ref="A154" dT="2025-08-14T19:57:08.85" personId="{79160F3F-A2CD-4B5D-ACD4-80E02EA51DFF}" id="{6AB5DE0D-3B51-4FD4-9A91-1598EDB71722}">
    <text>8-14-2025 Partial Build Project As Per Tillman Email On 2-10-2025.</text>
  </threadedComment>
  <threadedComment ref="P154" dT="2025-01-29T22:16:27.08" personId="{79160F3F-A2CD-4B5D-ACD4-80E02EA51DFF}" id="{33521AA2-0B39-4641-B599-8482897CB736}">
    <text>Assigned To Barlett Fiber Per Curtis On 1/29/2025.</text>
  </threadedComment>
  <threadedComment ref="P154" dT="2025-05-29T12:42:02.77" personId="{79160F3F-A2CD-4B5D-ACD4-80E02EA51DFF}" id="{6D81CF5B-AF97-42F8-ADE1-D52FAC478536}" parentId="{33521AA2-0B39-4641-B599-8482897CB736}">
    <text>Partial Build Project Per Tillman On 2-10-2025.</text>
  </threadedComment>
  <threadedComment ref="S154" dT="2025-05-29T12:41:16.60" personId="{79160F3F-A2CD-4B5D-ACD4-80E02EA51DFF}" id="{45665442-E3C8-4B10-A5C7-C77C21BFDB56}">
    <text>Per Tillman On 2-10-2025 SOW Shows The Whole Project, But This Is To Complete The 4100ft Left On The Project. Partial Build Project.</text>
  </threadedComment>
  <threadedComment ref="S154" dT="2025-08-14T19:52:09.67" personId="{79160F3F-A2CD-4B5D-ACD4-80E02EA51DFF}" id="{EABAAA62-3798-4AD3-8733-0B979639ABDE}" parentId="{45665442-E3C8-4B10-A5C7-C77C21BFDB56}">
    <text>10-13-2025 Confirmed Actual Completed Footage.</text>
  </threadedComment>
  <threadedComment ref="U154" dT="2025-08-14T19:53:25.30" personId="{79160F3F-A2CD-4B5D-ACD4-80E02EA51DFF}" id="{90997271-9650-4039-9458-321FFE3F47F6}">
    <text>10-13-2025 Partial Build Project--Conduit Placement Confirmed Completed.</text>
  </threadedComment>
  <threadedComment ref="P155" dT="2025-01-29T22:16:27.08" personId="{79160F3F-A2CD-4B5D-ACD4-80E02EA51DFF}" id="{E0656D9E-91FB-43EA-BA86-B9995DFABA33}">
    <text>Assigned To Barlett Fiber Per Curtis On 1/29/2025.</text>
  </threadedComment>
  <threadedComment ref="S155" dT="2025-08-28T18:47:07.25" personId="{79160F3F-A2CD-4B5D-ACD4-80E02EA51DFF}" id="{E93D87B3-3FBB-4ECE-A260-E3DA40656D32}">
    <text>8-28-2025 Confirmed Actual Completed Footage.</text>
  </threadedComment>
  <threadedComment ref="U155" dT="2025-08-28T18:48:13.27" personId="{79160F3F-A2CD-4B5D-ACD4-80E02EA51DFF}" id="{C0706972-4404-4AC2-9F60-7E1BECE80834}">
    <text>8-28-2025 Conduit Placement Confirmed Completed.</text>
  </threadedComment>
  <threadedComment ref="S156" dT="2025-08-27T18:49:17.58" personId="{79160F3F-A2CD-4B5D-ACD4-80E02EA51DFF}" id="{24B742A4-1CDA-4ECA-91C3-1197BE43FF62}">
    <text>8-27-2025 Confirmed Actual Completed Footage.</text>
  </threadedComment>
  <threadedComment ref="U156" dT="2025-08-27T18:49:51.28" personId="{79160F3F-A2CD-4B5D-ACD4-80E02EA51DFF}" id="{1B31B59A-2D5F-402A-925E-BB7C97DFA533}">
    <text>8-27-2025 Conduit Placement Confirmed Completed.</text>
  </threadedComment>
  <threadedComment ref="S157" dT="2025-09-03T16:33:54.38" personId="{79160F3F-A2CD-4B5D-ACD4-80E02EA51DFF}" id="{27B8619C-5C7F-45EA-AC39-FB33987A8417}">
    <text>9-3-2025 Confirmed Actual Completed Footage.</text>
  </threadedComment>
  <threadedComment ref="U157" dT="2025-09-03T16:34:18.42" personId="{79160F3F-A2CD-4B5D-ACD4-80E02EA51DFF}" id="{2ABA58B2-A453-411E-9D6B-092ACC54AF58}">
    <text>9-3-2025 Conduit Placement Confirmed Completed.</text>
  </threadedComment>
  <threadedComment ref="S158" dT="2025-12-15T19:16:22.31" personId="{79160F3F-A2CD-4B5D-ACD4-80E02EA51DFF}" id="{2BB4DFA2-1A43-4660-8C06-8A03C5995F5B}">
    <text>12-15-2025 Fiber Placement and Splicing.</text>
  </threadedComment>
  <threadedComment ref="U158" dT="2025-12-15T19:16:46.23" personId="{79160F3F-A2CD-4B5D-ACD4-80E02EA51DFF}" id="{CD2041CE-C9BF-4C18-BC4C-950A97425FF4}">
    <text>12-15-2025 Fiber Placement and Splicing.</text>
  </threadedComment>
  <threadedComment ref="S159" dT="2025-12-15T19:16:33.59" personId="{79160F3F-A2CD-4B5D-ACD4-80E02EA51DFF}" id="{1406AAB0-0294-4515-B334-670794C365C3}">
    <text>12-15-2025 Fiber Placement and Splicing.</text>
  </threadedComment>
  <threadedComment ref="U159" dT="2025-12-15T19:16:53.13" personId="{79160F3F-A2CD-4B5D-ACD4-80E02EA51DFF}" id="{D2569B17-EEEE-46AD-AC46-6E02AC37EF28}">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101" activePane="topRight" state="frozen"/>
      <selection pane="topRight" activeCell="Z58" sqref="Z58"/>
      <selection activeCell="Y82" sqref="Y82"/>
    </sheetView>
  </sheetViews>
  <sheetFormatPr defaultColWidth="9.140625" defaultRowHeight="15" customHeight="1"/>
  <cols>
    <col min="1" max="1" width="37" style="1192" bestFit="1" customWidth="1"/>
    <col min="2" max="2" width="20.7109375" style="1231" customWidth="1"/>
    <col min="3" max="3" width="18.7109375" style="1231" customWidth="1"/>
    <col min="4" max="4" width="37.28515625" style="1231" customWidth="1"/>
    <col min="5" max="5" width="20.7109375" style="1231" customWidth="1"/>
    <col min="6" max="6" width="21.7109375" style="1192" customWidth="1"/>
    <col min="7" max="7" width="24" style="1192" customWidth="1"/>
    <col min="8" max="8" width="20.7109375" style="1231" customWidth="1"/>
    <col min="9" max="9" width="24.28515625" style="1231" customWidth="1"/>
    <col min="10" max="10" width="20.7109375" style="1231" customWidth="1"/>
    <col min="11" max="11" width="18.140625" style="1231" customWidth="1"/>
    <col min="12" max="12" width="20.7109375" style="1192" customWidth="1"/>
    <col min="13" max="13" width="20.7109375" style="1231" customWidth="1"/>
    <col min="14" max="14" width="22" style="1320" customWidth="1"/>
    <col min="15" max="17" width="20.7109375" style="1231" customWidth="1"/>
    <col min="18" max="18" width="21" style="1231" customWidth="1"/>
    <col min="19" max="19" width="20.7109375" style="1231" customWidth="1"/>
    <col min="20" max="20" width="21.140625" style="1231" customWidth="1"/>
    <col min="21" max="21" width="30.5703125" style="1231" customWidth="1"/>
    <col min="22" max="22" width="20.7109375" style="1192" customWidth="1"/>
    <col min="23" max="23" width="38" style="1231" bestFit="1" customWidth="1"/>
    <col min="24" max="24" width="20.5703125" style="1231" bestFit="1" customWidth="1"/>
    <col min="25" max="25" width="26.140625" style="1231" bestFit="1" customWidth="1"/>
    <col min="26" max="26" width="24.7109375" style="1231" bestFit="1" customWidth="1"/>
    <col min="27" max="28" width="30.7109375" style="1231" bestFit="1" customWidth="1"/>
    <col min="29" max="29" width="38.5703125" style="1231" bestFit="1" customWidth="1"/>
    <col min="30" max="30" width="255.7109375" style="1321" bestFit="1" customWidth="1"/>
    <col min="31" max="31" width="9.140625" style="1231" customWidth="1"/>
    <col min="32" max="16384" width="9.140625" style="1231"/>
  </cols>
  <sheetData>
    <row r="1" spans="1:121" s="1192" customFormat="1" ht="24.75" customHeight="1">
      <c r="A1" s="1185" t="s">
        <v>19</v>
      </c>
      <c r="B1" s="1186" t="s">
        <v>20</v>
      </c>
      <c r="C1" s="1186" t="s">
        <v>21</v>
      </c>
      <c r="D1" s="1186" t="s">
        <v>22</v>
      </c>
      <c r="E1" s="1186" t="s">
        <v>23</v>
      </c>
      <c r="F1" s="1186" t="s">
        <v>24</v>
      </c>
      <c r="G1" s="1186" t="s">
        <v>25</v>
      </c>
      <c r="H1" s="1186" t="s">
        <v>26</v>
      </c>
      <c r="I1" s="1186" t="s">
        <v>27</v>
      </c>
      <c r="J1" s="1186" t="s">
        <v>28</v>
      </c>
      <c r="K1" s="1186" t="s">
        <v>29</v>
      </c>
      <c r="L1" s="1186" t="s">
        <v>30</v>
      </c>
      <c r="M1" s="1186" t="s">
        <v>31</v>
      </c>
      <c r="N1" s="1187" t="s">
        <v>32</v>
      </c>
      <c r="O1" s="1186" t="s">
        <v>33</v>
      </c>
      <c r="P1" s="1188" t="s">
        <v>34</v>
      </c>
      <c r="Q1" s="1189" t="s">
        <v>35</v>
      </c>
      <c r="R1" s="1189" t="s">
        <v>36</v>
      </c>
      <c r="S1" s="1189" t="s">
        <v>37</v>
      </c>
      <c r="T1" s="1189" t="s">
        <v>38</v>
      </c>
      <c r="U1" s="1189" t="s">
        <v>39</v>
      </c>
      <c r="V1" s="1189" t="s">
        <v>40</v>
      </c>
      <c r="W1" s="1189" t="s">
        <v>41</v>
      </c>
      <c r="X1" s="1189" t="s">
        <v>42</v>
      </c>
      <c r="Y1" s="1189" t="s">
        <v>43</v>
      </c>
      <c r="Z1" s="1189" t="s">
        <v>44</v>
      </c>
      <c r="AA1" s="1190" t="s">
        <v>45</v>
      </c>
      <c r="AB1" s="1189" t="s">
        <v>46</v>
      </c>
      <c r="AC1" s="1189" t="s">
        <v>47</v>
      </c>
      <c r="AD1" s="1191" t="s">
        <v>48</v>
      </c>
    </row>
    <row r="2" spans="1:121" s="1205" customFormat="1" ht="24.75" customHeight="1">
      <c r="A2" s="1193" t="s">
        <v>49</v>
      </c>
      <c r="B2" s="820" t="s">
        <v>50</v>
      </c>
      <c r="C2" s="1194">
        <v>46048</v>
      </c>
      <c r="D2" s="1195" t="s">
        <v>51</v>
      </c>
      <c r="E2" s="1194" t="s">
        <v>52</v>
      </c>
      <c r="F2" s="1195" t="s">
        <v>53</v>
      </c>
      <c r="G2" s="1195" t="s">
        <v>54</v>
      </c>
      <c r="H2" s="1196">
        <v>0</v>
      </c>
      <c r="I2" s="659" t="s">
        <v>55</v>
      </c>
      <c r="J2" s="1196" t="s">
        <v>56</v>
      </c>
      <c r="K2" s="1195"/>
      <c r="L2" s="1194"/>
      <c r="M2" s="1196" t="s">
        <v>57</v>
      </c>
      <c r="N2" s="1197">
        <v>388</v>
      </c>
      <c r="O2" s="1196" t="s">
        <v>57</v>
      </c>
      <c r="P2" s="1198" t="s">
        <v>58</v>
      </c>
      <c r="Q2" s="1199"/>
      <c r="R2" s="1199"/>
      <c r="S2" s="1199"/>
      <c r="T2" s="1199"/>
      <c r="U2" s="1199"/>
      <c r="V2" s="1200">
        <v>0</v>
      </c>
      <c r="W2" s="1200">
        <v>0</v>
      </c>
      <c r="X2" s="1200">
        <f t="shared" ref="X2:X18" si="0">SUM(V2-W2)</f>
        <v>0</v>
      </c>
      <c r="Y2" s="660">
        <f t="shared" ref="Y2:Y27" si="1">IFERROR($W2/$V2, 0)</f>
        <v>0</v>
      </c>
      <c r="Z2" s="1201"/>
      <c r="AA2" s="1202">
        <v>0</v>
      </c>
      <c r="AB2" s="1202">
        <v>0</v>
      </c>
      <c r="AC2" s="784">
        <v>0</v>
      </c>
      <c r="AD2" s="1203"/>
      <c r="AE2" s="1204"/>
      <c r="CX2" s="1206"/>
      <c r="CY2" s="1207"/>
      <c r="CZ2" s="1208"/>
      <c r="DA2" s="1208"/>
      <c r="DB2" s="1208"/>
      <c r="DC2" s="1208"/>
      <c r="DD2" s="1209"/>
      <c r="DE2" s="1210"/>
      <c r="DF2" s="1210"/>
      <c r="DG2" s="1210"/>
      <c r="DH2" s="1210"/>
      <c r="DI2" s="1210"/>
      <c r="DJ2" s="1210"/>
      <c r="DK2" s="1210"/>
      <c r="DL2" s="1211"/>
      <c r="DM2" s="1210"/>
      <c r="DN2" s="1212"/>
      <c r="DO2" s="1212"/>
      <c r="DP2" s="1213"/>
      <c r="DQ2" s="1210"/>
    </row>
    <row r="3" spans="1:121" s="1223" customFormat="1" ht="24.75" customHeight="1">
      <c r="A3" s="1193" t="s">
        <v>59</v>
      </c>
      <c r="B3" s="820" t="s">
        <v>50</v>
      </c>
      <c r="C3" s="1194">
        <v>46008</v>
      </c>
      <c r="D3" s="1194" t="s">
        <v>60</v>
      </c>
      <c r="E3" s="1214">
        <v>46018</v>
      </c>
      <c r="F3" s="1215" t="s">
        <v>61</v>
      </c>
      <c r="G3" s="1215" t="s">
        <v>62</v>
      </c>
      <c r="H3" s="1216">
        <v>89</v>
      </c>
      <c r="I3" s="659" t="s">
        <v>55</v>
      </c>
      <c r="J3" s="1196" t="s">
        <v>63</v>
      </c>
      <c r="K3" s="1217"/>
      <c r="L3" s="1214">
        <v>46028</v>
      </c>
      <c r="M3" s="1196" t="s">
        <v>57</v>
      </c>
      <c r="N3" s="1197">
        <v>72131.5</v>
      </c>
      <c r="O3" s="1196" t="s">
        <v>57</v>
      </c>
      <c r="P3" s="1218" t="s">
        <v>64</v>
      </c>
      <c r="Q3" s="1219">
        <v>46014</v>
      </c>
      <c r="R3" s="1219"/>
      <c r="S3" s="1219"/>
      <c r="T3" s="1219"/>
      <c r="U3" s="1219"/>
      <c r="V3" s="1220">
        <v>6182</v>
      </c>
      <c r="W3" s="1200">
        <v>3690</v>
      </c>
      <c r="X3" s="1220">
        <f t="shared" si="0"/>
        <v>2492</v>
      </c>
      <c r="Y3" s="660">
        <f t="shared" si="1"/>
        <v>0.59689420899385315</v>
      </c>
      <c r="Z3" s="1221">
        <v>45891</v>
      </c>
      <c r="AA3" s="1202">
        <v>0</v>
      </c>
      <c r="AB3" s="1202">
        <v>0</v>
      </c>
      <c r="AC3" s="643">
        <v>0</v>
      </c>
      <c r="AD3" s="1222" t="s">
        <v>65</v>
      </c>
      <c r="AE3" s="1204"/>
      <c r="CX3" s="1224"/>
      <c r="CY3" s="1225"/>
      <c r="DD3" s="1226"/>
      <c r="DL3" s="1225"/>
    </row>
    <row r="4" spans="1:121" s="1223" customFormat="1" ht="24.75" customHeight="1">
      <c r="A4" s="1193" t="s">
        <v>66</v>
      </c>
      <c r="B4" s="820" t="s">
        <v>50</v>
      </c>
      <c r="C4" s="1194">
        <v>46008</v>
      </c>
      <c r="D4" s="1194" t="s">
        <v>67</v>
      </c>
      <c r="E4" s="1214">
        <v>45743</v>
      </c>
      <c r="F4" s="1215" t="s">
        <v>68</v>
      </c>
      <c r="G4" s="1215" t="s">
        <v>69</v>
      </c>
      <c r="H4" s="1216">
        <v>54</v>
      </c>
      <c r="I4" s="659" t="s">
        <v>55</v>
      </c>
      <c r="J4" s="1196" t="s">
        <v>63</v>
      </c>
      <c r="K4" s="1217"/>
      <c r="L4" s="1214">
        <v>45741</v>
      </c>
      <c r="M4" s="1196" t="s">
        <v>57</v>
      </c>
      <c r="N4" s="1227">
        <v>48215.5</v>
      </c>
      <c r="O4" s="1196" t="s">
        <v>57</v>
      </c>
      <c r="P4" s="1218" t="s">
        <v>64</v>
      </c>
      <c r="Q4" s="1219">
        <v>45744</v>
      </c>
      <c r="R4" s="1219"/>
      <c r="S4" s="1219"/>
      <c r="T4" s="1219"/>
      <c r="U4" s="1219"/>
      <c r="V4" s="1228">
        <v>3796</v>
      </c>
      <c r="W4" s="1433">
        <v>3706</v>
      </c>
      <c r="X4" s="1200">
        <f t="shared" si="0"/>
        <v>90</v>
      </c>
      <c r="Y4" s="660">
        <f t="shared" si="1"/>
        <v>0.97629083245521597</v>
      </c>
      <c r="Z4" s="1221">
        <v>45996</v>
      </c>
      <c r="AA4" s="1202">
        <v>0</v>
      </c>
      <c r="AB4" s="1202">
        <v>0</v>
      </c>
      <c r="AC4" s="643">
        <v>0</v>
      </c>
      <c r="AD4" s="1222" t="s">
        <v>70</v>
      </c>
      <c r="CX4" s="1224"/>
      <c r="CY4" s="1225"/>
      <c r="DD4" s="1226"/>
      <c r="DL4" s="1225"/>
    </row>
    <row r="5" spans="1:121" ht="24.75" customHeight="1">
      <c r="A5" s="1193" t="s">
        <v>71</v>
      </c>
      <c r="B5" s="820" t="s">
        <v>50</v>
      </c>
      <c r="C5" s="1194">
        <v>46008</v>
      </c>
      <c r="D5" s="1194" t="s">
        <v>60</v>
      </c>
      <c r="E5" s="1214">
        <v>45700</v>
      </c>
      <c r="F5" s="1215" t="s">
        <v>61</v>
      </c>
      <c r="G5" s="1214" t="s">
        <v>72</v>
      </c>
      <c r="H5" s="1216">
        <v>81</v>
      </c>
      <c r="I5" s="659" t="s">
        <v>55</v>
      </c>
      <c r="J5" s="1216" t="s">
        <v>63</v>
      </c>
      <c r="K5" s="1216"/>
      <c r="L5" s="1214">
        <v>45702</v>
      </c>
      <c r="M5" s="825" t="s">
        <v>57</v>
      </c>
      <c r="N5" s="1227">
        <v>70635</v>
      </c>
      <c r="O5" s="825" t="s">
        <v>57</v>
      </c>
      <c r="P5" s="1229" t="s">
        <v>64</v>
      </c>
      <c r="Q5" s="1219">
        <v>45696</v>
      </c>
      <c r="R5" s="1219"/>
      <c r="S5" s="1219"/>
      <c r="T5" s="1219"/>
      <c r="U5" s="1219"/>
      <c r="V5" s="1220">
        <v>6092</v>
      </c>
      <c r="W5" s="1200">
        <v>4227</v>
      </c>
      <c r="X5" s="1200">
        <f t="shared" si="0"/>
        <v>1865</v>
      </c>
      <c r="Y5" s="660">
        <f t="shared" si="1"/>
        <v>0.69386080105055814</v>
      </c>
      <c r="Z5" s="1219">
        <v>45747</v>
      </c>
      <c r="AA5" s="1202">
        <v>0</v>
      </c>
      <c r="AB5" s="1202">
        <v>0</v>
      </c>
      <c r="AC5" s="812">
        <v>0</v>
      </c>
      <c r="AD5" s="1222" t="s">
        <v>73</v>
      </c>
      <c r="AE5" s="1230"/>
    </row>
    <row r="6" spans="1:121" ht="24.75" customHeight="1">
      <c r="A6" s="1193" t="s">
        <v>74</v>
      </c>
      <c r="B6" s="820" t="s">
        <v>50</v>
      </c>
      <c r="C6" s="1194">
        <v>45930</v>
      </c>
      <c r="D6" s="1215" t="s">
        <v>51</v>
      </c>
      <c r="E6" s="1215" t="s">
        <v>52</v>
      </c>
      <c r="F6" s="1215" t="s">
        <v>53</v>
      </c>
      <c r="G6" s="1215" t="s">
        <v>75</v>
      </c>
      <c r="H6" s="1216">
        <v>0</v>
      </c>
      <c r="I6" s="1216" t="s">
        <v>55</v>
      </c>
      <c r="J6" s="1216" t="s">
        <v>63</v>
      </c>
      <c r="K6" s="1196" t="s">
        <v>76</v>
      </c>
      <c r="L6" s="1232">
        <v>45716</v>
      </c>
      <c r="M6" s="1216" t="s">
        <v>57</v>
      </c>
      <c r="N6" s="1227">
        <v>582</v>
      </c>
      <c r="O6" s="1216" t="s">
        <v>57</v>
      </c>
      <c r="P6" s="1229" t="s">
        <v>64</v>
      </c>
      <c r="Q6" s="1201" t="s">
        <v>56</v>
      </c>
      <c r="R6" s="1201"/>
      <c r="S6" s="1201"/>
      <c r="T6" s="1201"/>
      <c r="U6" s="1201"/>
      <c r="V6" s="1220">
        <v>0</v>
      </c>
      <c r="W6" s="1233">
        <v>0</v>
      </c>
      <c r="X6" s="1200">
        <f t="shared" si="0"/>
        <v>0</v>
      </c>
      <c r="Y6" s="660">
        <f t="shared" si="1"/>
        <v>0</v>
      </c>
      <c r="Z6" s="1201"/>
      <c r="AA6" s="1202">
        <v>0</v>
      </c>
      <c r="AB6" s="1202">
        <v>0</v>
      </c>
      <c r="AC6" s="1201">
        <v>3</v>
      </c>
      <c r="AD6" s="1234"/>
      <c r="AE6" s="1235"/>
    </row>
    <row r="7" spans="1:121" s="1223" customFormat="1" ht="24.75" customHeight="1">
      <c r="A7" s="1193" t="s">
        <v>77</v>
      </c>
      <c r="B7" s="820" t="s">
        <v>50</v>
      </c>
      <c r="C7" s="1194">
        <v>46008</v>
      </c>
      <c r="D7" s="1194" t="s">
        <v>60</v>
      </c>
      <c r="E7" s="1214">
        <v>45748</v>
      </c>
      <c r="F7" s="1215" t="s">
        <v>61</v>
      </c>
      <c r="G7" s="1215" t="s">
        <v>78</v>
      </c>
      <c r="H7" s="1216">
        <v>0</v>
      </c>
      <c r="I7" s="1216" t="s">
        <v>55</v>
      </c>
      <c r="J7" s="1216" t="s">
        <v>63</v>
      </c>
      <c r="K7" s="1216"/>
      <c r="L7" s="1214">
        <v>46028</v>
      </c>
      <c r="M7" s="1216" t="s">
        <v>57</v>
      </c>
      <c r="N7" s="1227">
        <v>29634.15</v>
      </c>
      <c r="O7" s="1216" t="s">
        <v>57</v>
      </c>
      <c r="P7" s="1229" t="s">
        <v>64</v>
      </c>
      <c r="Q7" s="1219">
        <v>45743</v>
      </c>
      <c r="R7" s="1219"/>
      <c r="S7" s="1219"/>
      <c r="T7" s="1219"/>
      <c r="U7" s="1219"/>
      <c r="V7" s="1220">
        <v>1831</v>
      </c>
      <c r="W7" s="1200">
        <v>1155</v>
      </c>
      <c r="X7" s="1200">
        <f t="shared" si="0"/>
        <v>676</v>
      </c>
      <c r="Y7" s="660">
        <f t="shared" si="1"/>
        <v>0.63080283997815401</v>
      </c>
      <c r="Z7" s="1219">
        <v>45790</v>
      </c>
      <c r="AA7" s="1202">
        <v>0</v>
      </c>
      <c r="AB7" s="1202">
        <v>0</v>
      </c>
      <c r="AC7" s="1220">
        <v>0</v>
      </c>
      <c r="AD7" s="1234" t="s">
        <v>79</v>
      </c>
    </row>
    <row r="8" spans="1:121" s="1223" customFormat="1" ht="24.75" customHeight="1">
      <c r="A8" s="1193" t="s">
        <v>80</v>
      </c>
      <c r="B8" s="820" t="s">
        <v>50</v>
      </c>
      <c r="C8" s="1194">
        <v>46008</v>
      </c>
      <c r="D8" s="1194" t="s">
        <v>67</v>
      </c>
      <c r="E8" s="1214">
        <v>45748</v>
      </c>
      <c r="F8" s="823" t="s">
        <v>68</v>
      </c>
      <c r="G8" s="1215" t="s">
        <v>81</v>
      </c>
      <c r="H8" s="1216">
        <v>0</v>
      </c>
      <c r="I8" s="1216" t="s">
        <v>55</v>
      </c>
      <c r="J8" s="1196" t="s">
        <v>63</v>
      </c>
      <c r="K8" s="1217"/>
      <c r="L8" s="1214">
        <v>45742</v>
      </c>
      <c r="M8" s="1196" t="s">
        <v>57</v>
      </c>
      <c r="N8" s="1227">
        <v>13442.35</v>
      </c>
      <c r="O8" s="1196" t="s">
        <v>57</v>
      </c>
      <c r="P8" s="1236" t="s">
        <v>64</v>
      </c>
      <c r="Q8" s="1219">
        <v>46027</v>
      </c>
      <c r="R8" s="1219"/>
      <c r="S8" s="1219"/>
      <c r="T8" s="1219"/>
      <c r="U8" s="1219"/>
      <c r="V8" s="1201">
        <v>831</v>
      </c>
      <c r="W8" s="1442">
        <v>312</v>
      </c>
      <c r="X8" s="1200">
        <f t="shared" si="0"/>
        <v>519</v>
      </c>
      <c r="Y8" s="660">
        <f t="shared" si="1"/>
        <v>0.37545126353790614</v>
      </c>
      <c r="Z8" s="1219">
        <v>46034</v>
      </c>
      <c r="AA8" s="1202">
        <v>0</v>
      </c>
      <c r="AB8" s="1202">
        <v>0</v>
      </c>
      <c r="AC8" s="643">
        <v>0</v>
      </c>
      <c r="AD8" s="1222" t="s">
        <v>82</v>
      </c>
      <c r="AE8" s="1238"/>
    </row>
    <row r="9" spans="1:121" s="1223" customFormat="1" ht="24.75" customHeight="1">
      <c r="A9" s="1193" t="s">
        <v>83</v>
      </c>
      <c r="B9" s="820" t="s">
        <v>50</v>
      </c>
      <c r="C9" s="1194">
        <v>46044</v>
      </c>
      <c r="D9" s="1194" t="s">
        <v>84</v>
      </c>
      <c r="E9" s="1214">
        <v>45700</v>
      </c>
      <c r="F9" s="1214" t="s">
        <v>68</v>
      </c>
      <c r="G9" s="1214" t="s">
        <v>85</v>
      </c>
      <c r="H9" s="1216">
        <v>0</v>
      </c>
      <c r="I9" s="1216" t="s">
        <v>55</v>
      </c>
      <c r="J9" s="1216" t="s">
        <v>63</v>
      </c>
      <c r="K9" s="1216"/>
      <c r="L9" s="1214">
        <v>45700</v>
      </c>
      <c r="M9" s="1216" t="s">
        <v>57</v>
      </c>
      <c r="N9" s="1227">
        <v>19745.25</v>
      </c>
      <c r="O9" s="1216" t="s">
        <v>57</v>
      </c>
      <c r="P9" s="1236" t="s">
        <v>86</v>
      </c>
      <c r="Q9" s="1219">
        <v>45696</v>
      </c>
      <c r="R9" s="1219"/>
      <c r="S9" s="1219"/>
      <c r="T9" s="1219"/>
      <c r="U9" s="1219"/>
      <c r="V9" s="1220">
        <v>1534</v>
      </c>
      <c r="W9" s="1440">
        <v>1571</v>
      </c>
      <c r="X9" s="1200">
        <f t="shared" si="0"/>
        <v>-37</v>
      </c>
      <c r="Y9" s="660">
        <f t="shared" si="1"/>
        <v>1.0241199478487615</v>
      </c>
      <c r="Z9" s="1219">
        <v>45736</v>
      </c>
      <c r="AA9" s="1202">
        <v>0</v>
      </c>
      <c r="AB9" s="1202">
        <v>0</v>
      </c>
      <c r="AC9" s="812">
        <v>0</v>
      </c>
      <c r="AD9" s="1222" t="s">
        <v>87</v>
      </c>
    </row>
    <row r="10" spans="1:121" ht="24.75" customHeight="1">
      <c r="A10" s="1193" t="s">
        <v>88</v>
      </c>
      <c r="B10" s="820" t="s">
        <v>50</v>
      </c>
      <c r="C10" s="1194">
        <v>46044</v>
      </c>
      <c r="D10" s="1194" t="s">
        <v>60</v>
      </c>
      <c r="E10" s="1214">
        <v>45748</v>
      </c>
      <c r="F10" s="1215" t="s">
        <v>61</v>
      </c>
      <c r="G10" s="1239" t="s">
        <v>89</v>
      </c>
      <c r="H10" s="1216">
        <v>0</v>
      </c>
      <c r="I10" s="1216" t="s">
        <v>55</v>
      </c>
      <c r="J10" s="1216" t="s">
        <v>63</v>
      </c>
      <c r="K10" s="1240"/>
      <c r="L10" s="1214">
        <v>45741</v>
      </c>
      <c r="M10" s="1216" t="s">
        <v>57</v>
      </c>
      <c r="N10" s="1227">
        <v>31186.25</v>
      </c>
      <c r="O10" s="1216" t="s">
        <v>57</v>
      </c>
      <c r="P10" s="1236" t="s">
        <v>64</v>
      </c>
      <c r="Q10" s="1219">
        <v>45743</v>
      </c>
      <c r="R10" s="1219"/>
      <c r="S10" s="1219"/>
      <c r="T10" s="1219"/>
      <c r="U10" s="1219"/>
      <c r="V10" s="1220">
        <v>2003</v>
      </c>
      <c r="W10" s="1233">
        <v>225</v>
      </c>
      <c r="X10" s="1200">
        <f t="shared" si="0"/>
        <v>1778</v>
      </c>
      <c r="Y10" s="660">
        <f t="shared" si="1"/>
        <v>0.11233150274588118</v>
      </c>
      <c r="Z10" s="1219">
        <v>45785</v>
      </c>
      <c r="AA10" s="1202">
        <v>0</v>
      </c>
      <c r="AB10" s="1202">
        <v>0</v>
      </c>
      <c r="AC10" s="1220">
        <v>0</v>
      </c>
      <c r="AD10" s="1222" t="s">
        <v>73</v>
      </c>
      <c r="AE10" s="1241"/>
    </row>
    <row r="11" spans="1:121" s="1243" customFormat="1" ht="24.75" customHeight="1">
      <c r="A11" s="1193" t="s">
        <v>90</v>
      </c>
      <c r="B11" s="820" t="s">
        <v>50</v>
      </c>
      <c r="C11" s="1194">
        <v>46001</v>
      </c>
      <c r="D11" s="1194"/>
      <c r="E11" s="1214"/>
      <c r="F11" s="1215"/>
      <c r="G11" s="1195"/>
      <c r="H11" s="1216">
        <v>0</v>
      </c>
      <c r="I11" s="825" t="s">
        <v>55</v>
      </c>
      <c r="J11" s="1216" t="s">
        <v>91</v>
      </c>
      <c r="K11" s="1240"/>
      <c r="L11" s="1214"/>
      <c r="M11" s="1216" t="s">
        <v>92</v>
      </c>
      <c r="N11" s="1227"/>
      <c r="O11" s="1216" t="s">
        <v>92</v>
      </c>
      <c r="P11" s="1229" t="s">
        <v>58</v>
      </c>
      <c r="Q11" s="1219"/>
      <c r="R11" s="1219"/>
      <c r="S11" s="1219"/>
      <c r="T11" s="1219"/>
      <c r="U11" s="1219"/>
      <c r="V11" s="1220">
        <v>11</v>
      </c>
      <c r="W11" s="1200"/>
      <c r="X11" s="1200">
        <f t="shared" si="0"/>
        <v>11</v>
      </c>
      <c r="Y11" s="660">
        <f t="shared" si="1"/>
        <v>0</v>
      </c>
      <c r="Z11" s="1201"/>
      <c r="AA11" s="1202">
        <v>0</v>
      </c>
      <c r="AB11" s="1202">
        <v>0</v>
      </c>
      <c r="AC11" s="643">
        <v>0</v>
      </c>
      <c r="AD11" s="1234"/>
      <c r="AE11" s="1242"/>
    </row>
    <row r="12" spans="1:121" s="1243" customFormat="1" ht="24.75" customHeight="1">
      <c r="A12" s="1244" t="s">
        <v>93</v>
      </c>
      <c r="B12" s="820" t="s">
        <v>50</v>
      </c>
      <c r="C12" s="1194">
        <v>46203</v>
      </c>
      <c r="D12" s="1194"/>
      <c r="E12" s="1214"/>
      <c r="F12" s="1215"/>
      <c r="G12" s="1215" t="s">
        <v>94</v>
      </c>
      <c r="H12" s="1216">
        <v>89</v>
      </c>
      <c r="I12" s="825" t="s">
        <v>55</v>
      </c>
      <c r="J12" s="1216" t="s">
        <v>91</v>
      </c>
      <c r="K12" s="1240"/>
      <c r="L12" s="1214"/>
      <c r="M12" s="1216" t="s">
        <v>57</v>
      </c>
      <c r="N12" s="1227">
        <v>70896.5</v>
      </c>
      <c r="O12" s="1216" t="s">
        <v>57</v>
      </c>
      <c r="P12" s="1229" t="s">
        <v>58</v>
      </c>
      <c r="Q12" s="1219"/>
      <c r="R12" s="1219"/>
      <c r="S12" s="1219"/>
      <c r="T12" s="1219"/>
      <c r="U12" s="1219"/>
      <c r="V12" s="1220">
        <v>5452</v>
      </c>
      <c r="W12" s="1200"/>
      <c r="X12" s="1200">
        <f>SUM(V12-W12)</f>
        <v>5452</v>
      </c>
      <c r="Y12" s="660">
        <f>IFERROR($W12/$V12, 0)</f>
        <v>0</v>
      </c>
      <c r="Z12" s="1219"/>
      <c r="AA12" s="1202">
        <v>0</v>
      </c>
      <c r="AB12" s="1202">
        <v>0</v>
      </c>
      <c r="AC12" s="643">
        <v>0</v>
      </c>
      <c r="AD12" s="1234" t="s">
        <v>95</v>
      </c>
      <c r="AE12" s="1242"/>
    </row>
    <row r="13" spans="1:121" s="1243" customFormat="1" ht="24.75" customHeight="1">
      <c r="A13" s="1244" t="s">
        <v>96</v>
      </c>
      <c r="B13" s="820" t="s">
        <v>50</v>
      </c>
      <c r="C13" s="1194">
        <v>46142</v>
      </c>
      <c r="D13" s="1194"/>
      <c r="E13" s="1214"/>
      <c r="F13" s="1215"/>
      <c r="G13" s="1215" t="s">
        <v>97</v>
      </c>
      <c r="H13" s="1216">
        <v>72</v>
      </c>
      <c r="I13" s="825" t="s">
        <v>55</v>
      </c>
      <c r="J13" s="1216" t="s">
        <v>63</v>
      </c>
      <c r="K13" s="1240"/>
      <c r="L13" s="1214"/>
      <c r="M13" s="1216" t="s">
        <v>57</v>
      </c>
      <c r="N13" s="1227">
        <v>57133</v>
      </c>
      <c r="O13" s="1216" t="s">
        <v>57</v>
      </c>
      <c r="P13" s="1229" t="s">
        <v>58</v>
      </c>
      <c r="Q13" s="1219"/>
      <c r="R13" s="1219"/>
      <c r="S13" s="1219"/>
      <c r="T13" s="1219"/>
      <c r="U13" s="1219"/>
      <c r="V13" s="1220">
        <v>4407</v>
      </c>
      <c r="W13" s="1200"/>
      <c r="X13" s="1200">
        <f>SUM(V13-W13)</f>
        <v>4407</v>
      </c>
      <c r="Y13" s="660">
        <f>IFERROR($W13/$V13, 0)</f>
        <v>0</v>
      </c>
      <c r="Z13" s="1219"/>
      <c r="AA13" s="1202">
        <v>0</v>
      </c>
      <c r="AB13" s="1202">
        <v>0</v>
      </c>
      <c r="AC13" s="643">
        <v>0</v>
      </c>
      <c r="AD13" s="1234" t="s">
        <v>95</v>
      </c>
      <c r="AE13" s="1242"/>
    </row>
    <row r="14" spans="1:121" s="1243" customFormat="1" ht="24.75" customHeight="1">
      <c r="A14" s="1244" t="s">
        <v>98</v>
      </c>
      <c r="B14" s="820" t="s">
        <v>50</v>
      </c>
      <c r="C14" s="1194">
        <v>46233</v>
      </c>
      <c r="D14" s="1194"/>
      <c r="E14" s="1214"/>
      <c r="F14" s="1215"/>
      <c r="G14" s="1215" t="s">
        <v>99</v>
      </c>
      <c r="H14" s="1216">
        <v>51</v>
      </c>
      <c r="I14" s="825" t="s">
        <v>55</v>
      </c>
      <c r="J14" s="1216" t="s">
        <v>91</v>
      </c>
      <c r="K14" s="1240"/>
      <c r="L14" s="1214"/>
      <c r="M14" s="1216" t="s">
        <v>57</v>
      </c>
      <c r="N14" s="1227">
        <v>31462.5</v>
      </c>
      <c r="O14" s="1216" t="s">
        <v>57</v>
      </c>
      <c r="P14" s="1229" t="s">
        <v>58</v>
      </c>
      <c r="Q14" s="1219"/>
      <c r="R14" s="1219"/>
      <c r="S14" s="1219"/>
      <c r="T14" s="1219"/>
      <c r="U14" s="1219"/>
      <c r="V14" s="1220">
        <v>2390</v>
      </c>
      <c r="W14" s="1200"/>
      <c r="X14" s="1200">
        <f>SUM(V14-W14)</f>
        <v>2390</v>
      </c>
      <c r="Y14" s="660">
        <f>IFERROR($W14/$V14, 0)</f>
        <v>0</v>
      </c>
      <c r="Z14" s="1219"/>
      <c r="AA14" s="1202">
        <v>0</v>
      </c>
      <c r="AB14" s="1202">
        <v>0</v>
      </c>
      <c r="AC14" s="643">
        <v>0</v>
      </c>
      <c r="AD14" s="1234" t="s">
        <v>95</v>
      </c>
      <c r="AE14" s="1242"/>
    </row>
    <row r="15" spans="1:121" s="1243" customFormat="1" ht="24.75" customHeight="1">
      <c r="A15" s="1244" t="s">
        <v>100</v>
      </c>
      <c r="B15" s="820" t="s">
        <v>50</v>
      </c>
      <c r="C15" s="1194">
        <v>46188</v>
      </c>
      <c r="D15" s="1194"/>
      <c r="E15" s="1214"/>
      <c r="F15" s="1215"/>
      <c r="G15" s="1215"/>
      <c r="H15" s="1216">
        <v>262</v>
      </c>
      <c r="I15" s="659" t="s">
        <v>55</v>
      </c>
      <c r="J15" s="1196" t="s">
        <v>56</v>
      </c>
      <c r="K15" s="1196" t="s">
        <v>76</v>
      </c>
      <c r="L15" s="1214">
        <v>45964</v>
      </c>
      <c r="M15" s="1216" t="s">
        <v>57</v>
      </c>
      <c r="N15" s="1227">
        <v>76768.800000000003</v>
      </c>
      <c r="O15" s="1216" t="s">
        <v>57</v>
      </c>
      <c r="P15" s="1229" t="s">
        <v>101</v>
      </c>
      <c r="Q15" s="1219">
        <v>45964</v>
      </c>
      <c r="R15" s="1219"/>
      <c r="S15" s="1219"/>
      <c r="T15" s="1219"/>
      <c r="U15" s="1219"/>
      <c r="V15" s="1220">
        <v>6824</v>
      </c>
      <c r="W15" s="1200"/>
      <c r="X15" s="1200">
        <f t="shared" si="0"/>
        <v>6824</v>
      </c>
      <c r="Y15" s="660">
        <f t="shared" ref="Y15:Y18" si="2">IFERROR($W15/$V15, 0)</f>
        <v>0</v>
      </c>
      <c r="Z15" s="1219"/>
      <c r="AA15" s="1202">
        <v>0</v>
      </c>
      <c r="AB15" s="1202">
        <v>0</v>
      </c>
      <c r="AC15" s="643">
        <v>0</v>
      </c>
      <c r="AD15" s="1234"/>
      <c r="AE15" s="1242"/>
    </row>
    <row r="16" spans="1:121" s="1243" customFormat="1" ht="24.75" customHeight="1">
      <c r="A16" s="1244" t="s">
        <v>102</v>
      </c>
      <c r="B16" s="820" t="s">
        <v>50</v>
      </c>
      <c r="C16" s="1194">
        <v>46188</v>
      </c>
      <c r="D16" s="1194"/>
      <c r="E16" s="1214"/>
      <c r="F16" s="1215"/>
      <c r="G16" s="1215"/>
      <c r="H16" s="1216">
        <v>156</v>
      </c>
      <c r="I16" s="659" t="s">
        <v>55</v>
      </c>
      <c r="J16" s="1196" t="s">
        <v>56</v>
      </c>
      <c r="K16" s="1216" t="s">
        <v>103</v>
      </c>
      <c r="L16" s="1214"/>
      <c r="M16" s="1216" t="s">
        <v>92</v>
      </c>
      <c r="N16" s="1227"/>
      <c r="O16" s="1216" t="s">
        <v>92</v>
      </c>
      <c r="P16" s="1229" t="s">
        <v>58</v>
      </c>
      <c r="Q16" s="1219"/>
      <c r="R16" s="1219"/>
      <c r="S16" s="1219"/>
      <c r="T16" s="1219"/>
      <c r="U16" s="1219"/>
      <c r="V16" s="1220">
        <v>4677</v>
      </c>
      <c r="W16" s="1200"/>
      <c r="X16" s="1200">
        <f t="shared" si="0"/>
        <v>4677</v>
      </c>
      <c r="Y16" s="660">
        <f t="shared" si="2"/>
        <v>0</v>
      </c>
      <c r="Z16" s="1219"/>
      <c r="AA16" s="1202">
        <v>0</v>
      </c>
      <c r="AB16" s="1202">
        <v>0</v>
      </c>
      <c r="AC16" s="643">
        <v>0</v>
      </c>
      <c r="AD16" s="1234" t="s">
        <v>104</v>
      </c>
      <c r="AE16" s="1242"/>
    </row>
    <row r="17" spans="1:31" s="1243" customFormat="1" ht="24.75" customHeight="1">
      <c r="A17" s="1193" t="s">
        <v>105</v>
      </c>
      <c r="B17" s="820" t="s">
        <v>50</v>
      </c>
      <c r="C17" s="1214">
        <v>46096</v>
      </c>
      <c r="D17" s="1194"/>
      <c r="E17" s="1214"/>
      <c r="F17" s="1215"/>
      <c r="G17" s="1215"/>
      <c r="H17" s="1216">
        <v>18</v>
      </c>
      <c r="I17" s="659" t="s">
        <v>55</v>
      </c>
      <c r="J17" s="1196" t="s">
        <v>56</v>
      </c>
      <c r="K17" s="1240"/>
      <c r="L17" s="1214"/>
      <c r="M17" s="1216" t="s">
        <v>57</v>
      </c>
      <c r="N17" s="1227">
        <v>2490.5</v>
      </c>
      <c r="O17" s="1216" t="s">
        <v>57</v>
      </c>
      <c r="P17" s="1229" t="s">
        <v>58</v>
      </c>
      <c r="Q17" s="1219"/>
      <c r="R17" s="1219"/>
      <c r="S17" s="1219"/>
      <c r="T17" s="1219"/>
      <c r="U17" s="1219"/>
      <c r="V17" s="1220">
        <v>130</v>
      </c>
      <c r="W17" s="1200"/>
      <c r="X17" s="1200">
        <f>SUM(V17-W17)</f>
        <v>130</v>
      </c>
      <c r="Y17" s="660">
        <f>IFERROR($W17/$V17, 0)</f>
        <v>0</v>
      </c>
      <c r="Z17" s="1219"/>
      <c r="AA17" s="1202">
        <v>0</v>
      </c>
      <c r="AB17" s="1202">
        <v>0</v>
      </c>
      <c r="AC17" s="643">
        <v>0</v>
      </c>
      <c r="AD17" s="1234" t="s">
        <v>106</v>
      </c>
      <c r="AE17" s="1242"/>
    </row>
    <row r="18" spans="1:31" s="1243" customFormat="1" ht="24.75" customHeight="1">
      <c r="A18" s="1193"/>
      <c r="B18" s="820"/>
      <c r="C18" s="1194"/>
      <c r="D18" s="1194"/>
      <c r="E18" s="1214"/>
      <c r="F18" s="1215"/>
      <c r="G18" s="1215"/>
      <c r="H18" s="1216"/>
      <c r="I18" s="659"/>
      <c r="J18" s="1196"/>
      <c r="K18" s="1196"/>
      <c r="L18" s="1214"/>
      <c r="M18" s="1216"/>
      <c r="N18" s="1227"/>
      <c r="O18" s="1216"/>
      <c r="P18" s="1229"/>
      <c r="Q18" s="1219"/>
      <c r="R18" s="1219"/>
      <c r="S18" s="1219"/>
      <c r="T18" s="1219"/>
      <c r="U18" s="1219"/>
      <c r="V18" s="1220"/>
      <c r="W18" s="1200"/>
      <c r="X18" s="1200">
        <f t="shared" si="0"/>
        <v>0</v>
      </c>
      <c r="Y18" s="660">
        <f t="shared" si="2"/>
        <v>0</v>
      </c>
      <c r="Z18" s="1219"/>
      <c r="AA18" s="1202"/>
      <c r="AB18" s="1202"/>
      <c r="AC18" s="957"/>
      <c r="AD18" s="1203"/>
      <c r="AE18" s="1242"/>
    </row>
    <row r="19" spans="1:31" s="1243" customFormat="1" ht="24.75" customHeight="1">
      <c r="A19" s="1195"/>
      <c r="B19" s="827"/>
      <c r="C19" s="1194"/>
      <c r="D19" s="1194"/>
      <c r="E19" s="1214"/>
      <c r="F19" s="1215"/>
      <c r="G19" s="1215"/>
      <c r="H19" s="1216"/>
      <c r="I19" s="659"/>
      <c r="J19" s="1196"/>
      <c r="K19" s="1196"/>
      <c r="L19" s="1214"/>
      <c r="M19" s="1216"/>
      <c r="N19" s="1227"/>
      <c r="O19" s="1216"/>
      <c r="P19" s="1229"/>
      <c r="Q19" s="1219"/>
      <c r="R19" s="1219"/>
      <c r="S19" s="1219"/>
      <c r="T19" s="1219"/>
      <c r="U19" s="1219"/>
      <c r="V19" s="1220"/>
      <c r="W19" s="1200"/>
      <c r="X19" s="1200"/>
      <c r="Y19" s="660"/>
      <c r="Z19" s="1201"/>
      <c r="AA19" s="1202"/>
      <c r="AB19" s="1202"/>
      <c r="AC19" s="1200"/>
      <c r="AD19" s="1203"/>
      <c r="AE19" s="1242"/>
    </row>
    <row r="20" spans="1:31" s="1243" customFormat="1" ht="24.75" customHeight="1">
      <c r="A20" s="1185" t="s">
        <v>107</v>
      </c>
      <c r="B20" s="1186" t="s">
        <v>20</v>
      </c>
      <c r="C20" s="1186" t="s">
        <v>21</v>
      </c>
      <c r="D20" s="1186" t="s">
        <v>22</v>
      </c>
      <c r="E20" s="1186" t="s">
        <v>23</v>
      </c>
      <c r="F20" s="1186" t="s">
        <v>24</v>
      </c>
      <c r="G20" s="1186" t="s">
        <v>25</v>
      </c>
      <c r="H20" s="1186" t="s">
        <v>26</v>
      </c>
      <c r="I20" s="1186" t="s">
        <v>27</v>
      </c>
      <c r="J20" s="1186" t="s">
        <v>28</v>
      </c>
      <c r="K20" s="1186" t="s">
        <v>29</v>
      </c>
      <c r="L20" s="1186" t="s">
        <v>30</v>
      </c>
      <c r="M20" s="1186" t="s">
        <v>31</v>
      </c>
      <c r="N20" s="1187" t="s">
        <v>32</v>
      </c>
      <c r="O20" s="1186" t="s">
        <v>33</v>
      </c>
      <c r="P20" s="1188" t="s">
        <v>34</v>
      </c>
      <c r="Q20" s="1189" t="s">
        <v>35</v>
      </c>
      <c r="R20" s="1189" t="s">
        <v>36</v>
      </c>
      <c r="S20" s="1189" t="s">
        <v>37</v>
      </c>
      <c r="T20" s="1189" t="s">
        <v>38</v>
      </c>
      <c r="U20" s="1189" t="s">
        <v>39</v>
      </c>
      <c r="V20" s="1189" t="s">
        <v>40</v>
      </c>
      <c r="W20" s="1189" t="s">
        <v>41</v>
      </c>
      <c r="X20" s="1189" t="s">
        <v>42</v>
      </c>
      <c r="Y20" s="1189" t="s">
        <v>43</v>
      </c>
      <c r="Z20" s="1189" t="s">
        <v>44</v>
      </c>
      <c r="AA20" s="1190" t="s">
        <v>45</v>
      </c>
      <c r="AB20" s="1189" t="s">
        <v>46</v>
      </c>
      <c r="AC20" s="1189" t="s">
        <v>47</v>
      </c>
      <c r="AD20" s="1191" t="s">
        <v>48</v>
      </c>
      <c r="AE20" s="1242"/>
    </row>
    <row r="21" spans="1:31" s="1243" customFormat="1" ht="24.75" customHeight="1">
      <c r="A21" s="1244" t="s">
        <v>108</v>
      </c>
      <c r="B21" s="1195" t="s">
        <v>109</v>
      </c>
      <c r="C21" s="1194">
        <v>46041</v>
      </c>
      <c r="D21" s="1194"/>
      <c r="E21" s="1214"/>
      <c r="F21" s="1195" t="s">
        <v>110</v>
      </c>
      <c r="G21" s="1215" t="s">
        <v>111</v>
      </c>
      <c r="H21" s="1196">
        <v>67</v>
      </c>
      <c r="I21" s="659" t="s">
        <v>55</v>
      </c>
      <c r="J21" s="1196" t="s">
        <v>91</v>
      </c>
      <c r="K21" s="1196"/>
      <c r="L21" s="1214"/>
      <c r="M21" s="1216" t="s">
        <v>57</v>
      </c>
      <c r="N21" s="1227">
        <v>66854</v>
      </c>
      <c r="O21" s="1216" t="s">
        <v>57</v>
      </c>
      <c r="P21" s="1229" t="s">
        <v>58</v>
      </c>
      <c r="Q21" s="1219"/>
      <c r="R21" s="1219"/>
      <c r="S21" s="1219"/>
      <c r="T21" s="1219"/>
      <c r="U21" s="1219"/>
      <c r="V21" s="1220">
        <v>5534</v>
      </c>
      <c r="W21" s="1200"/>
      <c r="X21" s="1200">
        <f t="shared" ref="X21:X51" si="3">SUM(V21-W21)</f>
        <v>5534</v>
      </c>
      <c r="Y21" s="660">
        <f t="shared" si="1"/>
        <v>0</v>
      </c>
      <c r="Z21" s="1219"/>
      <c r="AA21" s="1202">
        <v>0</v>
      </c>
      <c r="AB21" s="1202">
        <v>0</v>
      </c>
      <c r="AC21" s="643">
        <v>0</v>
      </c>
      <c r="AD21" s="1203" t="s">
        <v>112</v>
      </c>
      <c r="AE21" s="1242"/>
    </row>
    <row r="22" spans="1:31" s="1243" customFormat="1" ht="24.75" customHeight="1">
      <c r="A22" s="1244" t="s">
        <v>113</v>
      </c>
      <c r="B22" s="1195" t="s">
        <v>109</v>
      </c>
      <c r="C22" s="1194">
        <v>46041</v>
      </c>
      <c r="D22" s="1194"/>
      <c r="E22" s="1194"/>
      <c r="F22" s="1195"/>
      <c r="G22" s="1195" t="s">
        <v>114</v>
      </c>
      <c r="H22" s="1196">
        <v>65</v>
      </c>
      <c r="I22" s="659" t="s">
        <v>55</v>
      </c>
      <c r="J22" s="1196" t="s">
        <v>91</v>
      </c>
      <c r="K22" s="1196" t="s">
        <v>115</v>
      </c>
      <c r="L22" s="1194">
        <v>46028</v>
      </c>
      <c r="M22" s="1216" t="s">
        <v>57</v>
      </c>
      <c r="N22" s="1197">
        <v>60922</v>
      </c>
      <c r="O22" s="1216" t="s">
        <v>57</v>
      </c>
      <c r="P22" s="1198" t="s">
        <v>58</v>
      </c>
      <c r="Q22" s="1199">
        <v>46029</v>
      </c>
      <c r="R22" s="1199"/>
      <c r="S22" s="1199"/>
      <c r="T22" s="1199"/>
      <c r="U22" s="1199"/>
      <c r="V22" s="784">
        <v>4907</v>
      </c>
      <c r="W22" s="1200"/>
      <c r="X22" s="1200">
        <f>SUM(V22-W22)</f>
        <v>4907</v>
      </c>
      <c r="Y22" s="660">
        <f t="shared" si="1"/>
        <v>0</v>
      </c>
      <c r="Z22" s="1219"/>
      <c r="AA22" s="1202">
        <v>0</v>
      </c>
      <c r="AB22" s="1202">
        <v>0</v>
      </c>
      <c r="AC22" s="643">
        <v>0</v>
      </c>
      <c r="AD22" s="1203" t="s">
        <v>116</v>
      </c>
      <c r="AE22" s="1242"/>
    </row>
    <row r="23" spans="1:31" s="1243" customFormat="1" ht="24.75" customHeight="1">
      <c r="A23" s="1244" t="s">
        <v>117</v>
      </c>
      <c r="B23" s="1195" t="s">
        <v>109</v>
      </c>
      <c r="C23" s="1194">
        <v>46041</v>
      </c>
      <c r="D23" s="1194"/>
      <c r="E23" s="1194"/>
      <c r="F23" s="1195"/>
      <c r="G23" s="1195" t="s">
        <v>118</v>
      </c>
      <c r="H23" s="1196">
        <v>79</v>
      </c>
      <c r="I23" s="659" t="s">
        <v>55</v>
      </c>
      <c r="J23" s="1196" t="s">
        <v>91</v>
      </c>
      <c r="K23" s="1196" t="s">
        <v>115</v>
      </c>
      <c r="L23" s="1194"/>
      <c r="M23" s="1216" t="s">
        <v>57</v>
      </c>
      <c r="N23" s="1197">
        <v>59768</v>
      </c>
      <c r="O23" s="1216" t="s">
        <v>57</v>
      </c>
      <c r="P23" s="1198" t="s">
        <v>58</v>
      </c>
      <c r="Q23" s="1199"/>
      <c r="R23" s="1199"/>
      <c r="S23" s="1199"/>
      <c r="T23" s="1199"/>
      <c r="U23" s="1199"/>
      <c r="V23" s="784">
        <v>4862</v>
      </c>
      <c r="W23" s="1200"/>
      <c r="X23" s="1200">
        <f>SUM(V23-W23)</f>
        <v>4862</v>
      </c>
      <c r="Y23" s="660">
        <f t="shared" si="1"/>
        <v>0</v>
      </c>
      <c r="Z23" s="1219"/>
      <c r="AA23" s="1202">
        <v>0</v>
      </c>
      <c r="AB23" s="1202">
        <v>0</v>
      </c>
      <c r="AC23" s="643">
        <v>0</v>
      </c>
      <c r="AD23" s="1203" t="s">
        <v>119</v>
      </c>
      <c r="AE23" s="1242"/>
    </row>
    <row r="24" spans="1:31" s="1243" customFormat="1" ht="24.75" customHeight="1">
      <c r="A24" s="1244" t="s">
        <v>120</v>
      </c>
      <c r="B24" s="1195" t="s">
        <v>109</v>
      </c>
      <c r="C24" s="1194">
        <v>46041</v>
      </c>
      <c r="D24" s="1194"/>
      <c r="E24" s="1194"/>
      <c r="F24" s="1195"/>
      <c r="G24" s="1195" t="s">
        <v>121</v>
      </c>
      <c r="H24" s="1196">
        <v>87</v>
      </c>
      <c r="I24" s="659" t="s">
        <v>55</v>
      </c>
      <c r="J24" s="1196" t="s">
        <v>91</v>
      </c>
      <c r="K24" s="1196" t="s">
        <v>115</v>
      </c>
      <c r="L24" s="1194"/>
      <c r="M24" s="1216" t="s">
        <v>57</v>
      </c>
      <c r="N24" s="1197">
        <v>82790</v>
      </c>
      <c r="O24" s="1216" t="s">
        <v>57</v>
      </c>
      <c r="P24" s="1198" t="s">
        <v>58</v>
      </c>
      <c r="Q24" s="1199"/>
      <c r="R24" s="1199"/>
      <c r="S24" s="1199"/>
      <c r="T24" s="1199"/>
      <c r="U24" s="1199"/>
      <c r="V24" s="784">
        <v>6931</v>
      </c>
      <c r="W24" s="1200"/>
      <c r="X24" s="1200">
        <f>SUM(V24-W24)</f>
        <v>6931</v>
      </c>
      <c r="Y24" s="660">
        <f t="shared" si="1"/>
        <v>0</v>
      </c>
      <c r="Z24" s="1219"/>
      <c r="AA24" s="1202">
        <v>0</v>
      </c>
      <c r="AB24" s="1202">
        <v>0</v>
      </c>
      <c r="AC24" s="643">
        <v>0</v>
      </c>
      <c r="AD24" s="1203" t="s">
        <v>122</v>
      </c>
      <c r="AE24" s="1242"/>
    </row>
    <row r="25" spans="1:31" s="1243" customFormat="1" ht="24.75" customHeight="1">
      <c r="A25" s="1244" t="s">
        <v>123</v>
      </c>
      <c r="B25" s="1195" t="s">
        <v>109</v>
      </c>
      <c r="C25" s="1194">
        <v>46041</v>
      </c>
      <c r="D25" s="1194"/>
      <c r="E25" s="1214"/>
      <c r="F25" s="1195" t="s">
        <v>110</v>
      </c>
      <c r="G25" s="1215" t="s">
        <v>124</v>
      </c>
      <c r="H25" s="1196">
        <v>55</v>
      </c>
      <c r="I25" s="659" t="s">
        <v>55</v>
      </c>
      <c r="J25" s="1196" t="s">
        <v>91</v>
      </c>
      <c r="K25" s="1196" t="s">
        <v>115</v>
      </c>
      <c r="L25" s="1214"/>
      <c r="M25" s="1216" t="s">
        <v>57</v>
      </c>
      <c r="N25" s="1227">
        <v>44782</v>
      </c>
      <c r="O25" s="1216" t="s">
        <v>57</v>
      </c>
      <c r="P25" s="1229" t="s">
        <v>58</v>
      </c>
      <c r="Q25" s="1219"/>
      <c r="R25" s="1219"/>
      <c r="S25" s="1219"/>
      <c r="T25" s="1219"/>
      <c r="U25" s="1219"/>
      <c r="V25" s="1220">
        <v>3690</v>
      </c>
      <c r="W25" s="1200"/>
      <c r="X25" s="1200">
        <f t="shared" si="3"/>
        <v>3690</v>
      </c>
      <c r="Y25" s="660">
        <f t="shared" si="1"/>
        <v>0</v>
      </c>
      <c r="Z25" s="1219"/>
      <c r="AA25" s="1202">
        <v>0</v>
      </c>
      <c r="AB25" s="1202">
        <v>0</v>
      </c>
      <c r="AC25" s="643">
        <v>0</v>
      </c>
      <c r="AD25" s="1203" t="s">
        <v>125</v>
      </c>
      <c r="AE25" s="1242"/>
    </row>
    <row r="26" spans="1:31" s="1243" customFormat="1" ht="24.75" customHeight="1">
      <c r="A26" s="1244" t="s">
        <v>126</v>
      </c>
      <c r="B26" s="1195" t="s">
        <v>109</v>
      </c>
      <c r="C26" s="1194">
        <v>46041</v>
      </c>
      <c r="D26" s="1194"/>
      <c r="E26" s="1194"/>
      <c r="F26" s="1195"/>
      <c r="G26" s="1195" t="s">
        <v>127</v>
      </c>
      <c r="H26" s="1196">
        <v>43</v>
      </c>
      <c r="I26" s="659" t="s">
        <v>55</v>
      </c>
      <c r="J26" s="1196" t="s">
        <v>91</v>
      </c>
      <c r="K26" s="1196" t="s">
        <v>76</v>
      </c>
      <c r="L26" s="1194"/>
      <c r="M26" s="1216" t="s">
        <v>57</v>
      </c>
      <c r="N26" s="1197">
        <v>47561.5</v>
      </c>
      <c r="O26" s="1216" t="s">
        <v>57</v>
      </c>
      <c r="P26" s="1198" t="s">
        <v>58</v>
      </c>
      <c r="Q26" s="1199"/>
      <c r="R26" s="1199"/>
      <c r="S26" s="1199"/>
      <c r="T26" s="1199"/>
      <c r="U26" s="1199"/>
      <c r="V26" s="784">
        <v>3905</v>
      </c>
      <c r="W26" s="1200"/>
      <c r="X26" s="1200">
        <f>SUM(V26-W26)</f>
        <v>3905</v>
      </c>
      <c r="Y26" s="660">
        <f t="shared" si="1"/>
        <v>0</v>
      </c>
      <c r="Z26" s="1219"/>
      <c r="AA26" s="1202">
        <v>0</v>
      </c>
      <c r="AB26" s="1202">
        <v>0</v>
      </c>
      <c r="AC26" s="643">
        <v>0</v>
      </c>
      <c r="AD26" s="1203" t="s">
        <v>119</v>
      </c>
      <c r="AE26" s="1242"/>
    </row>
    <row r="27" spans="1:31" ht="24.75" customHeight="1">
      <c r="A27" s="1193" t="s">
        <v>128</v>
      </c>
      <c r="B27" s="1195" t="s">
        <v>109</v>
      </c>
      <c r="C27" s="1194">
        <v>46006</v>
      </c>
      <c r="D27" s="1194" t="s">
        <v>129</v>
      </c>
      <c r="E27" s="1194">
        <v>46006</v>
      </c>
      <c r="F27" s="1195" t="s">
        <v>110</v>
      </c>
      <c r="G27" s="1195" t="s">
        <v>130</v>
      </c>
      <c r="H27" s="1196">
        <v>21</v>
      </c>
      <c r="I27" s="659" t="s">
        <v>55</v>
      </c>
      <c r="J27" s="1196" t="s">
        <v>63</v>
      </c>
      <c r="K27" s="1196"/>
      <c r="L27" s="1194">
        <v>46006</v>
      </c>
      <c r="M27" s="1196" t="s">
        <v>57</v>
      </c>
      <c r="N27" s="1197">
        <v>20891</v>
      </c>
      <c r="O27" s="1196" t="s">
        <v>57</v>
      </c>
      <c r="P27" s="1198" t="s">
        <v>64</v>
      </c>
      <c r="Q27" s="1199">
        <v>46006</v>
      </c>
      <c r="R27" s="1245"/>
      <c r="S27" s="1245"/>
      <c r="T27" s="1245"/>
      <c r="U27" s="1245"/>
      <c r="V27" s="1200">
        <v>1820</v>
      </c>
      <c r="W27" s="1431">
        <v>1333</v>
      </c>
      <c r="X27" s="1200">
        <f t="shared" si="3"/>
        <v>487</v>
      </c>
      <c r="Y27" s="660">
        <f t="shared" si="1"/>
        <v>0.73241758241758237</v>
      </c>
      <c r="Z27" s="1219">
        <v>46028</v>
      </c>
      <c r="AA27" s="1202">
        <v>1</v>
      </c>
      <c r="AB27" s="1202">
        <v>0</v>
      </c>
      <c r="AC27" s="1123">
        <v>576</v>
      </c>
      <c r="AD27" s="1248" t="s">
        <v>131</v>
      </c>
      <c r="AE27" s="1249"/>
    </row>
    <row r="28" spans="1:31" ht="24.75" customHeight="1">
      <c r="A28" s="1244" t="s">
        <v>132</v>
      </c>
      <c r="B28" s="1195" t="s">
        <v>109</v>
      </c>
      <c r="C28" s="1214">
        <v>45838</v>
      </c>
      <c r="D28" s="1194"/>
      <c r="E28" s="1194"/>
      <c r="F28" s="1195"/>
      <c r="G28" s="1195" t="s">
        <v>133</v>
      </c>
      <c r="H28" s="1196">
        <v>26</v>
      </c>
      <c r="I28" s="659" t="s">
        <v>55</v>
      </c>
      <c r="J28" s="1196" t="s">
        <v>91</v>
      </c>
      <c r="K28" s="1196" t="s">
        <v>115</v>
      </c>
      <c r="L28" s="1194"/>
      <c r="M28" s="1196" t="s">
        <v>57</v>
      </c>
      <c r="N28" s="1197">
        <v>12781.6</v>
      </c>
      <c r="O28" s="1196" t="s">
        <v>57</v>
      </c>
      <c r="P28" s="1198" t="s">
        <v>58</v>
      </c>
      <c r="Q28" s="1199"/>
      <c r="R28" s="1199"/>
      <c r="S28" s="1199"/>
      <c r="T28" s="1199"/>
      <c r="U28" s="1199"/>
      <c r="V28" s="784">
        <v>937</v>
      </c>
      <c r="W28" s="1200"/>
      <c r="X28" s="1200">
        <f>SUM(V28-W28)</f>
        <v>937</v>
      </c>
      <c r="Y28" s="660">
        <f t="shared" ref="Y28:Y51" si="4">IFERROR($W28/$V28, 0)</f>
        <v>0</v>
      </c>
      <c r="Z28" s="1201"/>
      <c r="AA28" s="1202">
        <v>0</v>
      </c>
      <c r="AB28" s="1202">
        <v>0</v>
      </c>
      <c r="AC28" s="1123">
        <v>0</v>
      </c>
      <c r="AD28" s="1250" t="s">
        <v>122</v>
      </c>
      <c r="AE28" s="1249"/>
    </row>
    <row r="29" spans="1:31" ht="24.75" customHeight="1">
      <c r="A29" s="1193" t="s">
        <v>134</v>
      </c>
      <c r="B29" s="1195" t="s">
        <v>109</v>
      </c>
      <c r="C29" s="1194">
        <v>46006</v>
      </c>
      <c r="D29" s="1194" t="s">
        <v>129</v>
      </c>
      <c r="E29" s="1194">
        <v>46021</v>
      </c>
      <c r="F29" s="1195" t="s">
        <v>110</v>
      </c>
      <c r="G29" s="1195" t="s">
        <v>135</v>
      </c>
      <c r="H29" s="1196">
        <v>85</v>
      </c>
      <c r="I29" s="659" t="s">
        <v>55</v>
      </c>
      <c r="J29" s="1196" t="s">
        <v>63</v>
      </c>
      <c r="K29" s="1196"/>
      <c r="L29" s="1194">
        <v>46027</v>
      </c>
      <c r="M29" s="1196" t="s">
        <v>57</v>
      </c>
      <c r="N29" s="1197">
        <v>38323.550000000003</v>
      </c>
      <c r="O29" s="1196" t="s">
        <v>57</v>
      </c>
      <c r="P29" s="1198" t="s">
        <v>101</v>
      </c>
      <c r="Q29" s="1199">
        <v>46021</v>
      </c>
      <c r="R29" s="1245"/>
      <c r="S29" s="1245"/>
      <c r="T29" s="1245"/>
      <c r="U29" s="1245"/>
      <c r="V29" s="1200">
        <v>2691</v>
      </c>
      <c r="W29" s="1436">
        <v>2740</v>
      </c>
      <c r="X29" s="1200">
        <f t="shared" si="3"/>
        <v>-49</v>
      </c>
      <c r="Y29" s="660">
        <f t="shared" si="4"/>
        <v>1.0182088442958008</v>
      </c>
      <c r="Z29" s="1219">
        <v>46029</v>
      </c>
      <c r="AA29" s="1202">
        <v>0</v>
      </c>
      <c r="AB29" s="1202">
        <v>0</v>
      </c>
      <c r="AC29" s="1124">
        <v>0</v>
      </c>
      <c r="AD29" s="1251" t="s">
        <v>136</v>
      </c>
      <c r="AE29" s="1230"/>
    </row>
    <row r="30" spans="1:31" ht="24.75" customHeight="1">
      <c r="A30" s="1193" t="s">
        <v>137</v>
      </c>
      <c r="B30" s="1195" t="s">
        <v>109</v>
      </c>
      <c r="C30" s="1194">
        <v>46006</v>
      </c>
      <c r="D30" s="1194" t="s">
        <v>129</v>
      </c>
      <c r="E30" s="1194">
        <v>46021</v>
      </c>
      <c r="F30" s="1195" t="s">
        <v>110</v>
      </c>
      <c r="G30" s="1195" t="s">
        <v>138</v>
      </c>
      <c r="H30" s="1196">
        <v>87</v>
      </c>
      <c r="I30" s="659" t="s">
        <v>55</v>
      </c>
      <c r="J30" s="1196" t="s">
        <v>63</v>
      </c>
      <c r="K30" s="1196"/>
      <c r="L30" s="1194">
        <v>46027</v>
      </c>
      <c r="M30" s="1196" t="s">
        <v>57</v>
      </c>
      <c r="N30" s="1197">
        <v>63322.45</v>
      </c>
      <c r="O30" s="1196" t="s">
        <v>57</v>
      </c>
      <c r="P30" s="1198" t="s">
        <v>86</v>
      </c>
      <c r="Q30" s="1199">
        <v>46021</v>
      </c>
      <c r="R30" s="1245"/>
      <c r="S30" s="1245"/>
      <c r="T30" s="1245"/>
      <c r="U30" s="1245"/>
      <c r="V30" s="1200">
        <v>5030</v>
      </c>
      <c r="W30" s="1431">
        <v>5142</v>
      </c>
      <c r="X30" s="1200">
        <f t="shared" si="3"/>
        <v>-112</v>
      </c>
      <c r="Y30" s="660">
        <f t="shared" si="4"/>
        <v>1.0222664015904572</v>
      </c>
      <c r="Z30" s="1219">
        <v>46029</v>
      </c>
      <c r="AA30" s="1202">
        <v>0</v>
      </c>
      <c r="AB30" s="1202">
        <v>0</v>
      </c>
      <c r="AC30" s="784">
        <v>0</v>
      </c>
      <c r="AD30" s="1203" t="s">
        <v>139</v>
      </c>
      <c r="AE30" s="1230"/>
    </row>
    <row r="31" spans="1:31" ht="24.75" customHeight="1">
      <c r="A31" s="1193" t="s">
        <v>140</v>
      </c>
      <c r="B31" s="1195" t="s">
        <v>109</v>
      </c>
      <c r="C31" s="1194">
        <v>46006</v>
      </c>
      <c r="D31" s="1194" t="s">
        <v>141</v>
      </c>
      <c r="E31" s="1194">
        <v>46021</v>
      </c>
      <c r="F31" s="1195" t="s">
        <v>142</v>
      </c>
      <c r="G31" s="1195" t="s">
        <v>143</v>
      </c>
      <c r="H31" s="1196">
        <v>88</v>
      </c>
      <c r="I31" s="659" t="s">
        <v>55</v>
      </c>
      <c r="J31" s="1196" t="s">
        <v>63</v>
      </c>
      <c r="K31" s="1196"/>
      <c r="L31" s="1194"/>
      <c r="M31" s="1196" t="s">
        <v>57</v>
      </c>
      <c r="N31" s="1197">
        <v>77109.5</v>
      </c>
      <c r="O31" s="1196" t="s">
        <v>57</v>
      </c>
      <c r="P31" s="1198" t="s">
        <v>101</v>
      </c>
      <c r="Q31" s="1199">
        <v>46021</v>
      </c>
      <c r="R31" s="1245"/>
      <c r="S31" s="1245"/>
      <c r="T31" s="1245"/>
      <c r="U31" s="1245"/>
      <c r="V31" s="1200">
        <v>6325</v>
      </c>
      <c r="W31" s="1200"/>
      <c r="X31" s="1200">
        <f t="shared" si="3"/>
        <v>6325</v>
      </c>
      <c r="Y31" s="660">
        <f t="shared" si="4"/>
        <v>0</v>
      </c>
      <c r="Z31" s="1201"/>
      <c r="AA31" s="1202">
        <v>0</v>
      </c>
      <c r="AB31" s="1202">
        <v>0</v>
      </c>
      <c r="AC31" s="784">
        <v>0</v>
      </c>
      <c r="AD31" s="1203" t="s">
        <v>144</v>
      </c>
      <c r="AE31" s="1230"/>
    </row>
    <row r="32" spans="1:31" ht="24.75" customHeight="1">
      <c r="A32" s="1193" t="s">
        <v>145</v>
      </c>
      <c r="B32" s="1195" t="s">
        <v>109</v>
      </c>
      <c r="C32" s="1194">
        <v>46006</v>
      </c>
      <c r="D32" s="1194" t="s">
        <v>141</v>
      </c>
      <c r="E32" s="1194">
        <v>46021</v>
      </c>
      <c r="F32" s="1195" t="s">
        <v>142</v>
      </c>
      <c r="G32" s="1195" t="s">
        <v>146</v>
      </c>
      <c r="H32" s="1196">
        <v>58</v>
      </c>
      <c r="I32" s="659" t="s">
        <v>55</v>
      </c>
      <c r="J32" s="1196" t="s">
        <v>63</v>
      </c>
      <c r="K32" s="1196"/>
      <c r="L32" s="1194"/>
      <c r="M32" s="1196" t="s">
        <v>57</v>
      </c>
      <c r="N32" s="1197">
        <v>58952.88</v>
      </c>
      <c r="O32" s="1196" t="s">
        <v>57</v>
      </c>
      <c r="P32" s="1198" t="s">
        <v>101</v>
      </c>
      <c r="Q32" s="1199">
        <v>46021</v>
      </c>
      <c r="R32" s="1245"/>
      <c r="S32" s="1245"/>
      <c r="T32" s="1245"/>
      <c r="U32" s="1245"/>
      <c r="V32" s="1200">
        <v>4731</v>
      </c>
      <c r="W32" s="1200"/>
      <c r="X32" s="1200">
        <f t="shared" si="3"/>
        <v>4731</v>
      </c>
      <c r="Y32" s="660">
        <f t="shared" si="4"/>
        <v>0</v>
      </c>
      <c r="Z32" s="1201"/>
      <c r="AA32" s="1202">
        <v>0</v>
      </c>
      <c r="AB32" s="1202">
        <v>0</v>
      </c>
      <c r="AC32" s="784">
        <v>0</v>
      </c>
      <c r="AD32" s="1203" t="s">
        <v>147</v>
      </c>
      <c r="AE32" s="1230"/>
    </row>
    <row r="33" spans="1:32" ht="24.75" customHeight="1">
      <c r="A33" s="1244" t="s">
        <v>148</v>
      </c>
      <c r="B33" s="1195" t="s">
        <v>109</v>
      </c>
      <c r="C33" s="1194">
        <v>46006</v>
      </c>
      <c r="D33" s="1194"/>
      <c r="E33" s="1194"/>
      <c r="F33" s="1195" t="s">
        <v>110</v>
      </c>
      <c r="G33" s="1195" t="s">
        <v>149</v>
      </c>
      <c r="H33" s="1196">
        <v>69</v>
      </c>
      <c r="I33" s="659" t="s">
        <v>55</v>
      </c>
      <c r="J33" s="1196" t="s">
        <v>91</v>
      </c>
      <c r="K33" s="1196" t="s">
        <v>115</v>
      </c>
      <c r="L33" s="1194"/>
      <c r="M33" s="1196" t="s">
        <v>57</v>
      </c>
      <c r="N33" s="1197">
        <v>41834.75</v>
      </c>
      <c r="O33" s="1196" t="s">
        <v>57</v>
      </c>
      <c r="P33" s="1198" t="s">
        <v>58</v>
      </c>
      <c r="Q33" s="1199">
        <v>46027</v>
      </c>
      <c r="R33" s="1245"/>
      <c r="S33" s="1245"/>
      <c r="T33" s="1245"/>
      <c r="U33" s="1245"/>
      <c r="V33" s="1200">
        <v>3183</v>
      </c>
      <c r="W33" s="1200"/>
      <c r="X33" s="1200">
        <f t="shared" si="3"/>
        <v>3183</v>
      </c>
      <c r="Y33" s="660">
        <f t="shared" si="4"/>
        <v>0</v>
      </c>
      <c r="Z33" s="1219"/>
      <c r="AA33" s="1202">
        <v>0</v>
      </c>
      <c r="AB33" s="1202">
        <v>0</v>
      </c>
      <c r="AC33" s="784">
        <v>0</v>
      </c>
      <c r="AD33" s="1203" t="s">
        <v>150</v>
      </c>
      <c r="AE33" s="1230"/>
    </row>
    <row r="34" spans="1:32" ht="24.75" customHeight="1">
      <c r="A34" s="1244" t="s">
        <v>151</v>
      </c>
      <c r="B34" s="1195" t="s">
        <v>109</v>
      </c>
      <c r="C34" s="1194">
        <v>46044</v>
      </c>
      <c r="D34" s="1194"/>
      <c r="E34" s="1194"/>
      <c r="F34" s="1195"/>
      <c r="G34" s="1195"/>
      <c r="H34" s="1196">
        <v>81</v>
      </c>
      <c r="I34" s="659" t="s">
        <v>55</v>
      </c>
      <c r="J34" s="1196" t="s">
        <v>91</v>
      </c>
      <c r="K34" s="1196" t="s">
        <v>115</v>
      </c>
      <c r="L34" s="1194"/>
      <c r="M34" s="1196" t="s">
        <v>57</v>
      </c>
      <c r="N34" s="1197">
        <v>53152.33</v>
      </c>
      <c r="O34" s="1196" t="s">
        <v>57</v>
      </c>
      <c r="P34" s="1198" t="s">
        <v>58</v>
      </c>
      <c r="Q34" s="1199">
        <v>46027</v>
      </c>
      <c r="R34" s="1199"/>
      <c r="S34" s="1199"/>
      <c r="T34" s="1199"/>
      <c r="U34" s="1199"/>
      <c r="V34" s="784">
        <v>3603</v>
      </c>
      <c r="W34" s="1200"/>
      <c r="X34" s="1200">
        <f>SUM(V34-W34)</f>
        <v>3603</v>
      </c>
      <c r="Y34" s="660">
        <f t="shared" si="4"/>
        <v>0</v>
      </c>
      <c r="Z34" s="1219"/>
      <c r="AA34" s="1202">
        <v>0</v>
      </c>
      <c r="AB34" s="1202">
        <v>0</v>
      </c>
      <c r="AC34" s="784">
        <v>0</v>
      </c>
      <c r="AD34" s="1203" t="s">
        <v>152</v>
      </c>
      <c r="AE34" s="1230"/>
    </row>
    <row r="35" spans="1:32" ht="24.75" customHeight="1">
      <c r="A35" s="1244" t="s">
        <v>153</v>
      </c>
      <c r="B35" s="1195" t="s">
        <v>109</v>
      </c>
      <c r="C35" s="1194">
        <v>46039</v>
      </c>
      <c r="D35" s="1194"/>
      <c r="E35" s="1194"/>
      <c r="F35" s="1195"/>
      <c r="G35" s="1195" t="s">
        <v>154</v>
      </c>
      <c r="H35" s="1196">
        <v>11</v>
      </c>
      <c r="I35" s="659" t="s">
        <v>55</v>
      </c>
      <c r="J35" s="1196" t="s">
        <v>91</v>
      </c>
      <c r="K35" s="1196" t="s">
        <v>115</v>
      </c>
      <c r="L35" s="1194"/>
      <c r="M35" s="1196" t="s">
        <v>57</v>
      </c>
      <c r="N35" s="1197">
        <v>10772</v>
      </c>
      <c r="O35" s="1196" t="s">
        <v>57</v>
      </c>
      <c r="P35" s="1198" t="s">
        <v>58</v>
      </c>
      <c r="Q35" s="1199"/>
      <c r="R35" s="1199"/>
      <c r="S35" s="1199"/>
      <c r="T35" s="1199"/>
      <c r="U35" s="1199"/>
      <c r="V35" s="784">
        <v>789</v>
      </c>
      <c r="W35" s="1200"/>
      <c r="X35" s="1200">
        <f t="shared" si="3"/>
        <v>789</v>
      </c>
      <c r="Y35" s="660"/>
      <c r="Z35" s="1201"/>
      <c r="AA35" s="1202">
        <v>0</v>
      </c>
      <c r="AB35" s="1202">
        <v>0</v>
      </c>
      <c r="AC35" s="643">
        <v>0</v>
      </c>
      <c r="AD35" s="1203" t="s">
        <v>155</v>
      </c>
      <c r="AE35" s="1230"/>
    </row>
    <row r="36" spans="1:32" ht="24.75" customHeight="1">
      <c r="A36" s="1193" t="s">
        <v>156</v>
      </c>
      <c r="B36" s="1195" t="s">
        <v>109</v>
      </c>
      <c r="C36" s="1194">
        <v>46006</v>
      </c>
      <c r="D36" s="1194" t="s">
        <v>129</v>
      </c>
      <c r="E36" s="1194">
        <v>45936</v>
      </c>
      <c r="F36" s="1195" t="s">
        <v>110</v>
      </c>
      <c r="G36" s="1195" t="s">
        <v>157</v>
      </c>
      <c r="H36" s="1196">
        <v>0</v>
      </c>
      <c r="I36" s="659" t="s">
        <v>55</v>
      </c>
      <c r="J36" s="1196" t="s">
        <v>63</v>
      </c>
      <c r="K36" s="1196" t="s">
        <v>115</v>
      </c>
      <c r="L36" s="1194" t="s">
        <v>158</v>
      </c>
      <c r="M36" s="1196" t="s">
        <v>57</v>
      </c>
      <c r="N36" s="1197">
        <v>54857.5</v>
      </c>
      <c r="O36" s="1196" t="s">
        <v>57</v>
      </c>
      <c r="P36" s="1198" t="s">
        <v>64</v>
      </c>
      <c r="Q36" s="1246">
        <v>45933</v>
      </c>
      <c r="R36" s="1247"/>
      <c r="S36" s="1245"/>
      <c r="T36" s="1245"/>
      <c r="U36" s="1245"/>
      <c r="V36" s="1200">
        <v>4104</v>
      </c>
      <c r="W36" s="1200">
        <v>3928</v>
      </c>
      <c r="X36" s="1200">
        <f t="shared" si="3"/>
        <v>176</v>
      </c>
      <c r="Y36" s="660">
        <f t="shared" si="4"/>
        <v>0.9571150097465887</v>
      </c>
      <c r="Z36" s="1219">
        <v>45938</v>
      </c>
      <c r="AA36" s="1202">
        <v>0</v>
      </c>
      <c r="AB36" s="1202">
        <v>0</v>
      </c>
      <c r="AC36" s="643">
        <v>0</v>
      </c>
      <c r="AD36" s="1203" t="s">
        <v>159</v>
      </c>
      <c r="AE36" s="1230"/>
    </row>
    <row r="37" spans="1:32" ht="24.75" customHeight="1">
      <c r="A37" s="1334" t="s">
        <v>160</v>
      </c>
      <c r="B37" s="1439" t="s">
        <v>109</v>
      </c>
      <c r="C37" s="1335">
        <v>45959</v>
      </c>
      <c r="D37" s="1335" t="s">
        <v>129</v>
      </c>
      <c r="E37" s="1335">
        <v>45961</v>
      </c>
      <c r="F37" s="1439" t="s">
        <v>142</v>
      </c>
      <c r="G37" s="1195"/>
      <c r="H37" s="1487">
        <v>0</v>
      </c>
      <c r="I37" s="659" t="s">
        <v>55</v>
      </c>
      <c r="J37" s="1487" t="s">
        <v>63</v>
      </c>
      <c r="K37" s="1487" t="s">
        <v>115</v>
      </c>
      <c r="L37" s="1335" t="s">
        <v>158</v>
      </c>
      <c r="M37" s="1487" t="s">
        <v>57</v>
      </c>
      <c r="N37" s="1488">
        <v>15670.45</v>
      </c>
      <c r="O37" s="1487" t="s">
        <v>57</v>
      </c>
      <c r="P37" s="1489" t="s">
        <v>64</v>
      </c>
      <c r="Q37" s="1490">
        <v>46031</v>
      </c>
      <c r="R37" s="1490"/>
      <c r="S37" s="1490"/>
      <c r="T37" s="1490"/>
      <c r="U37" s="1490"/>
      <c r="V37" s="784">
        <v>1202</v>
      </c>
      <c r="W37" s="1440">
        <v>1208</v>
      </c>
      <c r="X37" s="1491">
        <f>SUM(V37-W37)</f>
        <v>-6</v>
      </c>
      <c r="Y37" s="660">
        <v>1</v>
      </c>
      <c r="Z37" s="1219">
        <v>46035</v>
      </c>
      <c r="AA37" s="1492">
        <v>0</v>
      </c>
      <c r="AB37" s="1492">
        <v>0</v>
      </c>
      <c r="AC37" s="1491">
        <v>0</v>
      </c>
      <c r="AD37" s="1203" t="s">
        <v>161</v>
      </c>
      <c r="AE37" s="1230"/>
    </row>
    <row r="38" spans="1:32" ht="24.75" customHeight="1">
      <c r="A38" s="1244" t="s">
        <v>162</v>
      </c>
      <c r="B38" s="1195" t="s">
        <v>109</v>
      </c>
      <c r="C38" s="1194">
        <v>46066</v>
      </c>
      <c r="D38" s="1194"/>
      <c r="E38" s="1194"/>
      <c r="F38" s="640" t="s">
        <v>163</v>
      </c>
      <c r="G38" s="1195" t="s">
        <v>164</v>
      </c>
      <c r="H38" s="1196">
        <v>0</v>
      </c>
      <c r="I38" s="659" t="s">
        <v>55</v>
      </c>
      <c r="J38" s="1196" t="s">
        <v>91</v>
      </c>
      <c r="K38" s="1196" t="s">
        <v>115</v>
      </c>
      <c r="L38" s="1194"/>
      <c r="M38" s="1196" t="s">
        <v>57</v>
      </c>
      <c r="N38" s="1197">
        <v>13022.05</v>
      </c>
      <c r="O38" s="1196" t="s">
        <v>57</v>
      </c>
      <c r="P38" s="1198" t="s">
        <v>58</v>
      </c>
      <c r="Q38" s="1246"/>
      <c r="R38" s="1252"/>
      <c r="S38" s="1199"/>
      <c r="T38" s="1199"/>
      <c r="U38" s="1199"/>
      <c r="V38" s="784">
        <v>923</v>
      </c>
      <c r="W38" s="784"/>
      <c r="X38" s="1200">
        <f t="shared" si="3"/>
        <v>923</v>
      </c>
      <c r="Y38" s="660">
        <f t="shared" si="4"/>
        <v>0</v>
      </c>
      <c r="Z38" s="1237"/>
      <c r="AA38" s="1202">
        <v>0</v>
      </c>
      <c r="AB38" s="1202">
        <v>0</v>
      </c>
      <c r="AC38" s="1200">
        <v>0</v>
      </c>
      <c r="AD38" s="1234" t="s">
        <v>165</v>
      </c>
    </row>
    <row r="39" spans="1:32" ht="24.75" customHeight="1">
      <c r="A39" s="1244" t="s">
        <v>166</v>
      </c>
      <c r="B39" s="1195" t="s">
        <v>109</v>
      </c>
      <c r="C39" s="1194">
        <v>46047</v>
      </c>
      <c r="D39" s="1194"/>
      <c r="E39" s="1194"/>
      <c r="F39" s="640" t="s">
        <v>163</v>
      </c>
      <c r="G39" s="1195" t="s">
        <v>167</v>
      </c>
      <c r="H39" s="1196">
        <v>0</v>
      </c>
      <c r="I39" s="659" t="s">
        <v>55</v>
      </c>
      <c r="J39" s="1196" t="s">
        <v>91</v>
      </c>
      <c r="K39" s="1196" t="s">
        <v>115</v>
      </c>
      <c r="L39" s="1194"/>
      <c r="M39" s="1196" t="s">
        <v>57</v>
      </c>
      <c r="N39" s="1197">
        <v>17139.400000000001</v>
      </c>
      <c r="O39" s="1196" t="s">
        <v>57</v>
      </c>
      <c r="P39" s="1198" t="s">
        <v>58</v>
      </c>
      <c r="Q39" s="1246"/>
      <c r="R39" s="1252"/>
      <c r="S39" s="1199"/>
      <c r="T39" s="1199"/>
      <c r="U39" s="1199"/>
      <c r="V39" s="784">
        <v>1347</v>
      </c>
      <c r="W39" s="784"/>
      <c r="X39" s="1200">
        <f t="shared" si="3"/>
        <v>1347</v>
      </c>
      <c r="Y39" s="660">
        <f t="shared" si="4"/>
        <v>0</v>
      </c>
      <c r="Z39" s="1201"/>
      <c r="AA39" s="1202">
        <v>0</v>
      </c>
      <c r="AB39" s="1202">
        <v>0</v>
      </c>
      <c r="AC39" s="784">
        <v>0</v>
      </c>
      <c r="AD39" s="1203" t="s">
        <v>168</v>
      </c>
    </row>
    <row r="40" spans="1:32" ht="24.75" customHeight="1">
      <c r="A40" s="1244" t="s">
        <v>169</v>
      </c>
      <c r="B40" s="1195" t="s">
        <v>109</v>
      </c>
      <c r="C40" s="1194"/>
      <c r="D40" s="1194"/>
      <c r="E40" s="1194"/>
      <c r="F40" s="640" t="s">
        <v>163</v>
      </c>
      <c r="G40" s="1195" t="s">
        <v>170</v>
      </c>
      <c r="H40" s="1196">
        <v>0</v>
      </c>
      <c r="I40" s="1196" t="s">
        <v>55</v>
      </c>
      <c r="J40" s="1196" t="s">
        <v>91</v>
      </c>
      <c r="K40" s="1196" t="s">
        <v>115</v>
      </c>
      <c r="L40" s="1195" t="s">
        <v>158</v>
      </c>
      <c r="M40" s="1196" t="s">
        <v>57</v>
      </c>
      <c r="N40" s="1197">
        <v>3410.1</v>
      </c>
      <c r="O40" s="1196" t="s">
        <v>57</v>
      </c>
      <c r="P40" s="1198" t="s">
        <v>58</v>
      </c>
      <c r="Q40" s="1246"/>
      <c r="R40" s="1252"/>
      <c r="S40" s="1199"/>
      <c r="T40" s="1199"/>
      <c r="U40" s="1246"/>
      <c r="V40" s="1253">
        <v>226</v>
      </c>
      <c r="W40" s="1253"/>
      <c r="X40" s="1254">
        <f t="shared" si="3"/>
        <v>226</v>
      </c>
      <c r="Y40" s="660">
        <f t="shared" si="4"/>
        <v>0</v>
      </c>
      <c r="Z40" s="1237"/>
      <c r="AA40" s="1202">
        <v>0</v>
      </c>
      <c r="AB40" s="1202">
        <v>0</v>
      </c>
      <c r="AC40" s="1200">
        <v>0</v>
      </c>
      <c r="AD40" s="1255" t="s">
        <v>171</v>
      </c>
    </row>
    <row r="41" spans="1:32" ht="24.75" customHeight="1">
      <c r="A41" s="1193" t="s">
        <v>172</v>
      </c>
      <c r="B41" s="1195" t="s">
        <v>109</v>
      </c>
      <c r="C41" s="1194">
        <v>45675</v>
      </c>
      <c r="D41" s="1194" t="s">
        <v>129</v>
      </c>
      <c r="E41" s="1194">
        <v>46006</v>
      </c>
      <c r="F41" s="1195" t="s">
        <v>142</v>
      </c>
      <c r="G41" s="1195"/>
      <c r="H41" s="1196">
        <v>0</v>
      </c>
      <c r="I41" s="1196" t="s">
        <v>55</v>
      </c>
      <c r="J41" s="1196" t="s">
        <v>63</v>
      </c>
      <c r="K41" s="1196"/>
      <c r="L41" s="1194">
        <v>46006</v>
      </c>
      <c r="M41" s="1196" t="s">
        <v>57</v>
      </c>
      <c r="N41" s="1197">
        <v>45512.75</v>
      </c>
      <c r="O41" s="1196" t="s">
        <v>57</v>
      </c>
      <c r="P41" s="1198" t="s">
        <v>101</v>
      </c>
      <c r="Q41" s="1199">
        <v>46006</v>
      </c>
      <c r="R41" s="1199"/>
      <c r="S41" s="1199"/>
      <c r="T41" s="1199"/>
      <c r="U41" s="1199"/>
      <c r="V41" s="784">
        <v>3675</v>
      </c>
      <c r="W41" s="1437">
        <v>3820</v>
      </c>
      <c r="X41" s="1200">
        <f>SUM(V41-W41)</f>
        <v>-145</v>
      </c>
      <c r="Y41" s="660">
        <f t="shared" si="4"/>
        <v>1.0394557823129251</v>
      </c>
      <c r="Z41" s="1219">
        <v>46027</v>
      </c>
      <c r="AA41" s="1202">
        <v>0</v>
      </c>
      <c r="AB41" s="1202">
        <v>0</v>
      </c>
      <c r="AC41" s="643">
        <v>0</v>
      </c>
      <c r="AD41" s="1203" t="s">
        <v>173</v>
      </c>
    </row>
    <row r="42" spans="1:32" ht="24.75" customHeight="1">
      <c r="A42" s="1244" t="s">
        <v>174</v>
      </c>
      <c r="B42" s="1195" t="s">
        <v>109</v>
      </c>
      <c r="C42" s="1194">
        <v>46053</v>
      </c>
      <c r="D42" s="1194"/>
      <c r="E42" s="1194"/>
      <c r="F42" s="1195" t="s">
        <v>142</v>
      </c>
      <c r="G42" s="1195" t="s">
        <v>175</v>
      </c>
      <c r="H42" s="1196">
        <v>0</v>
      </c>
      <c r="I42" s="1196" t="s">
        <v>55</v>
      </c>
      <c r="J42" s="1196" t="s">
        <v>91</v>
      </c>
      <c r="K42" s="1196" t="s">
        <v>115</v>
      </c>
      <c r="L42" s="1194"/>
      <c r="M42" s="1196" t="s">
        <v>57</v>
      </c>
      <c r="N42" s="1197">
        <v>72842</v>
      </c>
      <c r="O42" s="1196" t="s">
        <v>57</v>
      </c>
      <c r="P42" s="1198" t="s">
        <v>58</v>
      </c>
      <c r="Q42" s="1256"/>
      <c r="R42" s="1199"/>
      <c r="S42" s="1199"/>
      <c r="T42" s="1199"/>
      <c r="U42" s="1246"/>
      <c r="V42" s="1257">
        <v>5780</v>
      </c>
      <c r="W42" s="1257"/>
      <c r="X42" s="1254">
        <f t="shared" si="3"/>
        <v>5780</v>
      </c>
      <c r="Y42" s="660">
        <f t="shared" si="4"/>
        <v>0</v>
      </c>
      <c r="Z42" s="1201"/>
      <c r="AA42" s="1202">
        <v>0</v>
      </c>
      <c r="AB42" s="1202">
        <v>0</v>
      </c>
      <c r="AC42" s="643">
        <v>0</v>
      </c>
      <c r="AD42" s="1203" t="s">
        <v>176</v>
      </c>
    </row>
    <row r="43" spans="1:32" ht="24.75" customHeight="1">
      <c r="A43" s="1193" t="s">
        <v>177</v>
      </c>
      <c r="B43" s="1195" t="s">
        <v>109</v>
      </c>
      <c r="C43" s="1194">
        <v>46031</v>
      </c>
      <c r="D43" s="1194" t="s">
        <v>178</v>
      </c>
      <c r="E43" s="1194"/>
      <c r="F43" s="1195" t="s">
        <v>53</v>
      </c>
      <c r="G43" s="1195" t="s">
        <v>179</v>
      </c>
      <c r="H43" s="1196">
        <v>0</v>
      </c>
      <c r="I43" s="1196" t="s">
        <v>55</v>
      </c>
      <c r="J43" s="1196" t="s">
        <v>63</v>
      </c>
      <c r="K43" s="1196"/>
      <c r="L43" s="1194"/>
      <c r="M43" s="1196" t="s">
        <v>57</v>
      </c>
      <c r="N43" s="1197">
        <v>255.05</v>
      </c>
      <c r="O43" s="1196" t="s">
        <v>57</v>
      </c>
      <c r="P43" s="1198" t="s">
        <v>58</v>
      </c>
      <c r="Q43" s="1199"/>
      <c r="R43" s="1199"/>
      <c r="S43" s="1199"/>
      <c r="T43" s="1199"/>
      <c r="U43" s="1199"/>
      <c r="V43" s="784">
        <v>3</v>
      </c>
      <c r="W43" s="1200"/>
      <c r="X43" s="1200">
        <f>SUM(V43-W43)</f>
        <v>3</v>
      </c>
      <c r="Y43" s="660">
        <f t="shared" si="4"/>
        <v>0</v>
      </c>
      <c r="Z43" s="1201"/>
      <c r="AA43" s="1202">
        <v>0</v>
      </c>
      <c r="AB43" s="1202">
        <v>0</v>
      </c>
      <c r="AC43" s="643">
        <v>0</v>
      </c>
      <c r="AD43" s="1203" t="s">
        <v>180</v>
      </c>
    </row>
    <row r="44" spans="1:32" ht="24.75" customHeight="1">
      <c r="A44" s="1244" t="s">
        <v>181</v>
      </c>
      <c r="B44" s="1195" t="s">
        <v>109</v>
      </c>
      <c r="C44" s="1194">
        <v>46020</v>
      </c>
      <c r="D44" s="1194"/>
      <c r="E44" s="1194"/>
      <c r="F44" s="1195" t="s">
        <v>110</v>
      </c>
      <c r="G44" s="1195" t="s">
        <v>182</v>
      </c>
      <c r="H44" s="1196">
        <v>0</v>
      </c>
      <c r="I44" s="1196" t="s">
        <v>55</v>
      </c>
      <c r="J44" s="1196" t="s">
        <v>91</v>
      </c>
      <c r="K44" s="1196" t="s">
        <v>115</v>
      </c>
      <c r="L44" s="1195"/>
      <c r="M44" s="1196" t="s">
        <v>57</v>
      </c>
      <c r="N44" s="1197">
        <v>17916.55</v>
      </c>
      <c r="O44" s="1196" t="s">
        <v>57</v>
      </c>
      <c r="P44" s="1198" t="s">
        <v>58</v>
      </c>
      <c r="Q44" s="1199"/>
      <c r="R44" s="1199"/>
      <c r="S44" s="1199"/>
      <c r="T44" s="1199"/>
      <c r="U44" s="1199"/>
      <c r="V44" s="957">
        <v>1433</v>
      </c>
      <c r="W44" s="957"/>
      <c r="X44" s="1200">
        <f t="shared" si="3"/>
        <v>1433</v>
      </c>
      <c r="Y44" s="660">
        <f t="shared" si="4"/>
        <v>0</v>
      </c>
      <c r="Z44" s="1237"/>
      <c r="AA44" s="1202">
        <v>0</v>
      </c>
      <c r="AB44" s="1202">
        <v>0</v>
      </c>
      <c r="AC44" s="1200">
        <v>0</v>
      </c>
      <c r="AD44" s="1255" t="s">
        <v>183</v>
      </c>
    </row>
    <row r="45" spans="1:32" ht="24.75" customHeight="1">
      <c r="A45" s="1244" t="s">
        <v>184</v>
      </c>
      <c r="B45" s="1195" t="s">
        <v>109</v>
      </c>
      <c r="C45" s="1194">
        <v>46031</v>
      </c>
      <c r="D45" s="1194"/>
      <c r="E45" s="1194">
        <v>45866</v>
      </c>
      <c r="F45" s="1195" t="s">
        <v>110</v>
      </c>
      <c r="G45" s="1195" t="s">
        <v>185</v>
      </c>
      <c r="H45" s="1196">
        <v>0</v>
      </c>
      <c r="I45" s="659" t="s">
        <v>55</v>
      </c>
      <c r="J45" s="1196" t="s">
        <v>91</v>
      </c>
      <c r="K45" s="1196" t="s">
        <v>115</v>
      </c>
      <c r="L45" s="1194">
        <v>45866</v>
      </c>
      <c r="M45" s="1196" t="s">
        <v>57</v>
      </c>
      <c r="N45" s="1197">
        <v>18401.05</v>
      </c>
      <c r="O45" s="1196" t="s">
        <v>57</v>
      </c>
      <c r="P45" s="1198" t="s">
        <v>101</v>
      </c>
      <c r="Q45" s="1199">
        <v>45866</v>
      </c>
      <c r="R45" s="1199"/>
      <c r="S45" s="1199"/>
      <c r="T45" s="1199"/>
      <c r="U45" s="1199"/>
      <c r="V45" s="784">
        <v>1403</v>
      </c>
      <c r="W45" s="784"/>
      <c r="X45" s="1200">
        <f t="shared" si="3"/>
        <v>1403</v>
      </c>
      <c r="Y45" s="660">
        <f t="shared" si="4"/>
        <v>0</v>
      </c>
      <c r="Z45" s="1237"/>
      <c r="AA45" s="1202">
        <v>0</v>
      </c>
      <c r="AB45" s="1202">
        <v>0</v>
      </c>
      <c r="AC45" s="1200">
        <v>0</v>
      </c>
      <c r="AD45" s="1234" t="s">
        <v>186</v>
      </c>
    </row>
    <row r="46" spans="1:32" ht="24.75" customHeight="1">
      <c r="A46" s="1244" t="s">
        <v>187</v>
      </c>
      <c r="B46" s="1195" t="s">
        <v>109</v>
      </c>
      <c r="C46" s="1194"/>
      <c r="D46" s="1194"/>
      <c r="E46" s="1194"/>
      <c r="F46" s="1195" t="s">
        <v>110</v>
      </c>
      <c r="G46" s="1195" t="s">
        <v>188</v>
      </c>
      <c r="H46" s="1196">
        <v>0</v>
      </c>
      <c r="I46" s="659" t="s">
        <v>55</v>
      </c>
      <c r="J46" s="1196" t="s">
        <v>91</v>
      </c>
      <c r="K46" s="1196" t="s">
        <v>115</v>
      </c>
      <c r="L46" s="1194"/>
      <c r="M46" s="1196" t="s">
        <v>57</v>
      </c>
      <c r="N46" s="1197">
        <v>7666.75</v>
      </c>
      <c r="O46" s="1196" t="s">
        <v>57</v>
      </c>
      <c r="P46" s="1198" t="s">
        <v>58</v>
      </c>
      <c r="Q46" s="1199"/>
      <c r="R46" s="1199"/>
      <c r="S46" s="1199"/>
      <c r="T46" s="1199"/>
      <c r="U46" s="1199"/>
      <c r="V46" s="784">
        <v>465</v>
      </c>
      <c r="W46" s="784"/>
      <c r="X46" s="1200">
        <f t="shared" si="3"/>
        <v>465</v>
      </c>
      <c r="Y46" s="660">
        <f t="shared" si="4"/>
        <v>0</v>
      </c>
      <c r="Z46" s="1201"/>
      <c r="AA46" s="1202">
        <v>0</v>
      </c>
      <c r="AB46" s="1202">
        <v>0</v>
      </c>
      <c r="AC46" s="643">
        <v>0</v>
      </c>
      <c r="AD46" s="1203" t="s">
        <v>189</v>
      </c>
      <c r="AF46" s="1258"/>
    </row>
    <row r="47" spans="1:32" ht="24.75" customHeight="1">
      <c r="A47" s="1193" t="s">
        <v>190</v>
      </c>
      <c r="B47" s="1195" t="s">
        <v>109</v>
      </c>
      <c r="C47" s="1194">
        <v>46010</v>
      </c>
      <c r="D47" s="1194" t="s">
        <v>141</v>
      </c>
      <c r="E47" s="1194">
        <v>46007</v>
      </c>
      <c r="F47" s="1195" t="s">
        <v>110</v>
      </c>
      <c r="G47" s="1195" t="s">
        <v>191</v>
      </c>
      <c r="H47" s="1196">
        <v>0</v>
      </c>
      <c r="I47" s="659" t="s">
        <v>55</v>
      </c>
      <c r="J47" s="1196" t="s">
        <v>63</v>
      </c>
      <c r="K47" s="1196"/>
      <c r="L47" s="1194" t="s">
        <v>158</v>
      </c>
      <c r="M47" s="1196" t="s">
        <v>57</v>
      </c>
      <c r="N47" s="1197">
        <v>34863</v>
      </c>
      <c r="O47" s="1196" t="s">
        <v>57</v>
      </c>
      <c r="P47" s="1198" t="s">
        <v>101</v>
      </c>
      <c r="Q47" s="1199">
        <v>45995</v>
      </c>
      <c r="R47" s="1199"/>
      <c r="S47" s="1199"/>
      <c r="T47" s="1199"/>
      <c r="U47" s="1199"/>
      <c r="V47" s="784">
        <v>2710</v>
      </c>
      <c r="W47" s="784"/>
      <c r="X47" s="1200">
        <f t="shared" si="3"/>
        <v>2710</v>
      </c>
      <c r="Y47" s="660">
        <f t="shared" si="4"/>
        <v>0</v>
      </c>
      <c r="Z47" s="1201"/>
      <c r="AA47" s="1202">
        <v>0</v>
      </c>
      <c r="AB47" s="1202">
        <v>0</v>
      </c>
      <c r="AC47" s="643">
        <v>0</v>
      </c>
      <c r="AD47" s="1203" t="s">
        <v>192</v>
      </c>
      <c r="AF47" s="1258"/>
    </row>
    <row r="48" spans="1:32" ht="24.75" customHeight="1">
      <c r="A48" s="1193" t="s">
        <v>193</v>
      </c>
      <c r="B48" s="1195" t="s">
        <v>109</v>
      </c>
      <c r="C48" s="1194">
        <v>46203</v>
      </c>
      <c r="D48" s="1195" t="s">
        <v>51</v>
      </c>
      <c r="E48" s="1194"/>
      <c r="F48" s="1195" t="s">
        <v>53</v>
      </c>
      <c r="G48" s="1195" t="s">
        <v>194</v>
      </c>
      <c r="H48" s="1196">
        <v>0</v>
      </c>
      <c r="I48" s="659" t="s">
        <v>55</v>
      </c>
      <c r="J48" s="1196" t="s">
        <v>56</v>
      </c>
      <c r="K48" s="1196"/>
      <c r="L48" s="1194" t="s">
        <v>158</v>
      </c>
      <c r="M48" s="1196" t="s">
        <v>57</v>
      </c>
      <c r="N48" s="1197">
        <v>388</v>
      </c>
      <c r="O48" s="1196" t="s">
        <v>57</v>
      </c>
      <c r="P48" s="1198" t="s">
        <v>58</v>
      </c>
      <c r="Q48" s="1259" t="s">
        <v>158</v>
      </c>
      <c r="R48" s="1252"/>
      <c r="S48" s="1199"/>
      <c r="T48" s="1199"/>
      <c r="U48" s="1199"/>
      <c r="V48" s="784">
        <v>0</v>
      </c>
      <c r="W48" s="784"/>
      <c r="X48" s="1200">
        <f t="shared" si="3"/>
        <v>0</v>
      </c>
      <c r="Y48" s="660">
        <f t="shared" si="4"/>
        <v>0</v>
      </c>
      <c r="Z48" s="1237"/>
      <c r="AA48" s="1202">
        <v>0</v>
      </c>
      <c r="AB48" s="1202">
        <v>0</v>
      </c>
      <c r="AC48" s="1200">
        <v>0</v>
      </c>
      <c r="AD48" s="1234" t="s">
        <v>195</v>
      </c>
      <c r="AF48" s="1258"/>
    </row>
    <row r="49" spans="1:56" ht="24.75" customHeight="1">
      <c r="A49" s="1244" t="s">
        <v>196</v>
      </c>
      <c r="B49" s="1195" t="s">
        <v>109</v>
      </c>
      <c r="C49" s="1214">
        <v>46041</v>
      </c>
      <c r="D49" s="1194"/>
      <c r="E49" s="1194"/>
      <c r="F49" s="1195"/>
      <c r="G49" s="1195" t="s">
        <v>197</v>
      </c>
      <c r="H49" s="1196">
        <v>0</v>
      </c>
      <c r="I49" s="659" t="s">
        <v>55</v>
      </c>
      <c r="J49" s="1196" t="s">
        <v>91</v>
      </c>
      <c r="K49" s="1196" t="s">
        <v>115</v>
      </c>
      <c r="L49" s="1194"/>
      <c r="M49" s="1196" t="s">
        <v>57</v>
      </c>
      <c r="N49" s="1197">
        <v>38359.1</v>
      </c>
      <c r="O49" s="1196" t="s">
        <v>57</v>
      </c>
      <c r="P49" s="1198" t="s">
        <v>58</v>
      </c>
      <c r="Q49" s="1199"/>
      <c r="R49" s="1199"/>
      <c r="S49" s="1199"/>
      <c r="T49" s="1199"/>
      <c r="U49" s="1199"/>
      <c r="V49" s="784">
        <v>3146</v>
      </c>
      <c r="W49" s="784"/>
      <c r="X49" s="1200">
        <f>SUM(V49-W49)</f>
        <v>3146</v>
      </c>
      <c r="Y49" s="660">
        <f t="shared" si="4"/>
        <v>0</v>
      </c>
      <c r="Z49" s="1237"/>
      <c r="AA49" s="1202">
        <v>0</v>
      </c>
      <c r="AB49" s="1202">
        <v>0</v>
      </c>
      <c r="AC49" s="1200">
        <v>0</v>
      </c>
      <c r="AD49" s="1234" t="s">
        <v>198</v>
      </c>
      <c r="AE49" s="1260"/>
      <c r="AF49" s="1258"/>
    </row>
    <row r="50" spans="1:56" ht="24.75" customHeight="1">
      <c r="A50" s="1244" t="s">
        <v>199</v>
      </c>
      <c r="B50" s="1195" t="s">
        <v>109</v>
      </c>
      <c r="C50" s="1194"/>
      <c r="D50" s="1194"/>
      <c r="E50" s="1194"/>
      <c r="F50" s="1195"/>
      <c r="G50" s="1195"/>
      <c r="H50" s="1196">
        <v>0</v>
      </c>
      <c r="I50" s="1196" t="s">
        <v>55</v>
      </c>
      <c r="J50" s="1196" t="s">
        <v>91</v>
      </c>
      <c r="K50" s="1196" t="s">
        <v>103</v>
      </c>
      <c r="L50" s="1194"/>
      <c r="M50" s="1196" t="s">
        <v>92</v>
      </c>
      <c r="N50" s="1197"/>
      <c r="O50" s="1196" t="s">
        <v>92</v>
      </c>
      <c r="P50" s="1198" t="s">
        <v>58</v>
      </c>
      <c r="Q50" s="1199"/>
      <c r="R50" s="1199"/>
      <c r="S50" s="1199"/>
      <c r="T50" s="1199"/>
      <c r="U50" s="1199"/>
      <c r="V50" s="784">
        <v>442</v>
      </c>
      <c r="W50" s="784"/>
      <c r="X50" s="1200">
        <f>SUM(V50-W50)</f>
        <v>442</v>
      </c>
      <c r="Y50" s="660">
        <f t="shared" si="4"/>
        <v>0</v>
      </c>
      <c r="Z50" s="1237"/>
      <c r="AA50" s="1202">
        <v>0</v>
      </c>
      <c r="AB50" s="1202">
        <v>0</v>
      </c>
      <c r="AC50" s="1200">
        <v>0</v>
      </c>
      <c r="AD50" s="1234" t="s">
        <v>200</v>
      </c>
      <c r="AE50" s="1260"/>
      <c r="AF50" s="1258"/>
    </row>
    <row r="51" spans="1:56" ht="24.75" customHeight="1">
      <c r="A51" s="1193" t="s">
        <v>201</v>
      </c>
      <c r="B51" s="679" t="s">
        <v>109</v>
      </c>
      <c r="C51" s="1194">
        <v>46015</v>
      </c>
      <c r="D51" s="1194" t="s">
        <v>202</v>
      </c>
      <c r="E51" s="1194">
        <v>45965</v>
      </c>
      <c r="F51" s="1195" t="s">
        <v>110</v>
      </c>
      <c r="G51" s="1195" t="s">
        <v>203</v>
      </c>
      <c r="H51" s="1196">
        <v>0</v>
      </c>
      <c r="I51" s="659" t="s">
        <v>55</v>
      </c>
      <c r="J51" s="1196" t="s">
        <v>63</v>
      </c>
      <c r="K51" s="1196"/>
      <c r="L51" s="1194"/>
      <c r="M51" s="1196" t="s">
        <v>57</v>
      </c>
      <c r="N51" s="1197">
        <v>4773.8</v>
      </c>
      <c r="O51" s="1196" t="s">
        <v>57</v>
      </c>
      <c r="P51" s="1198" t="s">
        <v>64</v>
      </c>
      <c r="Q51" s="1199"/>
      <c r="R51" s="1199"/>
      <c r="S51" s="1199"/>
      <c r="T51" s="1199"/>
      <c r="U51" s="1199"/>
      <c r="V51" s="784">
        <v>103</v>
      </c>
      <c r="W51" s="784">
        <v>82</v>
      </c>
      <c r="X51" s="1200">
        <f t="shared" si="3"/>
        <v>21</v>
      </c>
      <c r="Y51" s="660">
        <f t="shared" si="4"/>
        <v>0.79611650485436891</v>
      </c>
      <c r="Z51" s="1219">
        <v>45985</v>
      </c>
      <c r="AA51" s="1202">
        <v>0</v>
      </c>
      <c r="AB51" s="1202">
        <v>0</v>
      </c>
      <c r="AC51" s="1200">
        <v>0</v>
      </c>
      <c r="AD51" s="1203" t="s">
        <v>204</v>
      </c>
      <c r="AE51" s="1260"/>
      <c r="AF51" s="1258"/>
    </row>
    <row r="52" spans="1:56" ht="24.75" customHeight="1">
      <c r="A52" s="1195"/>
      <c r="B52" s="679"/>
      <c r="C52" s="1194"/>
      <c r="D52" s="1194"/>
      <c r="E52" s="1194"/>
      <c r="F52" s="1195"/>
      <c r="G52" s="1195"/>
      <c r="H52" s="1196"/>
      <c r="I52" s="659"/>
      <c r="J52" s="1196"/>
      <c r="K52" s="1196"/>
      <c r="L52" s="1194"/>
      <c r="M52" s="1196"/>
      <c r="N52" s="1197"/>
      <c r="O52" s="1196"/>
      <c r="P52" s="1198"/>
      <c r="Q52" s="1199"/>
      <c r="R52" s="1199"/>
      <c r="S52" s="1199"/>
      <c r="T52" s="1199"/>
      <c r="U52" s="1199"/>
      <c r="V52" s="1200"/>
      <c r="W52" s="1200"/>
      <c r="X52" s="1200"/>
      <c r="Y52" s="660"/>
      <c r="Z52" s="1201"/>
      <c r="AA52" s="1202"/>
      <c r="AB52" s="1202"/>
      <c r="AC52" s="1200"/>
      <c r="AD52" s="1203"/>
      <c r="AE52" s="1260"/>
      <c r="AF52" s="1258"/>
    </row>
    <row r="53" spans="1:56" ht="24.75" customHeight="1">
      <c r="A53" s="1195"/>
      <c r="B53" s="679"/>
      <c r="C53" s="1194"/>
      <c r="D53" s="1194"/>
      <c r="E53" s="1194"/>
      <c r="F53" s="1195"/>
      <c r="G53" s="1195"/>
      <c r="H53" s="1196"/>
      <c r="I53" s="659"/>
      <c r="J53" s="1196"/>
      <c r="K53" s="1196"/>
      <c r="L53" s="1194"/>
      <c r="M53" s="1196"/>
      <c r="N53" s="1197"/>
      <c r="O53" s="1196"/>
      <c r="P53" s="1198"/>
      <c r="Q53" s="1199"/>
      <c r="R53" s="1199"/>
      <c r="S53" s="1199"/>
      <c r="T53" s="1199"/>
      <c r="U53" s="1199"/>
      <c r="V53" s="1200"/>
      <c r="W53" s="1200"/>
      <c r="X53" s="1200"/>
      <c r="Y53" s="660"/>
      <c r="Z53" s="1201"/>
      <c r="AA53" s="1202"/>
      <c r="AB53" s="1202"/>
      <c r="AC53" s="1200"/>
      <c r="AD53" s="1203"/>
      <c r="AE53" s="1260"/>
      <c r="AF53" s="1258"/>
    </row>
    <row r="54" spans="1:56" ht="24.75" customHeight="1">
      <c r="A54" s="1185" t="s">
        <v>205</v>
      </c>
      <c r="B54" s="1186" t="s">
        <v>20</v>
      </c>
      <c r="C54" s="1186" t="s">
        <v>21</v>
      </c>
      <c r="D54" s="1186" t="s">
        <v>22</v>
      </c>
      <c r="E54" s="1186" t="s">
        <v>23</v>
      </c>
      <c r="F54" s="1186" t="s">
        <v>24</v>
      </c>
      <c r="G54" s="1186" t="s">
        <v>25</v>
      </c>
      <c r="H54" s="1186" t="s">
        <v>26</v>
      </c>
      <c r="I54" s="1186" t="s">
        <v>27</v>
      </c>
      <c r="J54" s="1186" t="s">
        <v>28</v>
      </c>
      <c r="K54" s="1186" t="s">
        <v>29</v>
      </c>
      <c r="L54" s="1186" t="s">
        <v>30</v>
      </c>
      <c r="M54" s="1186" t="s">
        <v>31</v>
      </c>
      <c r="N54" s="1187" t="s">
        <v>32</v>
      </c>
      <c r="O54" s="1186" t="s">
        <v>33</v>
      </c>
      <c r="P54" s="1188" t="s">
        <v>34</v>
      </c>
      <c r="Q54" s="1189" t="s">
        <v>35</v>
      </c>
      <c r="R54" s="1189" t="s">
        <v>36</v>
      </c>
      <c r="S54" s="1189" t="s">
        <v>37</v>
      </c>
      <c r="T54" s="1189" t="s">
        <v>38</v>
      </c>
      <c r="U54" s="1189" t="s">
        <v>39</v>
      </c>
      <c r="V54" s="1189" t="s">
        <v>40</v>
      </c>
      <c r="W54" s="1189" t="s">
        <v>41</v>
      </c>
      <c r="X54" s="1189" t="s">
        <v>42</v>
      </c>
      <c r="Y54" s="1189" t="s">
        <v>43</v>
      </c>
      <c r="Z54" s="1189" t="s">
        <v>44</v>
      </c>
      <c r="AA54" s="1190" t="s">
        <v>45</v>
      </c>
      <c r="AB54" s="1189" t="s">
        <v>46</v>
      </c>
      <c r="AC54" s="1189" t="s">
        <v>47</v>
      </c>
      <c r="AD54" s="1191" t="s">
        <v>48</v>
      </c>
      <c r="AE54" s="1260"/>
      <c r="AF54" s="1258"/>
    </row>
    <row r="55" spans="1:56" ht="24.75" customHeight="1">
      <c r="A55" s="1193" t="s">
        <v>206</v>
      </c>
      <c r="B55" s="827" t="s">
        <v>207</v>
      </c>
      <c r="C55" s="1194">
        <v>46039</v>
      </c>
      <c r="D55" s="1194" t="s">
        <v>84</v>
      </c>
      <c r="E55" s="1194">
        <v>45966</v>
      </c>
      <c r="F55" s="1194" t="s">
        <v>208</v>
      </c>
      <c r="G55" s="1195" t="s">
        <v>209</v>
      </c>
      <c r="H55" s="1196">
        <v>0</v>
      </c>
      <c r="I55" s="659" t="s">
        <v>55</v>
      </c>
      <c r="J55" s="1196" t="s">
        <v>63</v>
      </c>
      <c r="K55" s="1216"/>
      <c r="L55" s="1194"/>
      <c r="M55" s="1196" t="s">
        <v>57</v>
      </c>
      <c r="N55" s="1197">
        <v>82825</v>
      </c>
      <c r="O55" s="1196" t="s">
        <v>57</v>
      </c>
      <c r="P55" s="1198" t="s">
        <v>101</v>
      </c>
      <c r="Q55" s="1199">
        <v>45965</v>
      </c>
      <c r="R55" s="1199"/>
      <c r="S55" s="1199"/>
      <c r="T55" s="1199"/>
      <c r="U55" s="1199"/>
      <c r="V55" s="784">
        <v>6210</v>
      </c>
      <c r="W55" s="784"/>
      <c r="X55" s="1200">
        <f t="shared" ref="X55:X94" si="5">SUM(V55-W55)</f>
        <v>6210</v>
      </c>
      <c r="Y55" s="660">
        <f t="shared" ref="Y55:Y94" si="6">IFERROR($W55/$V55, 0)</f>
        <v>0</v>
      </c>
      <c r="Z55" s="1201"/>
      <c r="AA55" s="1202">
        <v>0</v>
      </c>
      <c r="AB55" s="1202">
        <v>0</v>
      </c>
      <c r="AC55" s="1220">
        <v>0</v>
      </c>
      <c r="AD55" s="1203" t="s">
        <v>210</v>
      </c>
      <c r="AE55" s="1260"/>
      <c r="AF55" s="1258"/>
    </row>
    <row r="56" spans="1:56" ht="24.75" customHeight="1">
      <c r="A56" s="1193" t="s">
        <v>211</v>
      </c>
      <c r="B56" s="827" t="s">
        <v>207</v>
      </c>
      <c r="C56" s="1194">
        <v>46039</v>
      </c>
      <c r="D56" s="1194" t="s">
        <v>84</v>
      </c>
      <c r="E56" s="1194">
        <v>45966</v>
      </c>
      <c r="F56" s="1194" t="s">
        <v>208</v>
      </c>
      <c r="G56" s="1195" t="s">
        <v>212</v>
      </c>
      <c r="H56" s="1196">
        <v>7</v>
      </c>
      <c r="I56" s="659" t="s">
        <v>55</v>
      </c>
      <c r="J56" s="1196" t="s">
        <v>63</v>
      </c>
      <c r="K56" s="1216"/>
      <c r="L56" s="1194"/>
      <c r="M56" s="1196" t="s">
        <v>57</v>
      </c>
      <c r="N56" s="1197">
        <v>34736.85</v>
      </c>
      <c r="O56" s="1196" t="s">
        <v>57</v>
      </c>
      <c r="P56" s="1198" t="s">
        <v>64</v>
      </c>
      <c r="Q56" s="1199">
        <v>45965</v>
      </c>
      <c r="R56" s="1199"/>
      <c r="S56" s="1199"/>
      <c r="T56" s="1199"/>
      <c r="U56" s="1199"/>
      <c r="V56" s="784">
        <v>2601</v>
      </c>
      <c r="W56" s="784">
        <v>1661</v>
      </c>
      <c r="X56" s="1200">
        <f t="shared" si="5"/>
        <v>940</v>
      </c>
      <c r="Y56" s="660">
        <f t="shared" si="6"/>
        <v>0.63860053825451746</v>
      </c>
      <c r="Z56" s="1219">
        <v>45973</v>
      </c>
      <c r="AA56" s="1202">
        <v>0</v>
      </c>
      <c r="AB56" s="1202">
        <v>0</v>
      </c>
      <c r="AC56" s="1220">
        <v>2601</v>
      </c>
      <c r="AD56" s="1203" t="s">
        <v>213</v>
      </c>
      <c r="AE56" s="1260"/>
      <c r="AF56" s="1258"/>
    </row>
    <row r="57" spans="1:56" ht="24.75" customHeight="1">
      <c r="A57" s="1193" t="s">
        <v>214</v>
      </c>
      <c r="B57" s="827" t="s">
        <v>207</v>
      </c>
      <c r="C57" s="1194">
        <v>45987</v>
      </c>
      <c r="D57" s="1215" t="s">
        <v>51</v>
      </c>
      <c r="E57" s="1214"/>
      <c r="F57" s="1215" t="s">
        <v>53</v>
      </c>
      <c r="G57" s="1215" t="s">
        <v>215</v>
      </c>
      <c r="H57" s="1216">
        <v>0</v>
      </c>
      <c r="I57" s="659" t="s">
        <v>55</v>
      </c>
      <c r="J57" s="1196" t="s">
        <v>63</v>
      </c>
      <c r="K57" s="1196"/>
      <c r="L57" s="1194"/>
      <c r="M57" s="1216" t="s">
        <v>57</v>
      </c>
      <c r="N57" s="1227">
        <v>5774.1</v>
      </c>
      <c r="O57" s="1216" t="s">
        <v>57</v>
      </c>
      <c r="P57" s="1229" t="s">
        <v>58</v>
      </c>
      <c r="Q57" s="1219"/>
      <c r="R57" s="1219"/>
      <c r="S57" s="1219"/>
      <c r="T57" s="1219"/>
      <c r="U57" s="1219"/>
      <c r="V57" s="1220">
        <v>446</v>
      </c>
      <c r="W57" s="1433">
        <v>70</v>
      </c>
      <c r="X57" s="1200">
        <f t="shared" si="5"/>
        <v>376</v>
      </c>
      <c r="Y57" s="660">
        <f>IFERROR($W57/$V57, 0)</f>
        <v>0.15695067264573992</v>
      </c>
      <c r="Z57" s="1201"/>
      <c r="AA57" s="1202">
        <v>0</v>
      </c>
      <c r="AB57" s="1202">
        <v>0</v>
      </c>
      <c r="AC57" s="1220">
        <v>0</v>
      </c>
      <c r="AD57" s="1203" t="s">
        <v>216</v>
      </c>
      <c r="AE57" s="1260"/>
      <c r="AF57" s="1258"/>
    </row>
    <row r="58" spans="1:56" ht="24.75" customHeight="1">
      <c r="A58" s="1266" t="s">
        <v>217</v>
      </c>
      <c r="B58" s="827" t="s">
        <v>207</v>
      </c>
      <c r="C58" s="1335">
        <v>46053</v>
      </c>
      <c r="D58" s="1336" t="s">
        <v>218</v>
      </c>
      <c r="E58" s="1337"/>
      <c r="F58" s="1336"/>
      <c r="G58" s="1215"/>
      <c r="H58" s="1216">
        <v>0</v>
      </c>
      <c r="I58" s="1464" t="s">
        <v>219</v>
      </c>
      <c r="J58" s="1487"/>
      <c r="K58" s="1487"/>
      <c r="L58" s="1335"/>
      <c r="M58" s="1216" t="s">
        <v>57</v>
      </c>
      <c r="N58" s="1493">
        <v>1035</v>
      </c>
      <c r="O58" s="1216" t="s">
        <v>57</v>
      </c>
      <c r="P58" s="1267" t="s">
        <v>86</v>
      </c>
      <c r="Q58" s="1494"/>
      <c r="R58" s="1494"/>
      <c r="S58" s="1494"/>
      <c r="T58" s="1494"/>
      <c r="U58" s="1494"/>
      <c r="V58" s="1495">
        <v>0</v>
      </c>
      <c r="W58" s="1491">
        <v>0</v>
      </c>
      <c r="X58" s="1491">
        <f>SUM(V58-W58)</f>
        <v>0</v>
      </c>
      <c r="Y58" s="660">
        <f>IFERROR($W58/$V58, 0)</f>
        <v>0</v>
      </c>
      <c r="Z58" s="1494">
        <v>46030</v>
      </c>
      <c r="AA58" s="1202">
        <v>0</v>
      </c>
      <c r="AB58" s="1202">
        <v>0</v>
      </c>
      <c r="AC58" s="1220">
        <v>0</v>
      </c>
      <c r="AD58" s="1203" t="s">
        <v>220</v>
      </c>
      <c r="AE58" s="1260"/>
      <c r="AF58" s="1258"/>
    </row>
    <row r="59" spans="1:56" ht="24.75" customHeight="1">
      <c r="A59" s="1193" t="s">
        <v>221</v>
      </c>
      <c r="B59" s="827" t="s">
        <v>207</v>
      </c>
      <c r="C59" s="1194">
        <v>46045</v>
      </c>
      <c r="D59" s="1194" t="s">
        <v>222</v>
      </c>
      <c r="E59" s="1194">
        <v>45980</v>
      </c>
      <c r="F59" s="1194" t="s">
        <v>223</v>
      </c>
      <c r="G59" s="1195" t="s">
        <v>224</v>
      </c>
      <c r="H59" s="1196">
        <v>82</v>
      </c>
      <c r="I59" s="1196" t="s">
        <v>55</v>
      </c>
      <c r="J59" s="1196" t="s">
        <v>63</v>
      </c>
      <c r="K59" s="1196"/>
      <c r="L59" s="1194"/>
      <c r="M59" s="1196" t="s">
        <v>57</v>
      </c>
      <c r="N59" s="1197">
        <v>56294</v>
      </c>
      <c r="O59" s="1196" t="s">
        <v>57</v>
      </c>
      <c r="P59" s="1198" t="s">
        <v>64</v>
      </c>
      <c r="Q59" s="1199">
        <v>45981</v>
      </c>
      <c r="R59" s="1199"/>
      <c r="S59" s="1199"/>
      <c r="T59" s="1199"/>
      <c r="U59" s="1199"/>
      <c r="V59" s="1200">
        <v>4146</v>
      </c>
      <c r="W59" s="1200">
        <v>3667</v>
      </c>
      <c r="X59" s="1200">
        <f t="shared" si="5"/>
        <v>479</v>
      </c>
      <c r="Y59" s="660">
        <f t="shared" si="6"/>
        <v>0.88446695610226722</v>
      </c>
      <c r="Z59" s="1219"/>
      <c r="AA59" s="1202">
        <v>0</v>
      </c>
      <c r="AB59" s="1202">
        <v>0</v>
      </c>
      <c r="AC59" s="1200">
        <v>0</v>
      </c>
      <c r="AD59" s="1203" t="s">
        <v>225</v>
      </c>
      <c r="AE59" s="1260"/>
    </row>
    <row r="60" spans="1:56" ht="24.75" customHeight="1">
      <c r="A60" s="1193" t="s">
        <v>226</v>
      </c>
      <c r="B60" s="827" t="s">
        <v>207</v>
      </c>
      <c r="C60" s="1194">
        <v>46045</v>
      </c>
      <c r="D60" s="1194"/>
      <c r="E60" s="1194"/>
      <c r="F60" s="1194"/>
      <c r="G60" s="1195" t="s">
        <v>227</v>
      </c>
      <c r="H60" s="1196">
        <v>54</v>
      </c>
      <c r="I60" s="1196" t="s">
        <v>55</v>
      </c>
      <c r="J60" s="1196" t="s">
        <v>63</v>
      </c>
      <c r="K60" s="1196"/>
      <c r="L60" s="1194"/>
      <c r="M60" s="1196" t="s">
        <v>57</v>
      </c>
      <c r="N60" s="1197">
        <v>58240</v>
      </c>
      <c r="O60" s="1196" t="s">
        <v>57</v>
      </c>
      <c r="P60" s="1198" t="s">
        <v>58</v>
      </c>
      <c r="Q60" s="1199"/>
      <c r="R60" s="1199"/>
      <c r="S60" s="1199"/>
      <c r="T60" s="1199"/>
      <c r="U60" s="1199"/>
      <c r="V60" s="1200">
        <v>4594</v>
      </c>
      <c r="W60" s="1200"/>
      <c r="X60" s="1200">
        <f t="shared" si="5"/>
        <v>4594</v>
      </c>
      <c r="Y60" s="660">
        <f t="shared" si="6"/>
        <v>0</v>
      </c>
      <c r="Z60" s="1219"/>
      <c r="AA60" s="1202">
        <v>0</v>
      </c>
      <c r="AB60" s="1202">
        <v>0</v>
      </c>
      <c r="AC60" s="1220">
        <v>0</v>
      </c>
      <c r="AD60" s="1203" t="s">
        <v>228</v>
      </c>
      <c r="AE60" s="1260"/>
    </row>
    <row r="61" spans="1:56" ht="24.75" customHeight="1">
      <c r="A61" s="1193" t="s">
        <v>229</v>
      </c>
      <c r="B61" s="827" t="s">
        <v>207</v>
      </c>
      <c r="C61" s="1194">
        <v>45999</v>
      </c>
      <c r="D61" s="1214" t="s">
        <v>84</v>
      </c>
      <c r="E61" s="1214">
        <v>45959</v>
      </c>
      <c r="F61" s="1215" t="s">
        <v>208</v>
      </c>
      <c r="G61" s="1214" t="s">
        <v>230</v>
      </c>
      <c r="H61" s="828">
        <v>69</v>
      </c>
      <c r="I61" s="1196" t="s">
        <v>55</v>
      </c>
      <c r="J61" s="1196" t="s">
        <v>63</v>
      </c>
      <c r="K61" s="1196"/>
      <c r="L61" s="1214">
        <v>45925</v>
      </c>
      <c r="M61" s="825" t="s">
        <v>57</v>
      </c>
      <c r="N61" s="829">
        <v>51632</v>
      </c>
      <c r="O61" s="825" t="s">
        <v>57</v>
      </c>
      <c r="P61" s="1229" t="s">
        <v>64</v>
      </c>
      <c r="Q61" s="1219">
        <v>45932</v>
      </c>
      <c r="R61" s="1219"/>
      <c r="S61" s="1219"/>
      <c r="T61" s="1219"/>
      <c r="U61" s="1219"/>
      <c r="V61" s="977">
        <v>3997</v>
      </c>
      <c r="W61" s="784">
        <v>3743</v>
      </c>
      <c r="X61" s="1200">
        <f t="shared" si="5"/>
        <v>254</v>
      </c>
      <c r="Y61" s="660">
        <f t="shared" si="6"/>
        <v>0.93645233925444082</v>
      </c>
      <c r="Z61" s="1219">
        <v>45960</v>
      </c>
      <c r="AA61" s="1202">
        <v>0</v>
      </c>
      <c r="AB61" s="1202">
        <v>0</v>
      </c>
      <c r="AC61" s="643">
        <v>0</v>
      </c>
      <c r="AD61" s="1203" t="s">
        <v>231</v>
      </c>
      <c r="AE61" s="1258"/>
      <c r="AF61" s="1261"/>
      <c r="AG61" s="1261"/>
      <c r="AH61" s="1261"/>
      <c r="AI61" s="1261"/>
      <c r="AJ61" s="1261"/>
      <c r="AK61" s="1261"/>
      <c r="AL61" s="1261"/>
      <c r="AM61" s="1192"/>
      <c r="AN61" s="1192"/>
      <c r="AO61" s="1192"/>
      <c r="AP61" s="1192"/>
      <c r="AQ61" s="1192"/>
      <c r="AR61" s="1192"/>
      <c r="AS61" s="1192"/>
      <c r="AT61" s="1192"/>
      <c r="AU61" s="1192"/>
      <c r="AV61" s="1192"/>
      <c r="AW61" s="1192"/>
      <c r="AX61" s="1192"/>
      <c r="AY61" s="1192"/>
      <c r="AZ61" s="1192"/>
      <c r="BA61" s="1192"/>
      <c r="BB61" s="1192"/>
      <c r="BC61" s="1192"/>
      <c r="BD61" s="1192"/>
    </row>
    <row r="62" spans="1:56" ht="24.75" customHeight="1">
      <c r="A62" s="1193" t="s">
        <v>232</v>
      </c>
      <c r="B62" s="827" t="s">
        <v>207</v>
      </c>
      <c r="C62" s="1194">
        <v>45999</v>
      </c>
      <c r="D62" s="1214" t="s">
        <v>233</v>
      </c>
      <c r="E62" s="1214">
        <v>45964</v>
      </c>
      <c r="F62" s="1215" t="s">
        <v>234</v>
      </c>
      <c r="G62" s="1214" t="s">
        <v>235</v>
      </c>
      <c r="H62" s="828">
        <v>81</v>
      </c>
      <c r="I62" s="1196" t="s">
        <v>55</v>
      </c>
      <c r="J62" s="1196" t="s">
        <v>63</v>
      </c>
      <c r="K62" s="1196"/>
      <c r="L62" s="1214"/>
      <c r="M62" s="825" t="s">
        <v>57</v>
      </c>
      <c r="N62" s="829">
        <v>68962</v>
      </c>
      <c r="O62" s="825" t="s">
        <v>57</v>
      </c>
      <c r="P62" s="1229" t="s">
        <v>101</v>
      </c>
      <c r="Q62" s="1219">
        <v>45932</v>
      </c>
      <c r="R62" s="1219"/>
      <c r="S62" s="1219"/>
      <c r="T62" s="1219"/>
      <c r="U62" s="1219"/>
      <c r="V62" s="977">
        <v>5333</v>
      </c>
      <c r="W62" s="784"/>
      <c r="X62" s="1200">
        <f t="shared" si="5"/>
        <v>5333</v>
      </c>
      <c r="Y62" s="660">
        <f t="shared" si="6"/>
        <v>0</v>
      </c>
      <c r="Z62" s="1201"/>
      <c r="AA62" s="1202">
        <v>0</v>
      </c>
      <c r="AB62" s="1202">
        <v>0</v>
      </c>
      <c r="AC62" s="643">
        <v>0</v>
      </c>
      <c r="AD62" s="1203" t="s">
        <v>236</v>
      </c>
      <c r="AE62" s="1258"/>
      <c r="AF62" s="1261"/>
      <c r="AG62" s="1261"/>
      <c r="AH62" s="1261"/>
      <c r="AI62" s="1261"/>
      <c r="AJ62" s="1261"/>
      <c r="AK62" s="1261"/>
      <c r="AL62" s="1261"/>
      <c r="AM62" s="1192"/>
      <c r="AN62" s="1192"/>
      <c r="AO62" s="1192"/>
      <c r="AP62" s="1192"/>
      <c r="AQ62" s="1192"/>
      <c r="AR62" s="1192"/>
      <c r="AS62" s="1192"/>
      <c r="AT62" s="1192"/>
      <c r="AU62" s="1192"/>
      <c r="AV62" s="1192"/>
      <c r="AW62" s="1192"/>
      <c r="AX62" s="1192"/>
      <c r="AY62" s="1192"/>
      <c r="AZ62" s="1192"/>
      <c r="BA62" s="1192"/>
      <c r="BB62" s="1192"/>
      <c r="BC62" s="1192"/>
      <c r="BD62" s="1192"/>
    </row>
    <row r="63" spans="1:56" ht="24.75" customHeight="1">
      <c r="A63" s="1262" t="s">
        <v>237</v>
      </c>
      <c r="B63" s="827" t="s">
        <v>207</v>
      </c>
      <c r="C63" s="1194">
        <v>45999</v>
      </c>
      <c r="D63" s="1214" t="s">
        <v>222</v>
      </c>
      <c r="E63" s="1214">
        <v>45975</v>
      </c>
      <c r="F63" s="1215" t="s">
        <v>223</v>
      </c>
      <c r="G63" s="1214" t="s">
        <v>238</v>
      </c>
      <c r="H63" s="828">
        <v>48</v>
      </c>
      <c r="I63" s="1196" t="s">
        <v>55</v>
      </c>
      <c r="J63" s="1196" t="s">
        <v>63</v>
      </c>
      <c r="K63" s="1196"/>
      <c r="L63" s="1214"/>
      <c r="M63" s="825" t="s">
        <v>57</v>
      </c>
      <c r="N63" s="829">
        <v>39064</v>
      </c>
      <c r="O63" s="825" t="s">
        <v>57</v>
      </c>
      <c r="P63" s="1229" t="s">
        <v>101</v>
      </c>
      <c r="Q63" s="1219">
        <v>45932</v>
      </c>
      <c r="R63" s="1219"/>
      <c r="S63" s="1219"/>
      <c r="T63" s="1219"/>
      <c r="U63" s="1219"/>
      <c r="V63" s="977">
        <v>2982</v>
      </c>
      <c r="W63" s="784"/>
      <c r="X63" s="1200">
        <f t="shared" si="5"/>
        <v>2982</v>
      </c>
      <c r="Y63" s="660">
        <f t="shared" si="6"/>
        <v>0</v>
      </c>
      <c r="Z63" s="1201"/>
      <c r="AA63" s="1202">
        <v>0</v>
      </c>
      <c r="AB63" s="1202">
        <v>0</v>
      </c>
      <c r="AC63" s="643">
        <v>0</v>
      </c>
      <c r="AD63" s="1203" t="s">
        <v>239</v>
      </c>
      <c r="AE63" s="1263"/>
    </row>
    <row r="64" spans="1:56" ht="24.75" customHeight="1">
      <c r="A64" s="1244" t="s">
        <v>240</v>
      </c>
      <c r="B64" s="827" t="s">
        <v>207</v>
      </c>
      <c r="C64" s="1194">
        <v>46249</v>
      </c>
      <c r="D64" s="1214"/>
      <c r="E64" s="1214"/>
      <c r="F64" s="1215"/>
      <c r="G64" s="1214"/>
      <c r="H64" s="1216">
        <v>52</v>
      </c>
      <c r="I64" s="825" t="s">
        <v>55</v>
      </c>
      <c r="J64" s="828" t="s">
        <v>63</v>
      </c>
      <c r="K64" s="1196" t="s">
        <v>76</v>
      </c>
      <c r="L64" s="1214"/>
      <c r="M64" s="825" t="s">
        <v>57</v>
      </c>
      <c r="N64" s="1227">
        <v>61830</v>
      </c>
      <c r="O64" s="825" t="s">
        <v>57</v>
      </c>
      <c r="P64" s="1229" t="s">
        <v>58</v>
      </c>
      <c r="Q64" s="1219"/>
      <c r="R64" s="1219"/>
      <c r="S64" s="1219"/>
      <c r="T64" s="1219"/>
      <c r="U64" s="1219"/>
      <c r="V64" s="1220">
        <v>5149</v>
      </c>
      <c r="W64" s="1200"/>
      <c r="X64" s="1200">
        <f t="shared" si="5"/>
        <v>5149</v>
      </c>
      <c r="Y64" s="660">
        <f t="shared" si="6"/>
        <v>0</v>
      </c>
      <c r="Z64" s="1201"/>
      <c r="AA64" s="1202">
        <v>0</v>
      </c>
      <c r="AB64" s="1202">
        <v>0</v>
      </c>
      <c r="AC64" s="643">
        <v>0</v>
      </c>
      <c r="AD64" s="1203" t="s">
        <v>241</v>
      </c>
      <c r="AE64" s="1263"/>
    </row>
    <row r="65" spans="1:31" ht="24.75" customHeight="1">
      <c r="A65" s="1244" t="s">
        <v>242</v>
      </c>
      <c r="B65" s="827" t="s">
        <v>207</v>
      </c>
      <c r="C65" s="1214">
        <v>46171</v>
      </c>
      <c r="D65" s="1214"/>
      <c r="E65" s="1214"/>
      <c r="F65" s="1215"/>
      <c r="G65" s="1214"/>
      <c r="H65" s="1216">
        <v>56</v>
      </c>
      <c r="I65" s="825" t="s">
        <v>55</v>
      </c>
      <c r="J65" s="828" t="s">
        <v>63</v>
      </c>
      <c r="K65" s="1196" t="s">
        <v>76</v>
      </c>
      <c r="L65" s="1214"/>
      <c r="M65" s="825" t="s">
        <v>57</v>
      </c>
      <c r="N65" s="1227">
        <v>75665</v>
      </c>
      <c r="O65" s="825" t="s">
        <v>57</v>
      </c>
      <c r="P65" s="1229" t="s">
        <v>58</v>
      </c>
      <c r="Q65" s="1219"/>
      <c r="R65" s="1219"/>
      <c r="S65" s="1219"/>
      <c r="T65" s="1219"/>
      <c r="U65" s="1219"/>
      <c r="V65" s="1220">
        <v>6249</v>
      </c>
      <c r="W65" s="1200"/>
      <c r="X65" s="1200">
        <f t="shared" si="5"/>
        <v>6249</v>
      </c>
      <c r="Y65" s="660">
        <f t="shared" si="6"/>
        <v>0</v>
      </c>
      <c r="Z65" s="1201"/>
      <c r="AA65" s="1202">
        <v>0</v>
      </c>
      <c r="AB65" s="1202">
        <v>0</v>
      </c>
      <c r="AC65" s="643">
        <v>0</v>
      </c>
      <c r="AD65" s="1203" t="s">
        <v>243</v>
      </c>
      <c r="AE65" s="1263"/>
    </row>
    <row r="66" spans="1:31" ht="24.75" customHeight="1">
      <c r="A66" s="1244" t="s">
        <v>244</v>
      </c>
      <c r="B66" s="827" t="s">
        <v>207</v>
      </c>
      <c r="C66" s="1214">
        <v>46171</v>
      </c>
      <c r="D66" s="1214"/>
      <c r="E66" s="1214"/>
      <c r="F66" s="1215"/>
      <c r="G66" s="1214" t="s">
        <v>245</v>
      </c>
      <c r="H66" s="828">
        <v>70</v>
      </c>
      <c r="I66" s="825" t="s">
        <v>55</v>
      </c>
      <c r="J66" s="828" t="s">
        <v>63</v>
      </c>
      <c r="K66" s="1196" t="s">
        <v>76</v>
      </c>
      <c r="L66" s="1214"/>
      <c r="M66" s="825" t="s">
        <v>57</v>
      </c>
      <c r="N66" s="829">
        <v>80624</v>
      </c>
      <c r="O66" s="825" t="s">
        <v>57</v>
      </c>
      <c r="P66" s="1229" t="s">
        <v>58</v>
      </c>
      <c r="Q66" s="1219"/>
      <c r="R66" s="1219"/>
      <c r="S66" s="1219"/>
      <c r="T66" s="1219"/>
      <c r="U66" s="1219"/>
      <c r="V66" s="977">
        <v>6762</v>
      </c>
      <c r="W66" s="784"/>
      <c r="X66" s="1200">
        <f t="shared" si="5"/>
        <v>6762</v>
      </c>
      <c r="Y66" s="660">
        <f t="shared" si="6"/>
        <v>0</v>
      </c>
      <c r="Z66" s="1201"/>
      <c r="AA66" s="1202">
        <v>0</v>
      </c>
      <c r="AB66" s="1202">
        <v>0</v>
      </c>
      <c r="AC66" s="643">
        <v>0</v>
      </c>
      <c r="AD66" s="1203" t="s">
        <v>246</v>
      </c>
      <c r="AE66" s="1263"/>
    </row>
    <row r="67" spans="1:31" ht="24.75" customHeight="1">
      <c r="A67" s="1244" t="s">
        <v>247</v>
      </c>
      <c r="B67" s="827" t="s">
        <v>207</v>
      </c>
      <c r="C67" s="1214">
        <v>46171</v>
      </c>
      <c r="D67" s="1214"/>
      <c r="E67" s="1214"/>
      <c r="F67" s="1215"/>
      <c r="G67" s="1214"/>
      <c r="H67" s="1216">
        <v>30</v>
      </c>
      <c r="I67" s="825" t="s">
        <v>55</v>
      </c>
      <c r="J67" s="828" t="s">
        <v>63</v>
      </c>
      <c r="K67" s="1196" t="s">
        <v>76</v>
      </c>
      <c r="L67" s="1214"/>
      <c r="M67" s="825" t="s">
        <v>57</v>
      </c>
      <c r="N67" s="1227">
        <v>45160</v>
      </c>
      <c r="O67" s="825" t="s">
        <v>57</v>
      </c>
      <c r="P67" s="1229" t="s">
        <v>58</v>
      </c>
      <c r="Q67" s="1219"/>
      <c r="R67" s="1219"/>
      <c r="S67" s="1219"/>
      <c r="T67" s="1219"/>
      <c r="U67" s="1219"/>
      <c r="V67" s="1220">
        <v>3700</v>
      </c>
      <c r="W67" s="1200"/>
      <c r="X67" s="1200">
        <f t="shared" si="5"/>
        <v>3700</v>
      </c>
      <c r="Y67" s="660">
        <f t="shared" si="6"/>
        <v>0</v>
      </c>
      <c r="Z67" s="1201"/>
      <c r="AA67" s="1202">
        <v>0</v>
      </c>
      <c r="AB67" s="1202">
        <v>0</v>
      </c>
      <c r="AC67" s="643">
        <v>0</v>
      </c>
      <c r="AD67" s="1203" t="s">
        <v>248</v>
      </c>
      <c r="AE67" s="1263"/>
    </row>
    <row r="68" spans="1:31" ht="24.75" customHeight="1">
      <c r="A68" s="1244" t="s">
        <v>249</v>
      </c>
      <c r="B68" s="827" t="s">
        <v>207</v>
      </c>
      <c r="C68" s="1214">
        <v>46171</v>
      </c>
      <c r="D68" s="1214"/>
      <c r="E68" s="1214"/>
      <c r="F68" s="1215"/>
      <c r="G68" s="1214"/>
      <c r="H68" s="828">
        <v>48</v>
      </c>
      <c r="I68" s="825" t="s">
        <v>55</v>
      </c>
      <c r="J68" s="828" t="s">
        <v>63</v>
      </c>
      <c r="K68" s="1196" t="s">
        <v>76</v>
      </c>
      <c r="L68" s="1214"/>
      <c r="M68" s="825" t="s">
        <v>57</v>
      </c>
      <c r="N68" s="829">
        <v>54814</v>
      </c>
      <c r="O68" s="825" t="s">
        <v>57</v>
      </c>
      <c r="P68" s="1229" t="s">
        <v>58</v>
      </c>
      <c r="Q68" s="1219"/>
      <c r="R68" s="1219"/>
      <c r="S68" s="1219"/>
      <c r="T68" s="1219"/>
      <c r="U68" s="1219"/>
      <c r="V68" s="977">
        <v>4515</v>
      </c>
      <c r="W68" s="784"/>
      <c r="X68" s="1200">
        <f t="shared" si="5"/>
        <v>4515</v>
      </c>
      <c r="Y68" s="660">
        <f t="shared" si="6"/>
        <v>0</v>
      </c>
      <c r="Z68" s="1201"/>
      <c r="AA68" s="1202">
        <v>0</v>
      </c>
      <c r="AB68" s="1202">
        <v>0</v>
      </c>
      <c r="AC68" s="643">
        <v>0</v>
      </c>
      <c r="AD68" s="1203" t="s">
        <v>250</v>
      </c>
      <c r="AE68" s="1263"/>
    </row>
    <row r="69" spans="1:31" ht="24.75" customHeight="1">
      <c r="A69" s="1244" t="s">
        <v>251</v>
      </c>
      <c r="B69" s="827" t="s">
        <v>207</v>
      </c>
      <c r="C69" s="1214">
        <v>46171</v>
      </c>
      <c r="D69" s="1214"/>
      <c r="E69" s="1214"/>
      <c r="F69" s="1215"/>
      <c r="G69" s="1214" t="s">
        <v>252</v>
      </c>
      <c r="H69" s="828">
        <v>60</v>
      </c>
      <c r="I69" s="825" t="s">
        <v>55</v>
      </c>
      <c r="J69" s="828" t="s">
        <v>63</v>
      </c>
      <c r="K69" s="1196" t="s">
        <v>76</v>
      </c>
      <c r="L69" s="1214"/>
      <c r="M69" s="825" t="s">
        <v>57</v>
      </c>
      <c r="N69" s="829">
        <v>76865.5</v>
      </c>
      <c r="O69" s="825" t="s">
        <v>57</v>
      </c>
      <c r="P69" s="1229" t="s">
        <v>58</v>
      </c>
      <c r="Q69" s="1219"/>
      <c r="R69" s="1219"/>
      <c r="S69" s="1219"/>
      <c r="T69" s="1219"/>
      <c r="U69" s="1219"/>
      <c r="V69" s="977">
        <v>5795</v>
      </c>
      <c r="W69" s="784"/>
      <c r="X69" s="1200">
        <f t="shared" si="5"/>
        <v>5795</v>
      </c>
      <c r="Y69" s="660">
        <f t="shared" si="6"/>
        <v>0</v>
      </c>
      <c r="Z69" s="1201"/>
      <c r="AA69" s="1202">
        <v>0</v>
      </c>
      <c r="AB69" s="1202">
        <v>0</v>
      </c>
      <c r="AC69" s="643">
        <v>0</v>
      </c>
      <c r="AD69" s="1203" t="s">
        <v>250</v>
      </c>
      <c r="AE69" s="1263"/>
    </row>
    <row r="70" spans="1:31" ht="24.75" customHeight="1">
      <c r="A70" s="1244" t="s">
        <v>253</v>
      </c>
      <c r="B70" s="827" t="s">
        <v>207</v>
      </c>
      <c r="C70" s="1214">
        <v>46171</v>
      </c>
      <c r="D70" s="1214"/>
      <c r="E70" s="1214"/>
      <c r="F70" s="1215"/>
      <c r="G70" s="1214" t="s">
        <v>254</v>
      </c>
      <c r="H70" s="828">
        <v>72</v>
      </c>
      <c r="I70" s="825" t="s">
        <v>55</v>
      </c>
      <c r="J70" s="828" t="s">
        <v>63</v>
      </c>
      <c r="K70" s="1196" t="s">
        <v>76</v>
      </c>
      <c r="L70" s="1214"/>
      <c r="M70" s="825" t="s">
        <v>57</v>
      </c>
      <c r="N70" s="829">
        <v>85035</v>
      </c>
      <c r="O70" s="825" t="s">
        <v>57</v>
      </c>
      <c r="P70" s="1229" t="s">
        <v>58</v>
      </c>
      <c r="Q70" s="1219"/>
      <c r="R70" s="1219"/>
      <c r="S70" s="1219"/>
      <c r="T70" s="1219"/>
      <c r="U70" s="1219"/>
      <c r="V70" s="977">
        <v>7140</v>
      </c>
      <c r="W70" s="784"/>
      <c r="X70" s="1200">
        <f t="shared" si="5"/>
        <v>7140</v>
      </c>
      <c r="Y70" s="660">
        <f t="shared" si="6"/>
        <v>0</v>
      </c>
      <c r="Z70" s="1201"/>
      <c r="AA70" s="1202">
        <v>0</v>
      </c>
      <c r="AB70" s="1202">
        <v>0</v>
      </c>
      <c r="AC70" s="643">
        <v>0</v>
      </c>
      <c r="AD70" s="1203" t="s">
        <v>250</v>
      </c>
      <c r="AE70" s="1263"/>
    </row>
    <row r="71" spans="1:31" ht="24.75" customHeight="1">
      <c r="A71" s="1244" t="s">
        <v>255</v>
      </c>
      <c r="B71" s="827" t="s">
        <v>207</v>
      </c>
      <c r="C71" s="1194">
        <v>45997</v>
      </c>
      <c r="D71" s="1214"/>
      <c r="E71" s="1214"/>
      <c r="F71" s="1215"/>
      <c r="G71" s="1214"/>
      <c r="H71" s="1216">
        <v>20</v>
      </c>
      <c r="I71" s="825" t="s">
        <v>55</v>
      </c>
      <c r="J71" s="828" t="s">
        <v>63</v>
      </c>
      <c r="K71" s="1196" t="s">
        <v>76</v>
      </c>
      <c r="L71" s="1214"/>
      <c r="M71" s="825" t="s">
        <v>57</v>
      </c>
      <c r="N71" s="1227">
        <v>23501</v>
      </c>
      <c r="O71" s="825" t="s">
        <v>57</v>
      </c>
      <c r="P71" s="1229" t="s">
        <v>58</v>
      </c>
      <c r="Q71" s="1219"/>
      <c r="R71" s="1219"/>
      <c r="S71" s="1219"/>
      <c r="T71" s="1219"/>
      <c r="U71" s="1219"/>
      <c r="V71" s="1220">
        <v>1831</v>
      </c>
      <c r="W71" s="1200"/>
      <c r="X71" s="1200">
        <f t="shared" si="5"/>
        <v>1831</v>
      </c>
      <c r="Y71" s="660">
        <f t="shared" si="6"/>
        <v>0</v>
      </c>
      <c r="Z71" s="1201"/>
      <c r="AA71" s="1202">
        <v>0</v>
      </c>
      <c r="AB71" s="1202">
        <v>0</v>
      </c>
      <c r="AC71" s="643">
        <v>0</v>
      </c>
      <c r="AD71" s="1203" t="s">
        <v>243</v>
      </c>
      <c r="AE71" s="1263"/>
    </row>
    <row r="72" spans="1:31" ht="24.75" customHeight="1">
      <c r="A72" s="1334" t="s">
        <v>256</v>
      </c>
      <c r="B72" s="827" t="s">
        <v>207</v>
      </c>
      <c r="C72" s="1335">
        <v>46052</v>
      </c>
      <c r="D72" s="1337"/>
      <c r="E72" s="1337"/>
      <c r="F72" s="1336"/>
      <c r="G72" s="1214"/>
      <c r="H72" s="1496"/>
      <c r="I72" s="825" t="s">
        <v>55</v>
      </c>
      <c r="J72" s="828" t="s">
        <v>63</v>
      </c>
      <c r="K72" s="1487"/>
      <c r="L72" s="1337"/>
      <c r="M72" s="825" t="s">
        <v>57</v>
      </c>
      <c r="N72" s="1493">
        <v>36998.550000000003</v>
      </c>
      <c r="O72" s="825" t="s">
        <v>57</v>
      </c>
      <c r="P72" s="1229" t="s">
        <v>58</v>
      </c>
      <c r="Q72" s="1494"/>
      <c r="R72" s="1494"/>
      <c r="S72" s="1494"/>
      <c r="T72" s="1494"/>
      <c r="U72" s="1494"/>
      <c r="V72" s="1495">
        <v>2944</v>
      </c>
      <c r="W72" s="1491"/>
      <c r="X72" s="1491">
        <f>SUM(V72-W72)</f>
        <v>2944</v>
      </c>
      <c r="Y72" s="660">
        <f>IFERROR($W72/$V72, 0)</f>
        <v>0</v>
      </c>
      <c r="Z72" s="1497"/>
      <c r="AA72" s="1202">
        <v>0</v>
      </c>
      <c r="AB72" s="1202">
        <v>0</v>
      </c>
      <c r="AC72" s="643">
        <v>0</v>
      </c>
      <c r="AD72" s="1203"/>
      <c r="AE72" s="1263"/>
    </row>
    <row r="73" spans="1:31" ht="24.75" customHeight="1">
      <c r="A73" s="1244" t="s">
        <v>257</v>
      </c>
      <c r="B73" s="827" t="s">
        <v>207</v>
      </c>
      <c r="C73" s="1194">
        <v>46112</v>
      </c>
      <c r="D73" s="1214"/>
      <c r="E73" s="1214"/>
      <c r="F73" s="1215"/>
      <c r="G73" s="1214" t="s">
        <v>258</v>
      </c>
      <c r="H73" s="1216">
        <v>0</v>
      </c>
      <c r="I73" s="1196" t="s">
        <v>55</v>
      </c>
      <c r="J73" s="1196" t="s">
        <v>91</v>
      </c>
      <c r="K73" s="1196" t="s">
        <v>115</v>
      </c>
      <c r="L73" s="1214"/>
      <c r="M73" s="1216" t="s">
        <v>57</v>
      </c>
      <c r="N73" s="1227">
        <v>11518.95</v>
      </c>
      <c r="O73" s="1216" t="s">
        <v>57</v>
      </c>
      <c r="P73" s="1229" t="s">
        <v>58</v>
      </c>
      <c r="Q73" s="1219"/>
      <c r="R73" s="1219"/>
      <c r="S73" s="1219"/>
      <c r="T73" s="1219"/>
      <c r="U73" s="1219"/>
      <c r="V73" s="1264">
        <v>881</v>
      </c>
      <c r="W73" s="1200"/>
      <c r="X73" s="1200">
        <f t="shared" si="5"/>
        <v>881</v>
      </c>
      <c r="Y73" s="660">
        <f t="shared" si="6"/>
        <v>0</v>
      </c>
      <c r="Z73" s="1201"/>
      <c r="AA73" s="1202">
        <v>0</v>
      </c>
      <c r="AB73" s="1202">
        <v>0</v>
      </c>
      <c r="AC73" s="643">
        <v>0</v>
      </c>
      <c r="AD73" s="1203" t="s">
        <v>259</v>
      </c>
      <c r="AE73" s="1263"/>
    </row>
    <row r="74" spans="1:31" ht="24.75" customHeight="1">
      <c r="A74" s="1193" t="s">
        <v>260</v>
      </c>
      <c r="B74" s="827" t="s">
        <v>207</v>
      </c>
      <c r="C74" s="1194">
        <v>46112</v>
      </c>
      <c r="D74" s="1214"/>
      <c r="E74" s="1214"/>
      <c r="F74" s="1215"/>
      <c r="G74" s="1214" t="s">
        <v>261</v>
      </c>
      <c r="H74" s="1216">
        <v>20</v>
      </c>
      <c r="I74" s="825" t="s">
        <v>55</v>
      </c>
      <c r="J74" s="828" t="s">
        <v>63</v>
      </c>
      <c r="K74" s="1196"/>
      <c r="L74" s="1214"/>
      <c r="M74" s="1216" t="s">
        <v>57</v>
      </c>
      <c r="N74" s="1227">
        <v>1733.25</v>
      </c>
      <c r="O74" s="1216" t="s">
        <v>57</v>
      </c>
      <c r="P74" s="1229" t="s">
        <v>101</v>
      </c>
      <c r="Q74" s="1219">
        <v>45979</v>
      </c>
      <c r="R74" s="1219"/>
      <c r="S74" s="1219"/>
      <c r="T74" s="1219"/>
      <c r="U74" s="1219"/>
      <c r="V74" s="1220">
        <v>255</v>
      </c>
      <c r="W74" s="1200"/>
      <c r="X74" s="1200">
        <f>SUM(V74-W74)</f>
        <v>255</v>
      </c>
      <c r="Y74" s="660">
        <f>IFERROR($W74/$V74, 0)</f>
        <v>0</v>
      </c>
      <c r="Z74" s="1201"/>
      <c r="AA74" s="1202">
        <v>0</v>
      </c>
      <c r="AB74" s="1202">
        <v>0</v>
      </c>
      <c r="AC74" s="643">
        <v>0</v>
      </c>
      <c r="AD74" s="1265" t="s">
        <v>262</v>
      </c>
      <c r="AE74" s="1263"/>
    </row>
    <row r="75" spans="1:31" ht="24.75" customHeight="1">
      <c r="A75" s="1193" t="s">
        <v>263</v>
      </c>
      <c r="B75" s="827" t="s">
        <v>207</v>
      </c>
      <c r="C75" s="1194">
        <v>46099</v>
      </c>
      <c r="D75" s="1214"/>
      <c r="E75" s="1214"/>
      <c r="F75" s="1215"/>
      <c r="G75" s="1214"/>
      <c r="H75" s="1216">
        <v>0</v>
      </c>
      <c r="I75" s="825" t="s">
        <v>55</v>
      </c>
      <c r="J75" s="828" t="s">
        <v>63</v>
      </c>
      <c r="K75" s="1196"/>
      <c r="L75" s="1214"/>
      <c r="M75" s="825" t="s">
        <v>57</v>
      </c>
      <c r="N75" s="1227">
        <v>18270.8</v>
      </c>
      <c r="O75" s="825" t="s">
        <v>57</v>
      </c>
      <c r="P75" s="1229" t="s">
        <v>58</v>
      </c>
      <c r="Q75" s="1219"/>
      <c r="R75" s="1219"/>
      <c r="S75" s="1219"/>
      <c r="T75" s="1219"/>
      <c r="U75" s="1219"/>
      <c r="V75" s="1220">
        <v>1388</v>
      </c>
      <c r="W75" s="1200"/>
      <c r="X75" s="1200">
        <f>SUM(V75-W75)</f>
        <v>1388</v>
      </c>
      <c r="Y75" s="660">
        <f>IFERROR($W75/$V75, 0)</f>
        <v>0</v>
      </c>
      <c r="Z75" s="1201"/>
      <c r="AA75" s="1202">
        <v>0</v>
      </c>
      <c r="AB75" s="1202">
        <v>0</v>
      </c>
      <c r="AC75" s="1220">
        <v>0</v>
      </c>
      <c r="AD75" s="1203" t="s">
        <v>264</v>
      </c>
      <c r="AE75" s="1263"/>
    </row>
    <row r="76" spans="1:31" ht="24.75" customHeight="1">
      <c r="A76" s="1193" t="s">
        <v>265</v>
      </c>
      <c r="B76" s="827" t="s">
        <v>207</v>
      </c>
      <c r="C76" s="1194">
        <v>46040</v>
      </c>
      <c r="D76" s="1215" t="s">
        <v>266</v>
      </c>
      <c r="E76" s="1214">
        <v>45867</v>
      </c>
      <c r="F76" s="1215" t="s">
        <v>234</v>
      </c>
      <c r="G76" s="1215" t="s">
        <v>267</v>
      </c>
      <c r="H76" s="1216">
        <v>0</v>
      </c>
      <c r="I76" s="825" t="s">
        <v>55</v>
      </c>
      <c r="J76" s="1216" t="s">
        <v>63</v>
      </c>
      <c r="K76" s="1196"/>
      <c r="L76" s="1214"/>
      <c r="M76" s="1216" t="s">
        <v>57</v>
      </c>
      <c r="N76" s="1227">
        <v>144972.5</v>
      </c>
      <c r="O76" s="1216" t="s">
        <v>57</v>
      </c>
      <c r="P76" s="1198" t="s">
        <v>64</v>
      </c>
      <c r="Q76" s="1219">
        <v>45867</v>
      </c>
      <c r="R76" s="1219"/>
      <c r="S76" s="1219"/>
      <c r="T76" s="1219"/>
      <c r="U76" s="1219"/>
      <c r="V76" s="977">
        <v>8622</v>
      </c>
      <c r="W76" s="1441">
        <v>6793</v>
      </c>
      <c r="X76" s="1200">
        <f>SUM(V76-W76)</f>
        <v>1829</v>
      </c>
      <c r="Y76" s="660">
        <f>IFERROR($W76/$V76, 0)</f>
        <v>0.78786824402690792</v>
      </c>
      <c r="Z76" s="1219">
        <v>45884</v>
      </c>
      <c r="AA76" s="1202">
        <v>0</v>
      </c>
      <c r="AB76" s="1202">
        <v>0</v>
      </c>
      <c r="AC76" s="1220">
        <v>0</v>
      </c>
      <c r="AD76" s="1203" t="s">
        <v>268</v>
      </c>
      <c r="AE76" s="1263"/>
    </row>
    <row r="77" spans="1:31" ht="24.75" customHeight="1">
      <c r="A77" s="1262" t="s">
        <v>269</v>
      </c>
      <c r="B77" s="827" t="s">
        <v>207</v>
      </c>
      <c r="C77" s="1214">
        <v>46011</v>
      </c>
      <c r="D77" s="1215" t="s">
        <v>233</v>
      </c>
      <c r="E77" s="1214">
        <v>45923</v>
      </c>
      <c r="F77" s="1215" t="s">
        <v>234</v>
      </c>
      <c r="G77" s="1215" t="s">
        <v>270</v>
      </c>
      <c r="H77" s="1216">
        <v>0</v>
      </c>
      <c r="I77" s="825" t="s">
        <v>55</v>
      </c>
      <c r="J77" s="1216" t="s">
        <v>63</v>
      </c>
      <c r="K77" s="1196"/>
      <c r="L77" s="1214"/>
      <c r="M77" s="1216" t="s">
        <v>57</v>
      </c>
      <c r="N77" s="1227">
        <v>139581.6</v>
      </c>
      <c r="O77" s="1216" t="s">
        <v>57</v>
      </c>
      <c r="P77" s="1229" t="s">
        <v>101</v>
      </c>
      <c r="Q77" s="1219">
        <v>45918</v>
      </c>
      <c r="R77" s="1219"/>
      <c r="S77" s="1219"/>
      <c r="T77" s="1219"/>
      <c r="U77" s="1219"/>
      <c r="V77" s="977">
        <v>11150</v>
      </c>
      <c r="W77" s="1440">
        <v>10774</v>
      </c>
      <c r="X77" s="1200">
        <f>SUM(V77-W77)</f>
        <v>376</v>
      </c>
      <c r="Y77" s="660">
        <f>IFERROR($W77/$V77, 0)</f>
        <v>0.96627802690582965</v>
      </c>
      <c r="Z77" s="1219">
        <v>46027</v>
      </c>
      <c r="AA77" s="1202">
        <v>0</v>
      </c>
      <c r="AB77" s="1202">
        <v>0</v>
      </c>
      <c r="AC77" s="1220">
        <v>0</v>
      </c>
      <c r="AD77" s="1234" t="s">
        <v>271</v>
      </c>
      <c r="AE77" s="1263"/>
    </row>
    <row r="78" spans="1:31" ht="24.75" customHeight="1">
      <c r="A78" s="1193" t="s">
        <v>272</v>
      </c>
      <c r="B78" s="827" t="s">
        <v>207</v>
      </c>
      <c r="C78" s="1194">
        <v>46112</v>
      </c>
      <c r="D78" s="1215"/>
      <c r="E78" s="1214"/>
      <c r="F78" s="1215"/>
      <c r="G78" s="1215" t="s">
        <v>273</v>
      </c>
      <c r="H78" s="1216">
        <v>0</v>
      </c>
      <c r="I78" s="825" t="s">
        <v>55</v>
      </c>
      <c r="J78" s="1216" t="s">
        <v>63</v>
      </c>
      <c r="K78" s="1196"/>
      <c r="L78" s="1214"/>
      <c r="M78" s="1216" t="s">
        <v>57</v>
      </c>
      <c r="N78" s="1227">
        <v>3995.4</v>
      </c>
      <c r="O78" s="1216" t="s">
        <v>57</v>
      </c>
      <c r="P78" s="1229" t="s">
        <v>101</v>
      </c>
      <c r="Q78" s="1219">
        <v>45979</v>
      </c>
      <c r="R78" s="1219"/>
      <c r="S78" s="1219"/>
      <c r="T78" s="1219"/>
      <c r="U78" s="1219"/>
      <c r="V78" s="1220">
        <v>294</v>
      </c>
      <c r="W78" s="1200"/>
      <c r="X78" s="1200">
        <f t="shared" si="5"/>
        <v>294</v>
      </c>
      <c r="Y78" s="660">
        <f t="shared" si="6"/>
        <v>0</v>
      </c>
      <c r="Z78" s="1201"/>
      <c r="AA78" s="1202">
        <v>0</v>
      </c>
      <c r="AB78" s="1202">
        <v>0</v>
      </c>
      <c r="AC78" s="1220">
        <v>0</v>
      </c>
      <c r="AD78" s="1203" t="s">
        <v>274</v>
      </c>
      <c r="AE78" s="1263"/>
    </row>
    <row r="79" spans="1:31" ht="24.75" customHeight="1">
      <c r="A79" s="1193" t="s">
        <v>275</v>
      </c>
      <c r="B79" s="827" t="s">
        <v>207</v>
      </c>
      <c r="C79" s="1194">
        <v>46040</v>
      </c>
      <c r="D79" s="1215"/>
      <c r="E79" s="1214"/>
      <c r="F79" s="1215"/>
      <c r="G79" s="1215" t="s">
        <v>276</v>
      </c>
      <c r="H79" s="1216">
        <v>0</v>
      </c>
      <c r="I79" s="825" t="s">
        <v>55</v>
      </c>
      <c r="J79" s="1216" t="s">
        <v>63</v>
      </c>
      <c r="K79" s="1196"/>
      <c r="L79" s="1214"/>
      <c r="M79" s="1216" t="s">
        <v>57</v>
      </c>
      <c r="N79" s="1227">
        <v>18171.599999999999</v>
      </c>
      <c r="O79" s="1216" t="s">
        <v>57</v>
      </c>
      <c r="P79" s="1229" t="s">
        <v>101</v>
      </c>
      <c r="Q79" s="1219">
        <v>45979</v>
      </c>
      <c r="R79" s="1219"/>
      <c r="S79" s="1219"/>
      <c r="T79" s="1219"/>
      <c r="U79" s="1219"/>
      <c r="V79" s="1220">
        <v>1514</v>
      </c>
      <c r="W79" s="1200"/>
      <c r="X79" s="1200">
        <f>SUM(V79-W79)</f>
        <v>1514</v>
      </c>
      <c r="Y79" s="660">
        <f>IFERROR($W79/$V79, 0)</f>
        <v>0</v>
      </c>
      <c r="Z79" s="1201"/>
      <c r="AA79" s="1202">
        <v>0</v>
      </c>
      <c r="AB79" s="1202">
        <v>0</v>
      </c>
      <c r="AC79" s="1220">
        <v>0</v>
      </c>
      <c r="AD79" s="1203" t="s">
        <v>277</v>
      </c>
      <c r="AE79" s="1263"/>
    </row>
    <row r="80" spans="1:31" ht="24.75" customHeight="1">
      <c r="A80" s="1193" t="s">
        <v>278</v>
      </c>
      <c r="B80" s="827" t="s">
        <v>207</v>
      </c>
      <c r="C80" s="1194">
        <v>46040</v>
      </c>
      <c r="D80" s="1215"/>
      <c r="E80" s="1214"/>
      <c r="F80" s="1215"/>
      <c r="G80" s="1215" t="s">
        <v>279</v>
      </c>
      <c r="H80" s="1216">
        <v>0</v>
      </c>
      <c r="I80" s="825" t="s">
        <v>55</v>
      </c>
      <c r="J80" s="1216" t="s">
        <v>63</v>
      </c>
      <c r="K80" s="1196"/>
      <c r="L80" s="1214"/>
      <c r="M80" s="1216" t="s">
        <v>57</v>
      </c>
      <c r="N80" s="1227">
        <v>1675.2</v>
      </c>
      <c r="O80" s="1216" t="s">
        <v>57</v>
      </c>
      <c r="P80" s="1229" t="s">
        <v>101</v>
      </c>
      <c r="Q80" s="1219">
        <v>45979</v>
      </c>
      <c r="R80" s="1219"/>
      <c r="S80" s="1219"/>
      <c r="T80" s="1219"/>
      <c r="U80" s="1219"/>
      <c r="V80" s="1220">
        <v>123</v>
      </c>
      <c r="W80" s="1200"/>
      <c r="X80" s="1200">
        <f t="shared" si="5"/>
        <v>123</v>
      </c>
      <c r="Y80" s="660">
        <f t="shared" si="6"/>
        <v>0</v>
      </c>
      <c r="Z80" s="1201"/>
      <c r="AA80" s="1202">
        <v>0</v>
      </c>
      <c r="AB80" s="1202">
        <v>0</v>
      </c>
      <c r="AC80" s="1220">
        <v>0</v>
      </c>
      <c r="AD80" s="1203" t="s">
        <v>280</v>
      </c>
      <c r="AE80" s="1263"/>
    </row>
    <row r="81" spans="1:31" ht="24.75" customHeight="1">
      <c r="A81" s="1193" t="s">
        <v>281</v>
      </c>
      <c r="B81" s="827" t="s">
        <v>207</v>
      </c>
      <c r="C81" s="1194">
        <v>46040</v>
      </c>
      <c r="D81" s="1215"/>
      <c r="E81" s="1214"/>
      <c r="F81" s="1215"/>
      <c r="G81" s="1215"/>
      <c r="H81" s="1216">
        <v>0</v>
      </c>
      <c r="I81" s="825" t="s">
        <v>55</v>
      </c>
      <c r="J81" s="1216" t="s">
        <v>63</v>
      </c>
      <c r="K81" s="1196"/>
      <c r="L81" s="1214"/>
      <c r="M81" s="1216" t="s">
        <v>57</v>
      </c>
      <c r="N81" s="1227">
        <v>45312.55</v>
      </c>
      <c r="O81" s="1216" t="s">
        <v>57</v>
      </c>
      <c r="P81" s="1198" t="s">
        <v>58</v>
      </c>
      <c r="Q81" s="1219"/>
      <c r="R81" s="1219"/>
      <c r="S81" s="1219"/>
      <c r="T81" s="1219"/>
      <c r="U81" s="1219"/>
      <c r="V81" s="1220">
        <v>3683</v>
      </c>
      <c r="W81" s="1200"/>
      <c r="X81" s="1200">
        <f>SUM(V81-W81)</f>
        <v>3683</v>
      </c>
      <c r="Y81" s="660">
        <f>IFERROR($W81/$V81, 0)</f>
        <v>0</v>
      </c>
      <c r="Z81" s="1219"/>
      <c r="AA81" s="1202">
        <v>0</v>
      </c>
      <c r="AB81" s="1202">
        <v>0</v>
      </c>
      <c r="AC81" s="1220">
        <v>0</v>
      </c>
      <c r="AD81" s="1203" t="s">
        <v>282</v>
      </c>
      <c r="AE81" s="1263"/>
    </row>
    <row r="82" spans="1:31" ht="24.75" customHeight="1">
      <c r="A82" s="1193" t="s">
        <v>283</v>
      </c>
      <c r="B82" s="827" t="s">
        <v>207</v>
      </c>
      <c r="C82" s="1194">
        <v>46053</v>
      </c>
      <c r="D82" s="1336"/>
      <c r="E82" s="1337"/>
      <c r="F82" s="1336"/>
      <c r="G82" s="1215"/>
      <c r="H82" s="1216">
        <v>0</v>
      </c>
      <c r="I82" s="825" t="s">
        <v>55</v>
      </c>
      <c r="J82" s="1216" t="s">
        <v>63</v>
      </c>
      <c r="K82" s="1487"/>
      <c r="L82" s="1337"/>
      <c r="M82" s="1216" t="s">
        <v>57</v>
      </c>
      <c r="N82" s="1493">
        <v>118710.8</v>
      </c>
      <c r="O82" s="1216" t="s">
        <v>57</v>
      </c>
      <c r="P82" s="1198" t="s">
        <v>58</v>
      </c>
      <c r="Q82" s="1494"/>
      <c r="R82" s="1494"/>
      <c r="S82" s="1494"/>
      <c r="T82" s="1494"/>
      <c r="U82" s="1494"/>
      <c r="V82" s="1495">
        <v>9628</v>
      </c>
      <c r="W82" s="1491"/>
      <c r="X82" s="1491">
        <f>SUM(V82-W82)</f>
        <v>9628</v>
      </c>
      <c r="Y82" s="660">
        <f>IFERROR($W82/$V82, 0)</f>
        <v>0</v>
      </c>
      <c r="Z82" s="1494"/>
      <c r="AA82" s="1202">
        <v>0</v>
      </c>
      <c r="AB82" s="1202">
        <v>0</v>
      </c>
      <c r="AC82" s="1220">
        <v>0</v>
      </c>
      <c r="AD82" s="1203"/>
      <c r="AE82" s="1263"/>
    </row>
    <row r="83" spans="1:31" ht="24.75" customHeight="1">
      <c r="A83" s="1193" t="s">
        <v>284</v>
      </c>
      <c r="B83" s="827" t="s">
        <v>207</v>
      </c>
      <c r="C83" s="1194">
        <v>46045</v>
      </c>
      <c r="D83" s="1215"/>
      <c r="E83" s="1214"/>
      <c r="F83" s="1215"/>
      <c r="G83" s="1215" t="s">
        <v>285</v>
      </c>
      <c r="H83" s="1216">
        <v>0</v>
      </c>
      <c r="I83" s="825" t="s">
        <v>55</v>
      </c>
      <c r="J83" s="1216" t="s">
        <v>63</v>
      </c>
      <c r="K83" s="1196"/>
      <c r="L83" s="1214"/>
      <c r="M83" s="1216" t="s">
        <v>57</v>
      </c>
      <c r="N83" s="1227">
        <v>105558.2</v>
      </c>
      <c r="O83" s="1216" t="s">
        <v>57</v>
      </c>
      <c r="P83" s="1229" t="s">
        <v>101</v>
      </c>
      <c r="Q83" s="1219">
        <v>45978</v>
      </c>
      <c r="R83" s="1219"/>
      <c r="S83" s="1219"/>
      <c r="T83" s="1219"/>
      <c r="U83" s="1219"/>
      <c r="V83" s="1220">
        <v>7753</v>
      </c>
      <c r="W83" s="1200"/>
      <c r="X83" s="1200">
        <f>SUM(V83-W83)</f>
        <v>7753</v>
      </c>
      <c r="Y83" s="660">
        <f>IFERROR($W83/$V83, 0)</f>
        <v>0</v>
      </c>
      <c r="Z83" s="1201"/>
      <c r="AA83" s="1202">
        <v>0</v>
      </c>
      <c r="AB83" s="1202">
        <v>0</v>
      </c>
      <c r="AC83" s="1220">
        <v>0</v>
      </c>
      <c r="AD83" s="1203" t="s">
        <v>286</v>
      </c>
      <c r="AE83" s="1263"/>
    </row>
    <row r="84" spans="1:31" ht="24.75" customHeight="1">
      <c r="A84" s="1244" t="s">
        <v>287</v>
      </c>
      <c r="B84" s="827" t="s">
        <v>207</v>
      </c>
      <c r="C84" s="1194">
        <v>46096</v>
      </c>
      <c r="D84" s="1215"/>
      <c r="E84" s="1214"/>
      <c r="F84" s="1215"/>
      <c r="G84" s="1215"/>
      <c r="H84" s="1216">
        <v>0</v>
      </c>
      <c r="I84" s="825" t="s">
        <v>55</v>
      </c>
      <c r="J84" s="1216" t="s">
        <v>63</v>
      </c>
      <c r="K84" s="1196"/>
      <c r="L84" s="1214"/>
      <c r="M84" s="1216" t="s">
        <v>57</v>
      </c>
      <c r="N84" s="1227">
        <v>73653.899999999994</v>
      </c>
      <c r="O84" s="1216" t="s">
        <v>57</v>
      </c>
      <c r="P84" s="1229" t="s">
        <v>58</v>
      </c>
      <c r="Q84" s="1219"/>
      <c r="R84" s="1219"/>
      <c r="S84" s="1219"/>
      <c r="T84" s="1219"/>
      <c r="U84" s="1219"/>
      <c r="V84" s="977">
        <v>5394</v>
      </c>
      <c r="W84" s="1200"/>
      <c r="X84" s="1200">
        <f t="shared" si="5"/>
        <v>5394</v>
      </c>
      <c r="Y84" s="660">
        <f t="shared" si="6"/>
        <v>0</v>
      </c>
      <c r="Z84" s="1201"/>
      <c r="AA84" s="1202">
        <v>0</v>
      </c>
      <c r="AB84" s="1202">
        <v>0</v>
      </c>
      <c r="AC84" s="1220">
        <v>0</v>
      </c>
      <c r="AD84" s="1234"/>
      <c r="AE84" s="1263"/>
    </row>
    <row r="85" spans="1:31" ht="24.75" customHeight="1">
      <c r="A85" s="1244" t="s">
        <v>288</v>
      </c>
      <c r="B85" s="827" t="s">
        <v>207</v>
      </c>
      <c r="C85" s="1194">
        <v>46112</v>
      </c>
      <c r="D85" s="1215"/>
      <c r="E85" s="1214"/>
      <c r="F85" s="1215"/>
      <c r="G85" s="1215"/>
      <c r="H85" s="1216">
        <v>0</v>
      </c>
      <c r="I85" s="825" t="s">
        <v>55</v>
      </c>
      <c r="J85" s="1216" t="s">
        <v>63</v>
      </c>
      <c r="K85" s="1196"/>
      <c r="L85" s="1214"/>
      <c r="M85" s="1216" t="s">
        <v>57</v>
      </c>
      <c r="N85" s="1227">
        <v>6526.35</v>
      </c>
      <c r="O85" s="1216" t="s">
        <v>57</v>
      </c>
      <c r="P85" s="1229" t="s">
        <v>58</v>
      </c>
      <c r="Q85" s="1219"/>
      <c r="R85" s="1219"/>
      <c r="S85" s="1219"/>
      <c r="T85" s="1219"/>
      <c r="U85" s="1219"/>
      <c r="V85" s="1220">
        <v>411</v>
      </c>
      <c r="W85" s="1200"/>
      <c r="X85" s="1200">
        <f t="shared" si="5"/>
        <v>411</v>
      </c>
      <c r="Y85" s="660">
        <f t="shared" si="6"/>
        <v>0</v>
      </c>
      <c r="Z85" s="1201"/>
      <c r="AA85" s="1202">
        <v>0</v>
      </c>
      <c r="AB85" s="1202">
        <v>0</v>
      </c>
      <c r="AC85" s="1220">
        <v>0</v>
      </c>
      <c r="AD85" s="1203" t="s">
        <v>241</v>
      </c>
      <c r="AE85" s="1263"/>
    </row>
    <row r="86" spans="1:31" ht="24.75" customHeight="1">
      <c r="A86" s="1244" t="s">
        <v>289</v>
      </c>
      <c r="B86" s="827" t="s">
        <v>207</v>
      </c>
      <c r="C86" s="1214">
        <v>46030</v>
      </c>
      <c r="D86" s="1215"/>
      <c r="E86" s="1214"/>
      <c r="F86" s="1215"/>
      <c r="G86" s="1215" t="s">
        <v>290</v>
      </c>
      <c r="H86" s="1216">
        <v>0</v>
      </c>
      <c r="I86" s="825" t="s">
        <v>55</v>
      </c>
      <c r="J86" s="828" t="s">
        <v>63</v>
      </c>
      <c r="K86" s="1196" t="s">
        <v>76</v>
      </c>
      <c r="L86" s="1214"/>
      <c r="M86" s="1216" t="s">
        <v>57</v>
      </c>
      <c r="N86" s="1227">
        <v>170309.8</v>
      </c>
      <c r="O86" s="1216" t="s">
        <v>57</v>
      </c>
      <c r="P86" s="1229" t="s">
        <v>58</v>
      </c>
      <c r="Q86" s="1219"/>
      <c r="R86" s="1219"/>
      <c r="S86" s="1219"/>
      <c r="T86" s="1219"/>
      <c r="U86" s="1219"/>
      <c r="V86" s="1220">
        <v>13379</v>
      </c>
      <c r="W86" s="1200"/>
      <c r="X86" s="1200">
        <f>SUM(V86-W86)</f>
        <v>13379</v>
      </c>
      <c r="Y86" s="660">
        <f>IFERROR($W86/$V86, 0)</f>
        <v>0</v>
      </c>
      <c r="Z86" s="1201"/>
      <c r="AA86" s="1202">
        <v>0</v>
      </c>
      <c r="AB86" s="1202">
        <v>0</v>
      </c>
      <c r="AC86" s="1220">
        <v>0</v>
      </c>
      <c r="AD86" s="1203" t="s">
        <v>291</v>
      </c>
      <c r="AE86" s="1263"/>
    </row>
    <row r="87" spans="1:31" ht="24.75" customHeight="1">
      <c r="A87" s="1193" t="s">
        <v>292</v>
      </c>
      <c r="B87" s="827" t="s">
        <v>207</v>
      </c>
      <c r="C87" s="1194">
        <v>46040</v>
      </c>
      <c r="D87" s="1215"/>
      <c r="E87" s="1214"/>
      <c r="F87" s="1215"/>
      <c r="G87" s="1215"/>
      <c r="H87" s="1216">
        <v>76</v>
      </c>
      <c r="I87" s="825" t="s">
        <v>55</v>
      </c>
      <c r="J87" s="828" t="s">
        <v>63</v>
      </c>
      <c r="K87" s="1196"/>
      <c r="L87" s="1214"/>
      <c r="M87" s="1216" t="s">
        <v>57</v>
      </c>
      <c r="N87" s="1227">
        <v>64325</v>
      </c>
      <c r="O87" s="1216" t="s">
        <v>57</v>
      </c>
      <c r="P87" s="1229" t="s">
        <v>58</v>
      </c>
      <c r="Q87" s="1219"/>
      <c r="R87" s="1219"/>
      <c r="S87" s="1219"/>
      <c r="T87" s="1219"/>
      <c r="U87" s="1219"/>
      <c r="V87" s="1220">
        <v>6160</v>
      </c>
      <c r="W87" s="1200"/>
      <c r="X87" s="1200">
        <f>SUM(V87-W87)</f>
        <v>6160</v>
      </c>
      <c r="Y87" s="660">
        <f>IFERROR($W87/$V87, 0)</f>
        <v>0</v>
      </c>
      <c r="Z87" s="1201"/>
      <c r="AA87" s="1202">
        <v>0</v>
      </c>
      <c r="AB87" s="1202">
        <v>0</v>
      </c>
      <c r="AC87" s="1220">
        <v>0</v>
      </c>
      <c r="AD87" s="1203"/>
      <c r="AE87" s="1263"/>
    </row>
    <row r="88" spans="1:31" ht="24.75" customHeight="1">
      <c r="A88" s="1334" t="s">
        <v>293</v>
      </c>
      <c r="B88" s="827" t="s">
        <v>207</v>
      </c>
      <c r="C88" s="1194">
        <v>46040</v>
      </c>
      <c r="D88" s="1336" t="s">
        <v>60</v>
      </c>
      <c r="E88" s="1337">
        <v>46027</v>
      </c>
      <c r="F88" s="1336" t="s">
        <v>234</v>
      </c>
      <c r="G88" s="1215"/>
      <c r="H88" s="1496">
        <v>109</v>
      </c>
      <c r="I88" s="825" t="s">
        <v>55</v>
      </c>
      <c r="J88" s="828" t="s">
        <v>63</v>
      </c>
      <c r="K88" s="1487"/>
      <c r="L88" s="1337">
        <v>45663</v>
      </c>
      <c r="M88" s="1496" t="s">
        <v>92</v>
      </c>
      <c r="N88" s="1493"/>
      <c r="O88" s="1496" t="s">
        <v>57</v>
      </c>
      <c r="P88" s="1498" t="s">
        <v>64</v>
      </c>
      <c r="Q88" s="1494">
        <v>46008</v>
      </c>
      <c r="R88" s="1494"/>
      <c r="S88" s="1494"/>
      <c r="T88" s="1494"/>
      <c r="U88" s="1494"/>
      <c r="V88" s="1495">
        <v>6825</v>
      </c>
      <c r="W88" s="1499">
        <v>2831</v>
      </c>
      <c r="X88" s="1491">
        <f>SUM(V88-W88)</f>
        <v>3994</v>
      </c>
      <c r="Y88" s="660">
        <f>IFERROR($W88/$V88, 0)</f>
        <v>0.41479853479853479</v>
      </c>
      <c r="Z88" s="1494">
        <v>46034</v>
      </c>
      <c r="AA88" s="1202">
        <v>0</v>
      </c>
      <c r="AB88" s="1202">
        <v>0</v>
      </c>
      <c r="AC88" s="1220">
        <v>0</v>
      </c>
      <c r="AD88" s="1203" t="s">
        <v>294</v>
      </c>
      <c r="AE88" s="1263"/>
    </row>
    <row r="89" spans="1:31" ht="24.75" customHeight="1">
      <c r="A89" s="1193" t="s">
        <v>295</v>
      </c>
      <c r="B89" s="827" t="s">
        <v>296</v>
      </c>
      <c r="C89" s="1194">
        <v>46040</v>
      </c>
      <c r="D89" s="1215" t="s">
        <v>233</v>
      </c>
      <c r="E89" s="1214"/>
      <c r="F89" s="1215" t="s">
        <v>223</v>
      </c>
      <c r="G89" s="1215" t="s">
        <v>297</v>
      </c>
      <c r="H89" s="1216">
        <v>73</v>
      </c>
      <c r="I89" s="825" t="s">
        <v>55</v>
      </c>
      <c r="J89" s="828" t="s">
        <v>63</v>
      </c>
      <c r="K89" s="1196"/>
      <c r="L89" s="1214"/>
      <c r="M89" s="1216" t="s">
        <v>57</v>
      </c>
      <c r="N89" s="1227">
        <v>77814</v>
      </c>
      <c r="O89" s="1216" t="s">
        <v>57</v>
      </c>
      <c r="P89" s="1229" t="s">
        <v>64</v>
      </c>
      <c r="Q89" s="1219">
        <v>46015</v>
      </c>
      <c r="R89" s="1219"/>
      <c r="S89" s="1219"/>
      <c r="T89" s="1219"/>
      <c r="U89" s="1219"/>
      <c r="V89" s="1220">
        <v>6263</v>
      </c>
      <c r="W89" s="1443">
        <v>6221</v>
      </c>
      <c r="X89" s="1200">
        <f t="shared" si="5"/>
        <v>42</v>
      </c>
      <c r="Y89" s="660">
        <f t="shared" si="6"/>
        <v>0.9932939485869392</v>
      </c>
      <c r="Z89" s="1219">
        <v>46024</v>
      </c>
      <c r="AA89" s="1202">
        <v>0</v>
      </c>
      <c r="AB89" s="1202">
        <v>0</v>
      </c>
      <c r="AC89" s="1220">
        <v>0</v>
      </c>
      <c r="AD89" s="1203" t="s">
        <v>298</v>
      </c>
      <c r="AE89" s="1263"/>
    </row>
    <row r="90" spans="1:31" ht="24.75" customHeight="1">
      <c r="A90" s="1193" t="s">
        <v>299</v>
      </c>
      <c r="B90" s="827" t="s">
        <v>296</v>
      </c>
      <c r="C90" s="1194">
        <v>46040</v>
      </c>
      <c r="D90" s="1215" t="s">
        <v>84</v>
      </c>
      <c r="E90" s="1214">
        <v>46001</v>
      </c>
      <c r="F90" s="1215" t="s">
        <v>223</v>
      </c>
      <c r="G90" s="1215" t="s">
        <v>300</v>
      </c>
      <c r="H90" s="1216">
        <v>80</v>
      </c>
      <c r="I90" s="825" t="s">
        <v>55</v>
      </c>
      <c r="J90" s="828" t="s">
        <v>63</v>
      </c>
      <c r="K90" s="1196"/>
      <c r="L90" s="1214"/>
      <c r="M90" s="1216" t="s">
        <v>57</v>
      </c>
      <c r="N90" s="1227">
        <v>65843.5</v>
      </c>
      <c r="O90" s="1216" t="s">
        <v>57</v>
      </c>
      <c r="P90" s="1229" t="s">
        <v>64</v>
      </c>
      <c r="Q90" s="1219">
        <v>45995</v>
      </c>
      <c r="R90" s="1219"/>
      <c r="S90" s="1219"/>
      <c r="T90" s="1219"/>
      <c r="U90" s="1219"/>
      <c r="V90" s="1220">
        <v>5052</v>
      </c>
      <c r="W90" s="1200">
        <v>4889</v>
      </c>
      <c r="X90" s="1200">
        <f t="shared" si="5"/>
        <v>163</v>
      </c>
      <c r="Y90" s="660">
        <f t="shared" si="6"/>
        <v>0.967735550277118</v>
      </c>
      <c r="Z90" s="1219">
        <v>46001</v>
      </c>
      <c r="AA90" s="1202">
        <v>0</v>
      </c>
      <c r="AB90" s="1202">
        <v>0</v>
      </c>
      <c r="AC90" s="1220">
        <v>0</v>
      </c>
      <c r="AD90" s="1203" t="s">
        <v>301</v>
      </c>
      <c r="AE90" s="1263"/>
    </row>
    <row r="91" spans="1:31" ht="24.75" customHeight="1">
      <c r="A91" s="1193" t="s">
        <v>302</v>
      </c>
      <c r="B91" s="827" t="s">
        <v>296</v>
      </c>
      <c r="C91" s="1194">
        <v>46040</v>
      </c>
      <c r="D91" s="1215" t="s">
        <v>233</v>
      </c>
      <c r="E91" s="1214"/>
      <c r="F91" s="1215" t="s">
        <v>223</v>
      </c>
      <c r="G91" s="1215" t="s">
        <v>303</v>
      </c>
      <c r="H91" s="1216">
        <v>88</v>
      </c>
      <c r="I91" s="825" t="s">
        <v>55</v>
      </c>
      <c r="J91" s="828" t="s">
        <v>63</v>
      </c>
      <c r="K91" s="1196"/>
      <c r="L91" s="1214"/>
      <c r="M91" s="1216" t="s">
        <v>57</v>
      </c>
      <c r="N91" s="1227">
        <v>79638</v>
      </c>
      <c r="O91" s="1216" t="s">
        <v>57</v>
      </c>
      <c r="P91" s="1229" t="s">
        <v>58</v>
      </c>
      <c r="Q91" s="1219"/>
      <c r="R91" s="1219"/>
      <c r="S91" s="1219"/>
      <c r="T91" s="1219"/>
      <c r="U91" s="1219"/>
      <c r="V91" s="1220">
        <v>6613</v>
      </c>
      <c r="W91" s="1200"/>
      <c r="X91" s="1200">
        <f t="shared" si="5"/>
        <v>6613</v>
      </c>
      <c r="Y91" s="660">
        <f t="shared" si="6"/>
        <v>0</v>
      </c>
      <c r="Z91" s="1201"/>
      <c r="AA91" s="1202">
        <v>0</v>
      </c>
      <c r="AB91" s="1202">
        <v>0</v>
      </c>
      <c r="AC91" s="1220">
        <v>0</v>
      </c>
      <c r="AD91" s="1203" t="s">
        <v>304</v>
      </c>
      <c r="AE91" s="1263"/>
    </row>
    <row r="92" spans="1:31" ht="24.75" customHeight="1">
      <c r="A92" s="1193" t="s">
        <v>305</v>
      </c>
      <c r="B92" s="827" t="s">
        <v>296</v>
      </c>
      <c r="C92" s="1194">
        <v>46040</v>
      </c>
      <c r="D92" s="1215"/>
      <c r="E92" s="1214"/>
      <c r="F92" s="1215"/>
      <c r="G92" s="1215" t="s">
        <v>306</v>
      </c>
      <c r="H92" s="1216">
        <v>61</v>
      </c>
      <c r="I92" s="825" t="s">
        <v>55</v>
      </c>
      <c r="J92" s="1216" t="s">
        <v>63</v>
      </c>
      <c r="K92" s="1196"/>
      <c r="L92" s="1214"/>
      <c r="M92" s="1216" t="s">
        <v>57</v>
      </c>
      <c r="N92" s="1227">
        <v>56650</v>
      </c>
      <c r="O92" s="1216" t="s">
        <v>57</v>
      </c>
      <c r="P92" s="1229" t="s">
        <v>58</v>
      </c>
      <c r="Q92" s="1219"/>
      <c r="R92" s="1219"/>
      <c r="S92" s="1219"/>
      <c r="T92" s="1219"/>
      <c r="U92" s="1219"/>
      <c r="V92" s="1220">
        <v>4641</v>
      </c>
      <c r="W92" s="1200"/>
      <c r="X92" s="1200">
        <f t="shared" si="5"/>
        <v>4641</v>
      </c>
      <c r="Y92" s="660">
        <f t="shared" si="6"/>
        <v>0</v>
      </c>
      <c r="Z92" s="1201"/>
      <c r="AA92" s="1202">
        <v>0</v>
      </c>
      <c r="AB92" s="1202">
        <v>0</v>
      </c>
      <c r="AC92" s="1220">
        <v>0</v>
      </c>
      <c r="AD92" s="1203" t="s">
        <v>307</v>
      </c>
      <c r="AE92" s="1263"/>
    </row>
    <row r="93" spans="1:31" ht="24.75" customHeight="1">
      <c r="A93" s="1407" t="s">
        <v>308</v>
      </c>
      <c r="B93" s="1010" t="s">
        <v>296</v>
      </c>
      <c r="C93" s="1409">
        <v>46053</v>
      </c>
      <c r="D93" s="1215"/>
      <c r="E93" s="1214"/>
      <c r="F93" s="1215"/>
      <c r="G93" s="1215"/>
      <c r="H93" s="1216">
        <v>86</v>
      </c>
      <c r="I93" s="825" t="s">
        <v>55</v>
      </c>
      <c r="J93" s="828" t="s">
        <v>63</v>
      </c>
      <c r="K93" s="1196" t="s">
        <v>76</v>
      </c>
      <c r="L93" s="1214"/>
      <c r="M93" s="1216" t="s">
        <v>92</v>
      </c>
      <c r="N93" s="1227"/>
      <c r="O93" s="1216" t="s">
        <v>92</v>
      </c>
      <c r="P93" s="1229" t="s">
        <v>58</v>
      </c>
      <c r="Q93" s="1219"/>
      <c r="R93" s="1219"/>
      <c r="S93" s="1219"/>
      <c r="T93" s="1219"/>
      <c r="U93" s="1219"/>
      <c r="V93" s="1220">
        <v>8265</v>
      </c>
      <c r="W93" s="1200"/>
      <c r="X93" s="1200">
        <f t="shared" si="5"/>
        <v>8265</v>
      </c>
      <c r="Y93" s="660">
        <f t="shared" si="6"/>
        <v>0</v>
      </c>
      <c r="Z93" s="1201"/>
      <c r="AA93" s="1202">
        <v>0</v>
      </c>
      <c r="AB93" s="1202">
        <v>0</v>
      </c>
      <c r="AC93" s="1220">
        <v>0</v>
      </c>
      <c r="AD93" s="1203"/>
      <c r="AE93" s="1263"/>
    </row>
    <row r="94" spans="1:31" ht="24.75" customHeight="1">
      <c r="A94" s="1285" t="s">
        <v>309</v>
      </c>
      <c r="B94" s="1010" t="s">
        <v>296</v>
      </c>
      <c r="C94" s="1409">
        <v>46171</v>
      </c>
      <c r="D94" s="1269" t="s">
        <v>84</v>
      </c>
      <c r="E94" s="1270"/>
      <c r="F94" s="1269" t="s">
        <v>223</v>
      </c>
      <c r="G94" s="1269" t="s">
        <v>310</v>
      </c>
      <c r="H94" s="1271">
        <v>26</v>
      </c>
      <c r="I94" s="970" t="s">
        <v>55</v>
      </c>
      <c r="J94" s="1271" t="s">
        <v>63</v>
      </c>
      <c r="K94" s="1272"/>
      <c r="L94" s="1270"/>
      <c r="M94" s="1271" t="s">
        <v>57</v>
      </c>
      <c r="N94" s="1273">
        <v>35576</v>
      </c>
      <c r="O94" s="1271" t="s">
        <v>57</v>
      </c>
      <c r="P94" s="1274" t="s">
        <v>58</v>
      </c>
      <c r="Q94" s="1275"/>
      <c r="R94" s="1275"/>
      <c r="S94" s="1275"/>
      <c r="T94" s="1275"/>
      <c r="U94" s="1275"/>
      <c r="V94" s="1276">
        <v>3150</v>
      </c>
      <c r="W94" s="1257"/>
      <c r="X94" s="1257">
        <f t="shared" si="5"/>
        <v>3150</v>
      </c>
      <c r="Y94" s="655">
        <f t="shared" si="6"/>
        <v>0</v>
      </c>
      <c r="Z94" s="1406"/>
      <c r="AA94" s="1277">
        <v>0</v>
      </c>
      <c r="AB94" s="1277">
        <v>0</v>
      </c>
      <c r="AC94" s="1276">
        <v>0</v>
      </c>
      <c r="AD94" s="1278" t="s">
        <v>307</v>
      </c>
      <c r="AE94" s="1263"/>
    </row>
    <row r="95" spans="1:31" ht="24.75" customHeight="1">
      <c r="A95" s="1424" t="s">
        <v>311</v>
      </c>
      <c r="B95" s="1010" t="s">
        <v>296</v>
      </c>
      <c r="C95" s="1410">
        <v>46051</v>
      </c>
      <c r="D95" s="1336"/>
      <c r="E95" s="1337"/>
      <c r="F95" s="1336"/>
      <c r="G95" s="1215"/>
      <c r="H95" s="1496">
        <v>0</v>
      </c>
      <c r="I95" s="825" t="s">
        <v>55</v>
      </c>
      <c r="J95" s="1196" t="s">
        <v>91</v>
      </c>
      <c r="K95" s="1196" t="s">
        <v>76</v>
      </c>
      <c r="L95" s="1337"/>
      <c r="M95" s="1216" t="s">
        <v>92</v>
      </c>
      <c r="N95" s="1227"/>
      <c r="O95" s="1216" t="s">
        <v>92</v>
      </c>
      <c r="P95" s="1229" t="s">
        <v>58</v>
      </c>
      <c r="Q95" s="1494"/>
      <c r="R95" s="1494"/>
      <c r="S95" s="1494"/>
      <c r="T95" s="1494"/>
      <c r="U95" s="1494"/>
      <c r="V95" s="1495">
        <v>6202</v>
      </c>
      <c r="W95" s="1491"/>
      <c r="X95" s="1491">
        <f>SUM(V95-W95)</f>
        <v>6202</v>
      </c>
      <c r="Y95" s="660">
        <f>IFERROR($W95/$V95, 0)</f>
        <v>0</v>
      </c>
      <c r="Z95" s="1497"/>
      <c r="AA95" s="1277">
        <v>0</v>
      </c>
      <c r="AB95" s="1277">
        <v>0</v>
      </c>
      <c r="AC95" s="1276">
        <v>0</v>
      </c>
      <c r="AD95" s="1203" t="s">
        <v>312</v>
      </c>
      <c r="AE95" s="1263"/>
    </row>
    <row r="96" spans="1:31" ht="24.75" customHeight="1">
      <c r="A96" s="1425" t="s">
        <v>313</v>
      </c>
      <c r="B96" s="1010" t="s">
        <v>296</v>
      </c>
      <c r="C96" s="1410">
        <v>46051</v>
      </c>
      <c r="D96" s="1336"/>
      <c r="E96" s="1337"/>
      <c r="F96" s="1336"/>
      <c r="G96" s="1215"/>
      <c r="H96" s="1496">
        <v>0</v>
      </c>
      <c r="I96" s="825" t="s">
        <v>55</v>
      </c>
      <c r="J96" s="1196" t="s">
        <v>91</v>
      </c>
      <c r="K96" s="1196" t="s">
        <v>76</v>
      </c>
      <c r="L96" s="1337"/>
      <c r="M96" s="1216" t="s">
        <v>92</v>
      </c>
      <c r="N96" s="1227"/>
      <c r="O96" s="1216" t="s">
        <v>92</v>
      </c>
      <c r="P96" s="1229" t="s">
        <v>58</v>
      </c>
      <c r="Q96" s="1494"/>
      <c r="R96" s="1494"/>
      <c r="S96" s="1494"/>
      <c r="T96" s="1494"/>
      <c r="U96" s="1494"/>
      <c r="V96" s="1500">
        <v>545</v>
      </c>
      <c r="W96" s="1501"/>
      <c r="X96" s="1501">
        <f>SUM(V96-W96)</f>
        <v>545</v>
      </c>
      <c r="Y96" s="655">
        <f>IFERROR($W96/$V96, 0)</f>
        <v>0</v>
      </c>
      <c r="Z96" s="1502"/>
      <c r="AA96" s="1277">
        <v>0</v>
      </c>
      <c r="AB96" s="1277">
        <v>0</v>
      </c>
      <c r="AC96" s="1276">
        <v>0</v>
      </c>
      <c r="AD96" s="1203" t="s">
        <v>312</v>
      </c>
      <c r="AE96" s="1263"/>
    </row>
    <row r="97" spans="1:31" ht="24.75" customHeight="1">
      <c r="A97" s="1425" t="s">
        <v>314</v>
      </c>
      <c r="B97" s="1010" t="s">
        <v>296</v>
      </c>
      <c r="C97" s="1410">
        <v>46051</v>
      </c>
      <c r="D97" s="1336"/>
      <c r="E97" s="1337"/>
      <c r="F97" s="1336"/>
      <c r="G97" s="1215"/>
      <c r="H97" s="1496">
        <v>0</v>
      </c>
      <c r="I97" s="825" t="s">
        <v>55</v>
      </c>
      <c r="J97" s="1196" t="s">
        <v>91</v>
      </c>
      <c r="K97" s="1196" t="s">
        <v>76</v>
      </c>
      <c r="L97" s="1337"/>
      <c r="M97" s="1216" t="s">
        <v>92</v>
      </c>
      <c r="N97" s="1227"/>
      <c r="O97" s="1216" t="s">
        <v>92</v>
      </c>
      <c r="P97" s="1229" t="s">
        <v>58</v>
      </c>
      <c r="Q97" s="1494"/>
      <c r="R97" s="1494"/>
      <c r="S97" s="1494"/>
      <c r="T97" s="1494"/>
      <c r="U97" s="1494"/>
      <c r="V97" s="1500">
        <v>1172</v>
      </c>
      <c r="W97" s="1501"/>
      <c r="X97" s="1501">
        <f>SUM(V97-W97)</f>
        <v>1172</v>
      </c>
      <c r="Y97" s="655">
        <f>IFERROR($W97/$V97, 0)</f>
        <v>0</v>
      </c>
      <c r="Z97" s="1502"/>
      <c r="AA97" s="1277">
        <v>0</v>
      </c>
      <c r="AB97" s="1277">
        <v>0</v>
      </c>
      <c r="AC97" s="1276">
        <v>0</v>
      </c>
      <c r="AD97" s="1203" t="s">
        <v>312</v>
      </c>
      <c r="AE97" s="1263"/>
    </row>
    <row r="98" spans="1:31" ht="24.75" customHeight="1">
      <c r="A98" s="1425" t="s">
        <v>315</v>
      </c>
      <c r="B98" s="1010" t="s">
        <v>296</v>
      </c>
      <c r="C98" s="1410">
        <v>46051</v>
      </c>
      <c r="D98" s="1336"/>
      <c r="E98" s="1337"/>
      <c r="F98" s="1336"/>
      <c r="G98" s="1215"/>
      <c r="H98" s="1496">
        <v>0</v>
      </c>
      <c r="I98" s="825" t="s">
        <v>55</v>
      </c>
      <c r="J98" s="1196" t="s">
        <v>91</v>
      </c>
      <c r="K98" s="1196" t="s">
        <v>76</v>
      </c>
      <c r="L98" s="1337"/>
      <c r="M98" s="1216" t="s">
        <v>92</v>
      </c>
      <c r="N98" s="1227"/>
      <c r="O98" s="1216" t="s">
        <v>92</v>
      </c>
      <c r="P98" s="1229" t="s">
        <v>58</v>
      </c>
      <c r="Q98" s="1494"/>
      <c r="R98" s="1494"/>
      <c r="S98" s="1494"/>
      <c r="T98" s="1494"/>
      <c r="U98" s="1494"/>
      <c r="V98" s="1500">
        <v>4184</v>
      </c>
      <c r="W98" s="1501"/>
      <c r="X98" s="1501">
        <f>SUM(V98-W98)</f>
        <v>4184</v>
      </c>
      <c r="Y98" s="655">
        <f>IFERROR($W98/$V98, 0)</f>
        <v>0</v>
      </c>
      <c r="Z98" s="1502"/>
      <c r="AA98" s="1277">
        <v>0</v>
      </c>
      <c r="AB98" s="1277">
        <v>0</v>
      </c>
      <c r="AC98" s="1276">
        <v>0</v>
      </c>
      <c r="AD98" s="1203" t="s">
        <v>312</v>
      </c>
      <c r="AE98" s="1263"/>
    </row>
    <row r="99" spans="1:31" ht="24.75" customHeight="1">
      <c r="A99" s="1366"/>
      <c r="B99" s="1411"/>
      <c r="C99" s="1194"/>
      <c r="D99" s="1215"/>
      <c r="E99" s="1214"/>
      <c r="F99" s="1215"/>
      <c r="G99" s="1215"/>
      <c r="H99" s="1216"/>
      <c r="I99" s="825"/>
      <c r="J99" s="1216"/>
      <c r="K99" s="1196"/>
      <c r="L99" s="1214"/>
      <c r="M99" s="1216"/>
      <c r="N99" s="1227"/>
      <c r="O99" s="1216"/>
      <c r="P99" s="1279"/>
      <c r="Q99" s="1219"/>
      <c r="R99" s="1219"/>
      <c r="S99" s="1219"/>
      <c r="T99" s="1219"/>
      <c r="U99" s="1219"/>
      <c r="V99" s="1412"/>
      <c r="W99" s="1356"/>
      <c r="X99" s="1280"/>
      <c r="Y99" s="976"/>
      <c r="Z99" s="1279"/>
      <c r="AA99" s="1202"/>
      <c r="AB99" s="1202"/>
      <c r="AC99" s="1220"/>
      <c r="AD99" s="1203"/>
      <c r="AE99" s="1263"/>
    </row>
    <row r="100" spans="1:31" ht="24.75" customHeight="1">
      <c r="A100" s="1281"/>
      <c r="B100" s="1282"/>
      <c r="C100" s="1283"/>
      <c r="D100" s="647"/>
      <c r="E100" s="1284"/>
      <c r="F100" s="1285"/>
      <c r="G100" s="1285"/>
      <c r="H100" s="1285"/>
      <c r="I100" s="665"/>
      <c r="J100" s="1286"/>
      <c r="K100" s="1287"/>
      <c r="L100" s="1288"/>
      <c r="M100" s="1285"/>
      <c r="N100" s="1289"/>
      <c r="O100" s="1290"/>
      <c r="P100" s="1263"/>
      <c r="Q100" s="1291"/>
      <c r="R100" s="1292"/>
      <c r="S100" s="1292"/>
      <c r="T100" s="1292"/>
      <c r="U100" s="1292"/>
      <c r="V100" s="1293"/>
      <c r="W100" s="1293"/>
      <c r="X100" s="1294"/>
      <c r="Y100" s="1142"/>
      <c r="Z100" s="1192"/>
      <c r="AA100" s="1295"/>
      <c r="AB100" s="1295"/>
      <c r="AC100" s="1293"/>
      <c r="AD100" s="1248"/>
      <c r="AE100" s="1258"/>
    </row>
    <row r="101" spans="1:31" ht="24.75" customHeight="1">
      <c r="A101" s="1296" t="s">
        <v>316</v>
      </c>
      <c r="B101" s="1297" t="s">
        <v>20</v>
      </c>
      <c r="C101" s="1297" t="s">
        <v>21</v>
      </c>
      <c r="D101" s="1298" t="s">
        <v>22</v>
      </c>
      <c r="E101" s="1299" t="s">
        <v>23</v>
      </c>
      <c r="F101" s="1299" t="s">
        <v>24</v>
      </c>
      <c r="G101" s="1299" t="s">
        <v>25</v>
      </c>
      <c r="H101" s="1299" t="s">
        <v>26</v>
      </c>
      <c r="I101" s="1299" t="s">
        <v>27</v>
      </c>
      <c r="J101" s="1299" t="s">
        <v>28</v>
      </c>
      <c r="K101" s="1299" t="s">
        <v>29</v>
      </c>
      <c r="L101" s="1299" t="s">
        <v>30</v>
      </c>
      <c r="M101" s="1299" t="s">
        <v>31</v>
      </c>
      <c r="N101" s="1300" t="s">
        <v>32</v>
      </c>
      <c r="O101" s="1186" t="s">
        <v>33</v>
      </c>
      <c r="P101" s="1301" t="s">
        <v>34</v>
      </c>
      <c r="Q101" s="1189" t="s">
        <v>35</v>
      </c>
      <c r="R101" s="1302" t="s">
        <v>36</v>
      </c>
      <c r="S101" s="1302" t="s">
        <v>37</v>
      </c>
      <c r="T101" s="1302" t="s">
        <v>38</v>
      </c>
      <c r="U101" s="1302" t="s">
        <v>39</v>
      </c>
      <c r="V101" s="1302" t="s">
        <v>40</v>
      </c>
      <c r="W101" s="1302" t="s">
        <v>41</v>
      </c>
      <c r="X101" s="1303" t="s">
        <v>42</v>
      </c>
      <c r="Y101" s="1303" t="s">
        <v>43</v>
      </c>
      <c r="Z101" s="1304" t="s">
        <v>44</v>
      </c>
      <c r="AA101" s="1305" t="s">
        <v>45</v>
      </c>
      <c r="AB101" s="1302" t="s">
        <v>46</v>
      </c>
      <c r="AC101" s="1302" t="s">
        <v>47</v>
      </c>
      <c r="AD101" s="1306" t="s">
        <v>48</v>
      </c>
      <c r="AE101" s="1258"/>
    </row>
    <row r="102" spans="1:31" ht="24.75" customHeight="1">
      <c r="A102" s="1307" t="s">
        <v>317</v>
      </c>
      <c r="B102" s="1141" t="s">
        <v>318</v>
      </c>
      <c r="C102" s="1379">
        <v>46052</v>
      </c>
      <c r="D102" s="969" t="s">
        <v>129</v>
      </c>
      <c r="E102" s="1284">
        <v>45959</v>
      </c>
      <c r="F102" s="1285" t="s">
        <v>319</v>
      </c>
      <c r="G102" s="1285" t="s">
        <v>320</v>
      </c>
      <c r="H102" s="1308">
        <v>83</v>
      </c>
      <c r="I102" s="970" t="s">
        <v>55</v>
      </c>
      <c r="J102" s="1271" t="s">
        <v>63</v>
      </c>
      <c r="K102" s="1309"/>
      <c r="L102" s="1284"/>
      <c r="M102" s="1271" t="s">
        <v>57</v>
      </c>
      <c r="N102" s="1310">
        <v>45545.15</v>
      </c>
      <c r="O102" s="1290" t="s">
        <v>57</v>
      </c>
      <c r="P102" s="1311" t="s">
        <v>64</v>
      </c>
      <c r="Q102" s="1246"/>
      <c r="R102" s="1292"/>
      <c r="S102" s="1292"/>
      <c r="T102" s="1292"/>
      <c r="U102" s="1292"/>
      <c r="V102" s="1312">
        <v>5827</v>
      </c>
      <c r="W102" s="1257">
        <v>5468</v>
      </c>
      <c r="X102" s="1312">
        <f>SUM(V102-W102)</f>
        <v>359</v>
      </c>
      <c r="Y102" s="1142">
        <f t="shared" ref="Y102" si="7">IFERROR($W102/$V102, 0)</f>
        <v>0.93839025227389739</v>
      </c>
      <c r="Z102" s="1246">
        <v>45965</v>
      </c>
      <c r="AA102" s="1277">
        <v>1</v>
      </c>
      <c r="AB102" s="1277">
        <v>0</v>
      </c>
      <c r="AC102" s="1276">
        <v>0</v>
      </c>
      <c r="AD102" s="1248" t="s">
        <v>321</v>
      </c>
      <c r="AE102" s="1258"/>
    </row>
    <row r="103" spans="1:31" ht="24.75" customHeight="1">
      <c r="A103" s="1307" t="s">
        <v>322</v>
      </c>
      <c r="B103" s="1141" t="s">
        <v>318</v>
      </c>
      <c r="C103" s="1379">
        <v>46052</v>
      </c>
      <c r="D103" s="969" t="s">
        <v>129</v>
      </c>
      <c r="E103" s="1284">
        <v>45993</v>
      </c>
      <c r="F103" s="1285" t="s">
        <v>163</v>
      </c>
      <c r="G103" s="1285" t="s">
        <v>323</v>
      </c>
      <c r="H103" s="1308">
        <v>89</v>
      </c>
      <c r="I103" s="970" t="s">
        <v>55</v>
      </c>
      <c r="J103" s="1271" t="s">
        <v>63</v>
      </c>
      <c r="K103" s="1309"/>
      <c r="L103" s="1284">
        <v>45993</v>
      </c>
      <c r="M103" s="1271" t="s">
        <v>57</v>
      </c>
      <c r="N103" s="1310">
        <v>93349.5</v>
      </c>
      <c r="O103" s="1290" t="s">
        <v>57</v>
      </c>
      <c r="P103" s="1263" t="s">
        <v>64</v>
      </c>
      <c r="Q103" s="1246">
        <v>45993</v>
      </c>
      <c r="R103" s="1292"/>
      <c r="S103" s="1292"/>
      <c r="T103" s="1292"/>
      <c r="U103" s="1292"/>
      <c r="V103" s="1312">
        <v>7828</v>
      </c>
      <c r="W103" s="1430">
        <v>8469</v>
      </c>
      <c r="X103" s="1312">
        <f>SUM(V103-W103)</f>
        <v>-641</v>
      </c>
      <c r="Y103" s="1142">
        <f>IFERROR($W103/$V103, 0)</f>
        <v>1.0818855390904445</v>
      </c>
      <c r="Z103" s="1246">
        <v>45994</v>
      </c>
      <c r="AA103" s="1277">
        <v>0</v>
      </c>
      <c r="AB103" s="1277">
        <v>0</v>
      </c>
      <c r="AC103" s="1276">
        <v>0</v>
      </c>
      <c r="AD103" s="1248" t="s">
        <v>324</v>
      </c>
      <c r="AE103" s="1258"/>
    </row>
    <row r="104" spans="1:31" ht="24.75" customHeight="1">
      <c r="A104" s="1319" t="s">
        <v>325</v>
      </c>
      <c r="B104" s="1141" t="s">
        <v>318</v>
      </c>
      <c r="C104" s="1379">
        <v>46052</v>
      </c>
      <c r="D104" s="969" t="s">
        <v>129</v>
      </c>
      <c r="E104" s="1284">
        <v>45959</v>
      </c>
      <c r="F104" s="1285" t="s">
        <v>163</v>
      </c>
      <c r="G104" s="1285" t="s">
        <v>326</v>
      </c>
      <c r="H104" s="1286">
        <v>87</v>
      </c>
      <c r="I104" s="970" t="s">
        <v>55</v>
      </c>
      <c r="J104" s="1271" t="s">
        <v>63</v>
      </c>
      <c r="K104" s="1287"/>
      <c r="L104" s="1288">
        <v>45964</v>
      </c>
      <c r="M104" s="1271" t="s">
        <v>57</v>
      </c>
      <c r="N104" s="1314">
        <v>79552</v>
      </c>
      <c r="O104" s="1290" t="s">
        <v>57</v>
      </c>
      <c r="P104" s="1311" t="s">
        <v>64</v>
      </c>
      <c r="Q104" s="1316">
        <v>45964</v>
      </c>
      <c r="R104" s="1317"/>
      <c r="S104" s="1292"/>
      <c r="T104" s="1292"/>
      <c r="U104" s="1292"/>
      <c r="V104" s="1257">
        <v>6577</v>
      </c>
      <c r="W104" s="1257">
        <v>6013</v>
      </c>
      <c r="X104" s="1200">
        <f>SUM(V104-W104)</f>
        <v>564</v>
      </c>
      <c r="Y104" s="1142">
        <f t="shared" ref="Y104" si="8">IFERROR($W104/$V104, 0)</f>
        <v>0.91424661699863163</v>
      </c>
      <c r="Z104" s="1246">
        <v>46000</v>
      </c>
      <c r="AA104" s="1277">
        <v>1</v>
      </c>
      <c r="AB104" s="1277">
        <v>0</v>
      </c>
      <c r="AC104" s="1276">
        <v>2562</v>
      </c>
      <c r="AD104" s="1248" t="s">
        <v>327</v>
      </c>
      <c r="AE104" s="1258"/>
    </row>
    <row r="105" spans="1:31" ht="24.75" customHeight="1">
      <c r="A105" s="1319" t="s">
        <v>328</v>
      </c>
      <c r="B105" s="1141" t="s">
        <v>318</v>
      </c>
      <c r="C105" s="1379">
        <v>46052</v>
      </c>
      <c r="D105" s="969" t="s">
        <v>129</v>
      </c>
      <c r="E105" s="1284">
        <v>45987</v>
      </c>
      <c r="F105" s="1285" t="s">
        <v>163</v>
      </c>
      <c r="G105" s="1285" t="s">
        <v>329</v>
      </c>
      <c r="H105" s="1286">
        <v>85</v>
      </c>
      <c r="I105" s="970" t="s">
        <v>55</v>
      </c>
      <c r="J105" s="1271" t="s">
        <v>63</v>
      </c>
      <c r="K105" s="1287"/>
      <c r="L105" s="1288">
        <v>45987</v>
      </c>
      <c r="M105" s="1271" t="s">
        <v>57</v>
      </c>
      <c r="N105" s="1314">
        <v>84092.5</v>
      </c>
      <c r="O105" s="1290" t="s">
        <v>57</v>
      </c>
      <c r="P105" s="1263" t="s">
        <v>64</v>
      </c>
      <c r="Q105" s="1316">
        <v>45987</v>
      </c>
      <c r="R105" s="1292"/>
      <c r="S105" s="1292"/>
      <c r="T105" s="1292"/>
      <c r="U105" s="1292"/>
      <c r="V105" s="1257">
        <v>6897</v>
      </c>
      <c r="W105" s="1257">
        <v>6370</v>
      </c>
      <c r="X105" s="1257">
        <f>SUM(V105-W105)</f>
        <v>527</v>
      </c>
      <c r="Y105" s="1142">
        <f t="shared" ref="Y105:Y109" si="9">IFERROR($W105/$V105, 0)</f>
        <v>0.92358996665216764</v>
      </c>
      <c r="Z105" s="1246">
        <v>46009</v>
      </c>
      <c r="AA105" s="1277">
        <v>0</v>
      </c>
      <c r="AB105" s="1277">
        <v>0</v>
      </c>
      <c r="AC105" s="1276">
        <v>0</v>
      </c>
      <c r="AD105" s="1248" t="s">
        <v>330</v>
      </c>
      <c r="AE105" s="1258"/>
    </row>
    <row r="106" spans="1:31" ht="24.75" customHeight="1">
      <c r="A106" s="1319" t="s">
        <v>331</v>
      </c>
      <c r="B106" s="1141" t="s">
        <v>318</v>
      </c>
      <c r="C106" s="1379">
        <v>46052</v>
      </c>
      <c r="D106" s="969" t="s">
        <v>129</v>
      </c>
      <c r="E106" s="1284">
        <v>45987</v>
      </c>
      <c r="F106" s="1285" t="s">
        <v>163</v>
      </c>
      <c r="G106" s="1285" t="s">
        <v>332</v>
      </c>
      <c r="H106" s="1286">
        <v>76</v>
      </c>
      <c r="I106" s="970" t="s">
        <v>55</v>
      </c>
      <c r="J106" s="1271" t="s">
        <v>63</v>
      </c>
      <c r="K106" s="1287"/>
      <c r="L106" s="1288">
        <v>45987</v>
      </c>
      <c r="M106" s="1271" t="s">
        <v>57</v>
      </c>
      <c r="N106" s="1314">
        <v>74892.5</v>
      </c>
      <c r="O106" s="1290" t="s">
        <v>57</v>
      </c>
      <c r="P106" s="1263" t="s">
        <v>86</v>
      </c>
      <c r="Q106" s="1316">
        <v>45987</v>
      </c>
      <c r="R106" s="1292"/>
      <c r="S106" s="1292"/>
      <c r="T106" s="1292"/>
      <c r="U106" s="1292"/>
      <c r="V106" s="1257">
        <v>6218</v>
      </c>
      <c r="W106" s="1429">
        <v>6250</v>
      </c>
      <c r="X106" s="1257">
        <f>SUM(V106-W106)</f>
        <v>-32</v>
      </c>
      <c r="Y106" s="1142">
        <f t="shared" si="9"/>
        <v>1.0051463493084594</v>
      </c>
      <c r="Z106" s="1292">
        <v>46386</v>
      </c>
      <c r="AA106" s="1277">
        <v>0</v>
      </c>
      <c r="AB106" s="1277">
        <v>0</v>
      </c>
      <c r="AC106" s="1276">
        <v>0</v>
      </c>
      <c r="AD106" s="1248" t="s">
        <v>333</v>
      </c>
      <c r="AE106" s="1258"/>
    </row>
    <row r="107" spans="1:31" ht="24.75" customHeight="1">
      <c r="A107" s="1319" t="s">
        <v>334</v>
      </c>
      <c r="B107" s="1141" t="s">
        <v>318</v>
      </c>
      <c r="C107" s="1379">
        <v>46052</v>
      </c>
      <c r="D107" s="969" t="s">
        <v>129</v>
      </c>
      <c r="E107" s="1284">
        <v>45987</v>
      </c>
      <c r="F107" s="1285" t="s">
        <v>163</v>
      </c>
      <c r="G107" s="1369" t="s">
        <v>335</v>
      </c>
      <c r="H107" s="1370">
        <v>86</v>
      </c>
      <c r="I107" s="825" t="s">
        <v>55</v>
      </c>
      <c r="J107" s="1216" t="s">
        <v>63</v>
      </c>
      <c r="K107" s="1287"/>
      <c r="L107" s="1288">
        <v>45987</v>
      </c>
      <c r="M107" s="1271" t="s">
        <v>57</v>
      </c>
      <c r="N107" s="1314">
        <v>90841</v>
      </c>
      <c r="O107" s="1290" t="s">
        <v>57</v>
      </c>
      <c r="P107" s="1263" t="s">
        <v>64</v>
      </c>
      <c r="Q107" s="1316">
        <v>45987</v>
      </c>
      <c r="R107" s="1292"/>
      <c r="S107" s="1292"/>
      <c r="T107" s="1292"/>
      <c r="U107" s="1292"/>
      <c r="V107" s="1257">
        <v>7491</v>
      </c>
      <c r="W107" s="1257">
        <v>6883</v>
      </c>
      <c r="X107" s="1257">
        <f>SUM(V107-W107)</f>
        <v>608</v>
      </c>
      <c r="Y107" s="1142">
        <f t="shared" si="9"/>
        <v>0.91883593645708184</v>
      </c>
      <c r="Z107" s="1246">
        <v>46009</v>
      </c>
      <c r="AA107" s="1277">
        <v>0</v>
      </c>
      <c r="AB107" s="1277">
        <v>0</v>
      </c>
      <c r="AC107" s="1276">
        <v>0</v>
      </c>
      <c r="AD107" s="1248" t="s">
        <v>336</v>
      </c>
      <c r="AE107" s="1258"/>
    </row>
    <row r="108" spans="1:31" ht="24.75" customHeight="1">
      <c r="A108" s="1319" t="s">
        <v>337</v>
      </c>
      <c r="B108" s="1141" t="s">
        <v>318</v>
      </c>
      <c r="C108" s="1379">
        <v>46052</v>
      </c>
      <c r="D108" s="969" t="s">
        <v>129</v>
      </c>
      <c r="E108" s="1284">
        <v>45987</v>
      </c>
      <c r="F108" s="1389" t="s">
        <v>163</v>
      </c>
      <c r="G108" s="1285" t="s">
        <v>338</v>
      </c>
      <c r="H108" s="1286">
        <v>78</v>
      </c>
      <c r="I108" s="658" t="s">
        <v>55</v>
      </c>
      <c r="J108" s="1290" t="s">
        <v>63</v>
      </c>
      <c r="K108" s="1391"/>
      <c r="L108" s="1288">
        <v>45987</v>
      </c>
      <c r="M108" s="1271" t="s">
        <v>57</v>
      </c>
      <c r="N108" s="1314">
        <v>68606.5</v>
      </c>
      <c r="O108" s="1290" t="s">
        <v>57</v>
      </c>
      <c r="P108" s="1263" t="s">
        <v>101</v>
      </c>
      <c r="Q108" s="1316">
        <v>45987</v>
      </c>
      <c r="R108" s="1292"/>
      <c r="S108" s="1292"/>
      <c r="T108" s="1292"/>
      <c r="U108" s="1402"/>
      <c r="V108" s="1361">
        <v>5456</v>
      </c>
      <c r="W108" s="1432">
        <v>5441</v>
      </c>
      <c r="X108" s="1257">
        <f>SUM(V108-W108)</f>
        <v>15</v>
      </c>
      <c r="Y108" s="1142">
        <f t="shared" si="9"/>
        <v>0.99725073313782986</v>
      </c>
      <c r="Z108" s="1292">
        <v>46028</v>
      </c>
      <c r="AA108" s="1277">
        <v>0</v>
      </c>
      <c r="AB108" s="1277">
        <v>0</v>
      </c>
      <c r="AC108" s="1276">
        <v>0</v>
      </c>
      <c r="AD108" s="1248" t="s">
        <v>339</v>
      </c>
      <c r="AE108" s="1258"/>
    </row>
    <row r="109" spans="1:31" ht="24.75" customHeight="1">
      <c r="A109" s="1367" t="s">
        <v>340</v>
      </c>
      <c r="B109" s="1282" t="s">
        <v>318</v>
      </c>
      <c r="C109" s="1379">
        <v>46052</v>
      </c>
      <c r="D109" s="1368" t="s">
        <v>129</v>
      </c>
      <c r="E109" s="1283">
        <v>45987</v>
      </c>
      <c r="F109" s="1195" t="s">
        <v>163</v>
      </c>
      <c r="G109" s="1285" t="s">
        <v>341</v>
      </c>
      <c r="H109" s="1286">
        <v>73</v>
      </c>
      <c r="I109" s="658" t="s">
        <v>55</v>
      </c>
      <c r="J109" s="1290" t="s">
        <v>63</v>
      </c>
      <c r="K109" s="1392"/>
      <c r="L109" s="1371">
        <v>45987</v>
      </c>
      <c r="M109" s="1216" t="s">
        <v>57</v>
      </c>
      <c r="N109" s="1197">
        <v>71371</v>
      </c>
      <c r="O109" s="1372" t="s">
        <v>57</v>
      </c>
      <c r="P109" s="1263" t="s">
        <v>101</v>
      </c>
      <c r="Q109" s="1316">
        <v>45987</v>
      </c>
      <c r="R109" s="1292"/>
      <c r="S109" s="1292"/>
      <c r="T109" s="1397"/>
      <c r="U109" s="1292"/>
      <c r="V109" s="1257">
        <v>5810</v>
      </c>
      <c r="W109" s="1429">
        <v>3672</v>
      </c>
      <c r="X109" s="1400">
        <f>SUM(V109-W109)</f>
        <v>2138</v>
      </c>
      <c r="Y109" s="1142">
        <f t="shared" si="9"/>
        <v>0.632013769363167</v>
      </c>
      <c r="Z109" s="1292">
        <v>46030</v>
      </c>
      <c r="AA109" s="1277">
        <v>0</v>
      </c>
      <c r="AB109" s="1277">
        <v>0</v>
      </c>
      <c r="AC109" s="1276">
        <v>0</v>
      </c>
      <c r="AD109" s="1248" t="s">
        <v>342</v>
      </c>
      <c r="AE109" s="1258"/>
    </row>
    <row r="110" spans="1:31" ht="24.75" customHeight="1">
      <c r="A110" s="1384" t="s">
        <v>343</v>
      </c>
      <c r="B110" s="1282" t="s">
        <v>318</v>
      </c>
      <c r="C110" s="1379">
        <v>46052</v>
      </c>
      <c r="D110" s="1368" t="s">
        <v>129</v>
      </c>
      <c r="E110" s="1283">
        <v>46027</v>
      </c>
      <c r="F110" s="1390" t="s">
        <v>344</v>
      </c>
      <c r="G110" s="1285"/>
      <c r="H110" s="52">
        <v>68</v>
      </c>
      <c r="I110" s="658" t="s">
        <v>55</v>
      </c>
      <c r="J110" s="1290" t="s">
        <v>63</v>
      </c>
      <c r="K110" s="1393"/>
      <c r="L110" s="1283">
        <v>46027</v>
      </c>
      <c r="M110" s="1216" t="s">
        <v>57</v>
      </c>
      <c r="N110" s="1314">
        <v>68608</v>
      </c>
      <c r="O110" s="1372" t="s">
        <v>57</v>
      </c>
      <c r="P110" s="1263" t="s">
        <v>64</v>
      </c>
      <c r="Q110" s="1283">
        <v>46027</v>
      </c>
      <c r="R110" s="1357"/>
      <c r="S110" s="1357"/>
      <c r="T110" s="1398"/>
      <c r="U110" s="1357"/>
      <c r="V110" s="31">
        <v>5699</v>
      </c>
      <c r="W110" s="1503">
        <v>3893</v>
      </c>
      <c r="X110" s="1400">
        <f t="shared" ref="X110:X116" si="10">SUM(V110-W110)</f>
        <v>1806</v>
      </c>
      <c r="Y110" s="1142">
        <f t="shared" ref="Y110:Y116" si="11">IFERROR($W110/$V110, 0)</f>
        <v>0.68310229864888572</v>
      </c>
      <c r="Z110" s="1357">
        <v>46034</v>
      </c>
      <c r="AA110" s="1277">
        <v>0</v>
      </c>
      <c r="AB110" s="1277">
        <v>0</v>
      </c>
      <c r="AC110" s="1276">
        <v>0</v>
      </c>
      <c r="AD110" s="1248" t="s">
        <v>345</v>
      </c>
      <c r="AE110" s="1258"/>
    </row>
    <row r="111" spans="1:31" ht="24.75" customHeight="1">
      <c r="A111" s="1384" t="s">
        <v>346</v>
      </c>
      <c r="B111" s="1282" t="s">
        <v>318</v>
      </c>
      <c r="C111" s="1379">
        <v>46052</v>
      </c>
      <c r="D111" s="1368" t="s">
        <v>129</v>
      </c>
      <c r="E111" s="1283">
        <v>46027</v>
      </c>
      <c r="F111" s="1390" t="s">
        <v>344</v>
      </c>
      <c r="G111" s="1285"/>
      <c r="H111" s="52">
        <v>85</v>
      </c>
      <c r="I111" s="658" t="s">
        <v>55</v>
      </c>
      <c r="J111" s="1290" t="s">
        <v>63</v>
      </c>
      <c r="K111" s="1393"/>
      <c r="L111" s="1283">
        <v>46027</v>
      </c>
      <c r="M111" s="1216" t="s">
        <v>57</v>
      </c>
      <c r="N111" s="1314">
        <v>73334</v>
      </c>
      <c r="O111" s="1372" t="s">
        <v>57</v>
      </c>
      <c r="P111" s="1263" t="s">
        <v>64</v>
      </c>
      <c r="Q111" s="1283">
        <v>46027</v>
      </c>
      <c r="R111" s="1357"/>
      <c r="S111" s="1357"/>
      <c r="T111" s="1398"/>
      <c r="U111" s="1357"/>
      <c r="V111" s="31">
        <v>5860</v>
      </c>
      <c r="W111" s="1504">
        <v>5829</v>
      </c>
      <c r="X111" s="1400">
        <f t="shared" si="10"/>
        <v>31</v>
      </c>
      <c r="Y111" s="1142">
        <f t="shared" si="11"/>
        <v>0.99470989761092155</v>
      </c>
      <c r="Z111" s="1357">
        <v>46034</v>
      </c>
      <c r="AA111" s="1277">
        <v>0</v>
      </c>
      <c r="AB111" s="1277">
        <v>0</v>
      </c>
      <c r="AC111" s="1276">
        <v>0</v>
      </c>
      <c r="AD111" s="1248" t="s">
        <v>347</v>
      </c>
      <c r="AE111" s="1258"/>
    </row>
    <row r="112" spans="1:31" ht="24.75" customHeight="1">
      <c r="A112" s="1384" t="s">
        <v>348</v>
      </c>
      <c r="B112" s="1282" t="s">
        <v>318</v>
      </c>
      <c r="C112" s="1379">
        <v>46052</v>
      </c>
      <c r="D112" s="1368" t="s">
        <v>129</v>
      </c>
      <c r="E112" s="1283">
        <v>46027</v>
      </c>
      <c r="F112" s="1390" t="s">
        <v>344</v>
      </c>
      <c r="G112" s="1285"/>
      <c r="H112" s="52">
        <v>81</v>
      </c>
      <c r="I112" s="658" t="s">
        <v>55</v>
      </c>
      <c r="J112" s="1290" t="s">
        <v>63</v>
      </c>
      <c r="K112" s="1393"/>
      <c r="L112" s="1283">
        <v>46027</v>
      </c>
      <c r="M112" s="1216" t="s">
        <v>57</v>
      </c>
      <c r="N112" s="1314">
        <v>73885</v>
      </c>
      <c r="O112" s="1372" t="s">
        <v>57</v>
      </c>
      <c r="P112" s="1263" t="s">
        <v>86</v>
      </c>
      <c r="Q112" s="1283">
        <v>46027</v>
      </c>
      <c r="R112" s="1357"/>
      <c r="S112" s="1357"/>
      <c r="T112" s="1398"/>
      <c r="U112" s="1357"/>
      <c r="V112" s="31">
        <v>6021</v>
      </c>
      <c r="W112" s="1504">
        <v>6080</v>
      </c>
      <c r="X112" s="1400">
        <f t="shared" si="10"/>
        <v>-59</v>
      </c>
      <c r="Y112" s="1142">
        <f t="shared" si="11"/>
        <v>1.0097990367048664</v>
      </c>
      <c r="Z112" s="1357">
        <v>46035</v>
      </c>
      <c r="AA112" s="1277">
        <v>0</v>
      </c>
      <c r="AB112" s="1277">
        <v>0</v>
      </c>
      <c r="AC112" s="1276">
        <v>0</v>
      </c>
      <c r="AD112" s="1248" t="s">
        <v>349</v>
      </c>
      <c r="AE112" s="1258"/>
    </row>
    <row r="113" spans="1:31" ht="24.75" customHeight="1">
      <c r="A113" s="1384" t="s">
        <v>350</v>
      </c>
      <c r="B113" s="1282" t="s">
        <v>318</v>
      </c>
      <c r="C113" s="1379">
        <v>46052</v>
      </c>
      <c r="D113" s="1368" t="s">
        <v>129</v>
      </c>
      <c r="E113" s="1283">
        <v>46027</v>
      </c>
      <c r="F113" s="1390" t="s">
        <v>344</v>
      </c>
      <c r="G113" s="1285"/>
      <c r="H113" s="52">
        <v>87</v>
      </c>
      <c r="I113" s="658" t="s">
        <v>55</v>
      </c>
      <c r="J113" s="1290" t="s">
        <v>63</v>
      </c>
      <c r="K113" s="1393"/>
      <c r="L113" s="1283">
        <v>46027</v>
      </c>
      <c r="M113" s="1216" t="s">
        <v>57</v>
      </c>
      <c r="N113" s="1314">
        <v>78025</v>
      </c>
      <c r="O113" s="1372" t="s">
        <v>57</v>
      </c>
      <c r="P113" s="1263" t="s">
        <v>64</v>
      </c>
      <c r="Q113" s="1283">
        <v>46027</v>
      </c>
      <c r="R113" s="1357"/>
      <c r="S113" s="1357"/>
      <c r="T113" s="1398"/>
      <c r="U113" s="1357"/>
      <c r="V113" s="31">
        <v>6432</v>
      </c>
      <c r="W113" s="1504">
        <v>3433</v>
      </c>
      <c r="X113" s="1400">
        <f t="shared" si="10"/>
        <v>2999</v>
      </c>
      <c r="Y113" s="1142">
        <f t="shared" si="11"/>
        <v>0.53373756218905477</v>
      </c>
      <c r="Z113" s="1357">
        <v>46035</v>
      </c>
      <c r="AA113" s="1277">
        <v>0</v>
      </c>
      <c r="AB113" s="1277">
        <v>0</v>
      </c>
      <c r="AC113" s="1276">
        <v>0</v>
      </c>
      <c r="AD113" s="1248" t="s">
        <v>351</v>
      </c>
      <c r="AE113" s="1258"/>
    </row>
    <row r="114" spans="1:31" ht="24.75" customHeight="1">
      <c r="A114" s="1384" t="s">
        <v>352</v>
      </c>
      <c r="B114" s="1282" t="s">
        <v>318</v>
      </c>
      <c r="C114" s="1379">
        <v>46052</v>
      </c>
      <c r="D114" s="1368" t="s">
        <v>129</v>
      </c>
      <c r="E114" s="1283">
        <v>46027</v>
      </c>
      <c r="F114" s="1390" t="s">
        <v>344</v>
      </c>
      <c r="G114" s="1285"/>
      <c r="H114" s="52">
        <v>68</v>
      </c>
      <c r="I114" s="658" t="s">
        <v>55</v>
      </c>
      <c r="J114" s="1290" t="s">
        <v>63</v>
      </c>
      <c r="K114" s="1393"/>
      <c r="L114" s="1283">
        <v>46027</v>
      </c>
      <c r="M114" s="1216" t="s">
        <v>57</v>
      </c>
      <c r="N114" s="1314">
        <v>59114.5</v>
      </c>
      <c r="O114" s="1372" t="s">
        <v>57</v>
      </c>
      <c r="P114" s="1263" t="s">
        <v>64</v>
      </c>
      <c r="Q114" s="1283">
        <v>46027</v>
      </c>
      <c r="R114" s="1357"/>
      <c r="S114" s="1357"/>
      <c r="T114" s="1398"/>
      <c r="U114" s="1357"/>
      <c r="V114" s="31">
        <v>4836</v>
      </c>
      <c r="W114" s="1505">
        <v>4810</v>
      </c>
      <c r="X114" s="1400">
        <f t="shared" si="10"/>
        <v>26</v>
      </c>
      <c r="Y114" s="1142">
        <f t="shared" si="11"/>
        <v>0.9946236559139785</v>
      </c>
      <c r="Z114" s="1357">
        <v>46036</v>
      </c>
      <c r="AA114" s="1277">
        <v>0</v>
      </c>
      <c r="AB114" s="1277">
        <v>0</v>
      </c>
      <c r="AC114" s="1276">
        <v>0</v>
      </c>
      <c r="AD114" s="1248" t="s">
        <v>353</v>
      </c>
      <c r="AE114" s="1258"/>
    </row>
    <row r="115" spans="1:31" ht="24.75" customHeight="1">
      <c r="A115" s="1384" t="s">
        <v>354</v>
      </c>
      <c r="B115" s="1282" t="s">
        <v>318</v>
      </c>
      <c r="C115" s="1379">
        <v>46052</v>
      </c>
      <c r="D115" s="1368" t="s">
        <v>129</v>
      </c>
      <c r="E115" s="1283">
        <v>46027</v>
      </c>
      <c r="F115" s="1390" t="s">
        <v>344</v>
      </c>
      <c r="G115" s="1285"/>
      <c r="H115" s="52">
        <v>90</v>
      </c>
      <c r="I115" s="658" t="s">
        <v>55</v>
      </c>
      <c r="J115" s="1290" t="s">
        <v>63</v>
      </c>
      <c r="K115" s="1393"/>
      <c r="L115" s="1283">
        <v>46027</v>
      </c>
      <c r="M115" s="1216" t="s">
        <v>57</v>
      </c>
      <c r="N115" s="1314">
        <v>88362</v>
      </c>
      <c r="O115" s="1372" t="s">
        <v>57</v>
      </c>
      <c r="P115" s="1263" t="s">
        <v>64</v>
      </c>
      <c r="Q115" s="1283">
        <v>46027</v>
      </c>
      <c r="R115" s="1357"/>
      <c r="S115" s="1357"/>
      <c r="T115" s="1398"/>
      <c r="U115" s="1357"/>
      <c r="V115" s="31">
        <v>7145</v>
      </c>
      <c r="W115" s="1506">
        <v>3833</v>
      </c>
      <c r="X115" s="1400">
        <f t="shared" si="10"/>
        <v>3312</v>
      </c>
      <c r="Y115" s="1142">
        <f t="shared" si="11"/>
        <v>0.53645906228131557</v>
      </c>
      <c r="Z115" s="1357">
        <v>46036</v>
      </c>
      <c r="AA115" s="1277">
        <v>0</v>
      </c>
      <c r="AB115" s="1277">
        <v>0</v>
      </c>
      <c r="AC115" s="1276">
        <v>0</v>
      </c>
      <c r="AD115" s="1248" t="s">
        <v>355</v>
      </c>
      <c r="AE115" s="1258"/>
    </row>
    <row r="116" spans="1:31" ht="24.75" customHeight="1">
      <c r="A116" s="1385" t="s">
        <v>356</v>
      </c>
      <c r="B116" s="1282" t="s">
        <v>318</v>
      </c>
      <c r="C116" s="1379">
        <v>46052</v>
      </c>
      <c r="D116" s="1368" t="s">
        <v>129</v>
      </c>
      <c r="E116" s="1386">
        <v>46027</v>
      </c>
      <c r="F116" s="1389" t="s">
        <v>344</v>
      </c>
      <c r="G116" s="1285"/>
      <c r="H116" s="52">
        <v>90</v>
      </c>
      <c r="I116" s="658" t="s">
        <v>55</v>
      </c>
      <c r="J116" s="1290" t="s">
        <v>63</v>
      </c>
      <c r="K116" s="1394"/>
      <c r="L116" s="1283">
        <v>46027</v>
      </c>
      <c r="M116" s="1216" t="s">
        <v>57</v>
      </c>
      <c r="N116" s="1197">
        <v>86984</v>
      </c>
      <c r="O116" s="1372" t="s">
        <v>57</v>
      </c>
      <c r="P116" s="1263" t="s">
        <v>64</v>
      </c>
      <c r="Q116" s="1283">
        <v>46027</v>
      </c>
      <c r="R116" s="1359"/>
      <c r="S116" s="1359"/>
      <c r="T116" s="1399"/>
      <c r="U116" s="1357"/>
      <c r="V116" s="31">
        <v>7341</v>
      </c>
      <c r="W116" s="1506">
        <v>3360</v>
      </c>
      <c r="X116" s="1401">
        <f t="shared" si="10"/>
        <v>3981</v>
      </c>
      <c r="Y116" s="1387">
        <f t="shared" si="11"/>
        <v>0.45770331017572535</v>
      </c>
      <c r="Z116" s="1359">
        <v>46037</v>
      </c>
      <c r="AA116" s="1277">
        <v>0</v>
      </c>
      <c r="AB116" s="1277">
        <v>0</v>
      </c>
      <c r="AC116" s="1276">
        <v>0</v>
      </c>
      <c r="AD116" s="1248" t="s">
        <v>357</v>
      </c>
      <c r="AE116" s="1258"/>
    </row>
    <row r="117" spans="1:31" ht="24.75" customHeight="1">
      <c r="A117" s="1384" t="s">
        <v>358</v>
      </c>
      <c r="B117" s="1282" t="s">
        <v>318</v>
      </c>
      <c r="C117" s="1379">
        <v>46052</v>
      </c>
      <c r="D117" s="1368" t="s">
        <v>129</v>
      </c>
      <c r="E117" s="1283">
        <v>46027</v>
      </c>
      <c r="F117" s="1195" t="s">
        <v>163</v>
      </c>
      <c r="G117" s="1285"/>
      <c r="H117" s="1286">
        <v>0</v>
      </c>
      <c r="I117" s="658" t="s">
        <v>55</v>
      </c>
      <c r="J117" s="1290" t="s">
        <v>63</v>
      </c>
      <c r="K117" s="1393"/>
      <c r="L117" s="1283">
        <v>46027</v>
      </c>
      <c r="M117" s="1216" t="s">
        <v>57</v>
      </c>
      <c r="N117" s="1314">
        <v>18078.28</v>
      </c>
      <c r="O117" s="1372" t="s">
        <v>57</v>
      </c>
      <c r="P117" s="1263" t="s">
        <v>58</v>
      </c>
      <c r="Q117" s="1283">
        <v>46027</v>
      </c>
      <c r="R117" s="1357"/>
      <c r="S117" s="1357"/>
      <c r="T117" s="1398"/>
      <c r="U117" s="1357"/>
      <c r="V117" s="31">
        <v>1284</v>
      </c>
      <c r="W117" s="1501"/>
      <c r="X117" s="1400">
        <f t="shared" ref="X117:X118" si="12">SUM(V117-W117)</f>
        <v>1284</v>
      </c>
      <c r="Y117" s="1142">
        <f t="shared" ref="Y117:Y118" si="13">IFERROR($W117/$V117, 0)</f>
        <v>0</v>
      </c>
      <c r="Z117" s="1358"/>
      <c r="AA117" s="1277">
        <v>0</v>
      </c>
      <c r="AB117" s="1277">
        <v>0</v>
      </c>
      <c r="AC117" s="1276">
        <v>0</v>
      </c>
      <c r="AD117" s="1248" t="s">
        <v>359</v>
      </c>
      <c r="AE117" s="1258"/>
    </row>
    <row r="118" spans="1:31" ht="24.75" customHeight="1">
      <c r="A118" s="1385" t="s">
        <v>360</v>
      </c>
      <c r="B118" s="1282" t="s">
        <v>318</v>
      </c>
      <c r="C118" s="1379">
        <v>46052</v>
      </c>
      <c r="D118" s="1368" t="s">
        <v>129</v>
      </c>
      <c r="E118" s="1386">
        <v>46027</v>
      </c>
      <c r="F118" s="1195" t="s">
        <v>163</v>
      </c>
      <c r="G118" s="1285"/>
      <c r="H118" s="1286">
        <v>0</v>
      </c>
      <c r="I118" s="658" t="s">
        <v>55</v>
      </c>
      <c r="J118" s="1290" t="s">
        <v>63</v>
      </c>
      <c r="K118" s="1394"/>
      <c r="L118" s="1386">
        <v>46027</v>
      </c>
      <c r="M118" s="1216" t="s">
        <v>57</v>
      </c>
      <c r="N118" s="1197">
        <v>54261.05</v>
      </c>
      <c r="O118" s="1372" t="s">
        <v>57</v>
      </c>
      <c r="P118" s="1263" t="s">
        <v>64</v>
      </c>
      <c r="Q118" s="1283">
        <v>46027</v>
      </c>
      <c r="R118" s="1359"/>
      <c r="S118" s="1359"/>
      <c r="T118" s="1399"/>
      <c r="U118" s="1357"/>
      <c r="V118" s="31">
        <v>4022</v>
      </c>
      <c r="W118" s="1506">
        <v>2626</v>
      </c>
      <c r="X118" s="1401">
        <f t="shared" si="12"/>
        <v>1396</v>
      </c>
      <c r="Y118" s="879">
        <f t="shared" si="13"/>
        <v>0.65290900049726508</v>
      </c>
      <c r="Z118" s="1359">
        <v>46037</v>
      </c>
      <c r="AA118" s="1277">
        <v>0</v>
      </c>
      <c r="AB118" s="1277">
        <v>0</v>
      </c>
      <c r="AC118" s="1276">
        <v>0</v>
      </c>
      <c r="AD118" s="1248" t="s">
        <v>361</v>
      </c>
    </row>
    <row r="119" spans="1:31" ht="24.75" customHeight="1">
      <c r="A119" s="1285"/>
      <c r="B119" s="1287"/>
      <c r="C119" s="1287"/>
      <c r="D119" s="1287"/>
      <c r="E119" s="1287"/>
      <c r="F119" s="1285"/>
      <c r="G119" s="1395"/>
      <c r="H119" s="1396"/>
      <c r="I119" s="1396"/>
      <c r="J119" s="1396"/>
      <c r="K119" s="1287"/>
      <c r="L119" s="1285"/>
      <c r="M119" s="1287"/>
      <c r="N119" s="1374"/>
      <c r="O119" s="1287"/>
      <c r="P119" s="1381"/>
      <c r="Q119" s="1388"/>
      <c r="R119" s="1243"/>
      <c r="S119" s="1243"/>
      <c r="T119" s="1243"/>
      <c r="U119" s="1388"/>
      <c r="V119" s="1403"/>
      <c r="W119" s="1388"/>
      <c r="X119" s="1243"/>
      <c r="Y119" s="1243"/>
      <c r="Z119" s="1243"/>
      <c r="AA119" s="1243"/>
      <c r="AB119" s="1243"/>
      <c r="AC119" s="1243"/>
      <c r="AD119" s="1345"/>
    </row>
    <row r="120" spans="1:31" ht="24.75" customHeight="1">
      <c r="A120" s="1285"/>
      <c r="B120" s="1287"/>
      <c r="C120" s="1287"/>
      <c r="D120" s="1287"/>
      <c r="E120" s="1287"/>
      <c r="F120" s="1285"/>
      <c r="G120" s="1285"/>
      <c r="H120" s="1287"/>
      <c r="I120" s="1287"/>
      <c r="J120" s="1287"/>
      <c r="K120" s="1287"/>
      <c r="L120" s="1285"/>
      <c r="M120" s="1287"/>
      <c r="N120" s="1374"/>
      <c r="O120" s="1287"/>
      <c r="P120" s="1381"/>
      <c r="Q120" s="1243"/>
      <c r="R120" s="1243"/>
      <c r="S120" s="1243"/>
      <c r="T120" s="1243"/>
      <c r="U120" s="1243"/>
      <c r="V120" s="1344"/>
      <c r="W120" s="1243"/>
      <c r="X120" s="1243"/>
      <c r="Y120" s="1243"/>
      <c r="Z120" s="1243"/>
      <c r="AA120" s="1243"/>
      <c r="AB120" s="1243"/>
      <c r="AC120" s="1243"/>
      <c r="AD120" s="1345"/>
    </row>
    <row r="121" spans="1:31" ht="24.75" customHeight="1">
      <c r="A121" s="1297" t="s">
        <v>362</v>
      </c>
      <c r="B121" s="1297" t="s">
        <v>20</v>
      </c>
      <c r="C121" s="1297" t="s">
        <v>21</v>
      </c>
      <c r="D121" s="1297" t="s">
        <v>22</v>
      </c>
      <c r="E121" s="1297" t="s">
        <v>23</v>
      </c>
      <c r="F121" s="1297" t="s">
        <v>24</v>
      </c>
      <c r="G121" s="1297" t="s">
        <v>25</v>
      </c>
      <c r="H121" s="1297" t="s">
        <v>26</v>
      </c>
      <c r="I121" s="1297" t="s">
        <v>27</v>
      </c>
      <c r="J121" s="1297" t="s">
        <v>28</v>
      </c>
      <c r="K121" s="1297" t="s">
        <v>29</v>
      </c>
      <c r="L121" s="1297" t="s">
        <v>30</v>
      </c>
      <c r="M121" s="1297" t="s">
        <v>31</v>
      </c>
      <c r="N121" s="1375" t="s">
        <v>32</v>
      </c>
      <c r="O121" s="1297" t="s">
        <v>33</v>
      </c>
      <c r="P121" s="1382" t="s">
        <v>34</v>
      </c>
      <c r="Q121" s="1303" t="s">
        <v>35</v>
      </c>
      <c r="R121" s="1303" t="s">
        <v>36</v>
      </c>
      <c r="S121" s="1303" t="s">
        <v>37</v>
      </c>
      <c r="T121" s="1303" t="s">
        <v>38</v>
      </c>
      <c r="U121" s="1303" t="s">
        <v>39</v>
      </c>
      <c r="V121" s="1303" t="s">
        <v>40</v>
      </c>
      <c r="W121" s="1303" t="s">
        <v>41</v>
      </c>
      <c r="X121" s="1303" t="s">
        <v>42</v>
      </c>
      <c r="Y121" s="1303" t="s">
        <v>43</v>
      </c>
      <c r="Z121" s="1303" t="s">
        <v>44</v>
      </c>
      <c r="AA121" s="1349" t="s">
        <v>45</v>
      </c>
      <c r="AB121" s="1303" t="s">
        <v>46</v>
      </c>
      <c r="AC121" s="1303" t="s">
        <v>47</v>
      </c>
      <c r="AD121" s="1350" t="s">
        <v>48</v>
      </c>
      <c r="AE121" s="1258"/>
    </row>
    <row r="122" spans="1:31" ht="24.75" customHeight="1">
      <c r="A122" s="1285" t="s">
        <v>363</v>
      </c>
      <c r="B122" s="1141" t="s">
        <v>364</v>
      </c>
      <c r="C122" s="1284">
        <v>46081</v>
      </c>
      <c r="D122" s="647" t="s">
        <v>365</v>
      </c>
      <c r="E122" s="1284">
        <v>46029</v>
      </c>
      <c r="F122" s="1285" t="s">
        <v>366</v>
      </c>
      <c r="G122" s="1285"/>
      <c r="H122" s="1308">
        <v>53</v>
      </c>
      <c r="I122" s="658" t="s">
        <v>55</v>
      </c>
      <c r="J122" s="1290" t="s">
        <v>63</v>
      </c>
      <c r="K122" s="1309"/>
      <c r="L122" s="1284"/>
      <c r="M122" s="1290" t="s">
        <v>57</v>
      </c>
      <c r="N122" s="1376">
        <v>51528.05</v>
      </c>
      <c r="O122" s="1290" t="s">
        <v>57</v>
      </c>
      <c r="P122" s="1263" t="s">
        <v>58</v>
      </c>
      <c r="Q122" s="1246">
        <v>45659</v>
      </c>
      <c r="R122" s="1292"/>
      <c r="S122" s="1292"/>
      <c r="T122" s="1292"/>
      <c r="U122" s="1292"/>
      <c r="V122" s="1312">
        <v>4005</v>
      </c>
      <c r="W122" s="1257"/>
      <c r="X122" s="1312">
        <v>4005</v>
      </c>
      <c r="Y122" s="1142">
        <f t="shared" ref="Y122:Y133" si="14">IFERROR($W122/$V122, 0)</f>
        <v>0</v>
      </c>
      <c r="Z122" s="1192"/>
      <c r="AA122" s="1277">
        <v>0</v>
      </c>
      <c r="AB122" s="1277">
        <v>0</v>
      </c>
      <c r="AC122" s="1276">
        <v>0</v>
      </c>
      <c r="AD122" s="1248" t="s">
        <v>367</v>
      </c>
      <c r="AE122" s="1258"/>
    </row>
    <row r="123" spans="1:31" ht="24.75" customHeight="1">
      <c r="A123" s="1285" t="s">
        <v>368</v>
      </c>
      <c r="B123" s="1141" t="s">
        <v>364</v>
      </c>
      <c r="C123" s="1284">
        <v>46081</v>
      </c>
      <c r="D123" s="647"/>
      <c r="E123" s="1284"/>
      <c r="F123" s="1285"/>
      <c r="G123" s="1285"/>
      <c r="H123" s="1308">
        <v>55</v>
      </c>
      <c r="I123" s="658" t="s">
        <v>55</v>
      </c>
      <c r="J123" s="1290" t="s">
        <v>63</v>
      </c>
      <c r="K123" s="1309"/>
      <c r="L123" s="1284"/>
      <c r="M123" s="1290" t="s">
        <v>57</v>
      </c>
      <c r="N123" s="1376">
        <v>55435.9</v>
      </c>
      <c r="O123" s="1290" t="s">
        <v>57</v>
      </c>
      <c r="P123" s="1263" t="s">
        <v>58</v>
      </c>
      <c r="Q123" s="1246"/>
      <c r="R123" s="1292"/>
      <c r="S123" s="1292"/>
      <c r="T123" s="1292"/>
      <c r="U123" s="1292"/>
      <c r="V123" s="1312">
        <v>4571</v>
      </c>
      <c r="W123" s="1351"/>
      <c r="X123" s="1312">
        <v>4571</v>
      </c>
      <c r="Y123" s="871">
        <f t="shared" si="14"/>
        <v>0</v>
      </c>
      <c r="Z123" s="1246"/>
      <c r="AA123" s="1277">
        <v>0</v>
      </c>
      <c r="AB123" s="1277">
        <v>0</v>
      </c>
      <c r="AC123" s="1276">
        <v>0</v>
      </c>
      <c r="AD123" s="1248" t="s">
        <v>369</v>
      </c>
      <c r="AE123" s="1258"/>
    </row>
    <row r="124" spans="1:31" ht="24.75" customHeight="1">
      <c r="A124" s="1285" t="s">
        <v>370</v>
      </c>
      <c r="B124" s="1141" t="s">
        <v>364</v>
      </c>
      <c r="C124" s="1284">
        <v>46081</v>
      </c>
      <c r="D124" s="647"/>
      <c r="E124" s="1284"/>
      <c r="F124" s="1285"/>
      <c r="G124" s="1285"/>
      <c r="H124" s="1286">
        <v>71</v>
      </c>
      <c r="I124" s="658" t="s">
        <v>55</v>
      </c>
      <c r="J124" s="1290" t="s">
        <v>63</v>
      </c>
      <c r="K124" s="1309"/>
      <c r="L124" s="1284"/>
      <c r="M124" s="1290" t="s">
        <v>57</v>
      </c>
      <c r="N124" s="1373">
        <v>74320.899999999994</v>
      </c>
      <c r="O124" s="1290" t="s">
        <v>57</v>
      </c>
      <c r="P124" s="1263" t="s">
        <v>58</v>
      </c>
      <c r="Q124" s="1316"/>
      <c r="R124" s="1292"/>
      <c r="S124" s="1292"/>
      <c r="T124" s="1292"/>
      <c r="U124" s="1292"/>
      <c r="V124" s="1257">
        <v>5990</v>
      </c>
      <c r="W124" s="1351"/>
      <c r="X124" s="1257">
        <v>5990</v>
      </c>
      <c r="Y124" s="871">
        <f t="shared" si="14"/>
        <v>0</v>
      </c>
      <c r="Z124" s="1246"/>
      <c r="AA124" s="1277">
        <v>0</v>
      </c>
      <c r="AB124" s="1277">
        <v>0</v>
      </c>
      <c r="AC124" s="1276">
        <v>0</v>
      </c>
      <c r="AD124" s="1248" t="s">
        <v>369</v>
      </c>
      <c r="AE124" s="1258"/>
    </row>
    <row r="125" spans="1:31" ht="24.75" customHeight="1">
      <c r="A125" s="1285" t="s">
        <v>371</v>
      </c>
      <c r="B125" s="1141" t="s">
        <v>364</v>
      </c>
      <c r="C125" s="1284">
        <v>46081</v>
      </c>
      <c r="D125" s="647"/>
      <c r="E125" s="1284"/>
      <c r="F125" s="1285"/>
      <c r="G125" s="1285"/>
      <c r="H125" s="1286">
        <v>88</v>
      </c>
      <c r="I125" s="658" t="s">
        <v>55</v>
      </c>
      <c r="J125" s="1290" t="s">
        <v>63</v>
      </c>
      <c r="K125" s="1309"/>
      <c r="L125" s="1284"/>
      <c r="M125" s="1290" t="s">
        <v>57</v>
      </c>
      <c r="N125" s="1373">
        <v>88069</v>
      </c>
      <c r="O125" s="1290" t="s">
        <v>57</v>
      </c>
      <c r="P125" s="1263" t="s">
        <v>58</v>
      </c>
      <c r="Q125" s="1316"/>
      <c r="R125" s="1292"/>
      <c r="S125" s="1292"/>
      <c r="T125" s="1292"/>
      <c r="U125" s="1292"/>
      <c r="V125" s="1257">
        <v>7242</v>
      </c>
      <c r="W125" s="1351"/>
      <c r="X125" s="1257">
        <v>7242</v>
      </c>
      <c r="Y125" s="871">
        <f t="shared" si="14"/>
        <v>0</v>
      </c>
      <c r="Z125" s="1246"/>
      <c r="AA125" s="1277">
        <v>0</v>
      </c>
      <c r="AB125" s="1277">
        <v>0</v>
      </c>
      <c r="AC125" s="1276">
        <v>0</v>
      </c>
      <c r="AD125" s="1248" t="s">
        <v>369</v>
      </c>
      <c r="AE125" s="1258"/>
    </row>
    <row r="126" spans="1:31" ht="24.75" customHeight="1">
      <c r="A126" s="1285" t="s">
        <v>372</v>
      </c>
      <c r="B126" s="1141" t="s">
        <v>364</v>
      </c>
      <c r="C126" s="1284">
        <v>46081</v>
      </c>
      <c r="D126" s="647" t="s">
        <v>365</v>
      </c>
      <c r="E126" s="1284">
        <v>46029</v>
      </c>
      <c r="F126" s="1285" t="s">
        <v>366</v>
      </c>
      <c r="G126" s="1285"/>
      <c r="H126" s="1286">
        <v>73</v>
      </c>
      <c r="I126" s="658" t="s">
        <v>55</v>
      </c>
      <c r="J126" s="1290" t="s">
        <v>63</v>
      </c>
      <c r="K126" s="1287"/>
      <c r="L126" s="1288"/>
      <c r="M126" s="1290" t="s">
        <v>92</v>
      </c>
      <c r="N126" s="1373"/>
      <c r="O126" s="1290" t="s">
        <v>57</v>
      </c>
      <c r="P126" s="1263" t="s">
        <v>58</v>
      </c>
      <c r="Q126" s="1246">
        <v>45659</v>
      </c>
      <c r="R126" s="1292"/>
      <c r="S126" s="1292"/>
      <c r="T126" s="1292"/>
      <c r="U126" s="1292"/>
      <c r="V126" s="1257">
        <v>7660</v>
      </c>
      <c r="W126" s="1351"/>
      <c r="X126" s="1257">
        <v>7660</v>
      </c>
      <c r="Y126" s="871">
        <f t="shared" si="14"/>
        <v>0</v>
      </c>
      <c r="Z126" s="1192"/>
      <c r="AA126" s="1277">
        <v>0</v>
      </c>
      <c r="AB126" s="1277">
        <v>0</v>
      </c>
      <c r="AC126" s="1276">
        <v>0</v>
      </c>
      <c r="AD126" s="1248" t="s">
        <v>367</v>
      </c>
      <c r="AE126" s="1258"/>
    </row>
    <row r="127" spans="1:31" ht="24.75" customHeight="1">
      <c r="A127" s="1285" t="s">
        <v>373</v>
      </c>
      <c r="B127" s="1141" t="s">
        <v>364</v>
      </c>
      <c r="C127" s="1284">
        <v>46081</v>
      </c>
      <c r="D127" s="647"/>
      <c r="E127" s="1284"/>
      <c r="F127" s="1285"/>
      <c r="G127" s="1285"/>
      <c r="H127" s="1286">
        <v>87</v>
      </c>
      <c r="I127" s="658" t="s">
        <v>55</v>
      </c>
      <c r="J127" s="1290" t="s">
        <v>63</v>
      </c>
      <c r="K127" s="1287"/>
      <c r="L127" s="1288"/>
      <c r="M127" s="1290" t="s">
        <v>57</v>
      </c>
      <c r="N127" s="1377">
        <v>105458.4</v>
      </c>
      <c r="O127" s="1290" t="s">
        <v>57</v>
      </c>
      <c r="P127" s="1263" t="s">
        <v>58</v>
      </c>
      <c r="Q127" s="1316"/>
      <c r="R127" s="1292"/>
      <c r="S127" s="1292"/>
      <c r="T127" s="1292"/>
      <c r="U127" s="1292"/>
      <c r="V127" s="1257">
        <v>8596</v>
      </c>
      <c r="W127" s="1351"/>
      <c r="X127" s="1257">
        <v>8596</v>
      </c>
      <c r="Y127" s="871">
        <f t="shared" si="14"/>
        <v>0</v>
      </c>
      <c r="Z127" s="1246"/>
      <c r="AA127" s="1277">
        <v>0</v>
      </c>
      <c r="AB127" s="1277">
        <v>0</v>
      </c>
      <c r="AC127" s="1276">
        <v>0</v>
      </c>
      <c r="AD127" s="1248" t="s">
        <v>374</v>
      </c>
      <c r="AE127" s="1258"/>
    </row>
    <row r="128" spans="1:31" ht="24.75" customHeight="1">
      <c r="A128" s="1285" t="s">
        <v>375</v>
      </c>
      <c r="B128" s="1141" t="s">
        <v>364</v>
      </c>
      <c r="C128" s="1284">
        <v>46081</v>
      </c>
      <c r="D128" s="647"/>
      <c r="E128" s="1284"/>
      <c r="F128" s="1285"/>
      <c r="G128" s="1285"/>
      <c r="H128" s="1286">
        <v>70</v>
      </c>
      <c r="I128" s="658" t="s">
        <v>55</v>
      </c>
      <c r="J128" s="1290" t="s">
        <v>63</v>
      </c>
      <c r="K128" s="1287"/>
      <c r="L128" s="1288"/>
      <c r="M128" s="1290" t="s">
        <v>57</v>
      </c>
      <c r="N128" s="1377">
        <v>70105.25</v>
      </c>
      <c r="O128" s="1290" t="s">
        <v>57</v>
      </c>
      <c r="P128" s="1263" t="s">
        <v>58</v>
      </c>
      <c r="Q128" s="1316"/>
      <c r="R128" s="1292"/>
      <c r="S128" s="1292"/>
      <c r="T128" s="1292"/>
      <c r="U128" s="1292"/>
      <c r="V128" s="1257">
        <v>5648</v>
      </c>
      <c r="W128" s="1351"/>
      <c r="X128" s="1257">
        <v>5648</v>
      </c>
      <c r="Y128" s="871">
        <f t="shared" si="14"/>
        <v>0</v>
      </c>
      <c r="Z128" s="1192"/>
      <c r="AA128" s="1277">
        <v>0</v>
      </c>
      <c r="AB128" s="1277">
        <v>0</v>
      </c>
      <c r="AC128" s="1276">
        <v>0</v>
      </c>
      <c r="AD128" s="1248" t="s">
        <v>376</v>
      </c>
      <c r="AE128" s="1258"/>
    </row>
    <row r="129" spans="1:31" ht="24.75" customHeight="1">
      <c r="A129" s="1285" t="s">
        <v>377</v>
      </c>
      <c r="B129" s="1141" t="s">
        <v>364</v>
      </c>
      <c r="C129" s="1284">
        <v>46081</v>
      </c>
      <c r="D129" s="647"/>
      <c r="E129" s="1284"/>
      <c r="F129" s="1285"/>
      <c r="G129" s="1285"/>
      <c r="H129" s="1286">
        <v>77</v>
      </c>
      <c r="I129" s="658" t="s">
        <v>55</v>
      </c>
      <c r="J129" s="1290" t="s">
        <v>63</v>
      </c>
      <c r="K129" s="1287"/>
      <c r="L129" s="1288"/>
      <c r="M129" s="1290" t="s">
        <v>57</v>
      </c>
      <c r="N129" s="1373">
        <v>78047.350000000006</v>
      </c>
      <c r="O129" s="1290" t="s">
        <v>57</v>
      </c>
      <c r="P129" s="1263" t="s">
        <v>58</v>
      </c>
      <c r="Q129" s="1316"/>
      <c r="R129" s="1292"/>
      <c r="S129" s="1292"/>
      <c r="T129" s="1292"/>
      <c r="U129" s="1292"/>
      <c r="V129" s="1257">
        <v>6238</v>
      </c>
      <c r="W129" s="1351"/>
      <c r="X129" s="1257">
        <v>6238</v>
      </c>
      <c r="Y129" s="871">
        <f t="shared" si="14"/>
        <v>0</v>
      </c>
      <c r="Z129" s="1192"/>
      <c r="AA129" s="1277">
        <v>0</v>
      </c>
      <c r="AB129" s="1277">
        <v>0</v>
      </c>
      <c r="AC129" s="1276">
        <v>0</v>
      </c>
      <c r="AD129" s="1248" t="s">
        <v>376</v>
      </c>
      <c r="AE129" s="1258"/>
    </row>
    <row r="130" spans="1:31" ht="24.75" customHeight="1">
      <c r="A130" s="1285" t="s">
        <v>378</v>
      </c>
      <c r="B130" s="1141" t="s">
        <v>364</v>
      </c>
      <c r="C130" s="1284">
        <v>46081</v>
      </c>
      <c r="D130" s="647"/>
      <c r="E130" s="1284"/>
      <c r="F130" s="1285"/>
      <c r="G130" s="1285"/>
      <c r="H130" s="1286">
        <v>52</v>
      </c>
      <c r="I130" s="658" t="s">
        <v>55</v>
      </c>
      <c r="J130" s="1290" t="s">
        <v>63</v>
      </c>
      <c r="K130" s="1287"/>
      <c r="L130" s="1288"/>
      <c r="M130" s="1290" t="s">
        <v>57</v>
      </c>
      <c r="N130" s="1373">
        <v>91411.65</v>
      </c>
      <c r="O130" s="1290" t="s">
        <v>57</v>
      </c>
      <c r="P130" s="1263" t="s">
        <v>58</v>
      </c>
      <c r="Q130" s="1316"/>
      <c r="R130" s="1292"/>
      <c r="S130" s="1292"/>
      <c r="T130" s="1292"/>
      <c r="U130" s="1292"/>
      <c r="V130" s="1257">
        <v>5926</v>
      </c>
      <c r="W130" s="1351"/>
      <c r="X130" s="1257">
        <v>5926</v>
      </c>
      <c r="Y130" s="871">
        <f t="shared" si="14"/>
        <v>0</v>
      </c>
      <c r="Z130" s="1246"/>
      <c r="AA130" s="1277">
        <v>0</v>
      </c>
      <c r="AB130" s="1277">
        <v>0</v>
      </c>
      <c r="AC130" s="1276">
        <v>0</v>
      </c>
      <c r="AD130" s="1248" t="s">
        <v>369</v>
      </c>
      <c r="AE130" s="1258"/>
    </row>
    <row r="131" spans="1:31" ht="24.75" customHeight="1">
      <c r="A131" s="1378" t="s">
        <v>379</v>
      </c>
      <c r="B131" s="1141" t="s">
        <v>364</v>
      </c>
      <c r="C131" s="1284">
        <v>46081</v>
      </c>
      <c r="D131" s="647"/>
      <c r="E131" s="1379"/>
      <c r="F131" s="1378"/>
      <c r="G131" s="1285"/>
      <c r="H131" s="1286">
        <v>81</v>
      </c>
      <c r="I131" s="658" t="s">
        <v>55</v>
      </c>
      <c r="J131" s="1290" t="s">
        <v>63</v>
      </c>
      <c r="K131" s="1380"/>
      <c r="L131" s="1379"/>
      <c r="M131" s="1290" t="s">
        <v>57</v>
      </c>
      <c r="N131" s="1373">
        <v>105892.05</v>
      </c>
      <c r="O131" s="1290" t="s">
        <v>57</v>
      </c>
      <c r="P131" s="1263" t="s">
        <v>58</v>
      </c>
      <c r="Q131" s="1507"/>
      <c r="R131" s="1357"/>
      <c r="S131" s="1357"/>
      <c r="T131" s="1357"/>
      <c r="U131" s="1357"/>
      <c r="V131" s="1257">
        <v>8641</v>
      </c>
      <c r="W131" s="1501"/>
      <c r="X131" s="1257">
        <v>8641</v>
      </c>
      <c r="Y131" s="871">
        <f t="shared" si="14"/>
        <v>0</v>
      </c>
      <c r="Z131" s="1358"/>
      <c r="AA131" s="1277">
        <v>0</v>
      </c>
      <c r="AB131" s="1277">
        <v>0</v>
      </c>
      <c r="AC131" s="1276">
        <v>0</v>
      </c>
      <c r="AD131" s="1248" t="s">
        <v>369</v>
      </c>
      <c r="AE131" s="1258"/>
    </row>
    <row r="132" spans="1:31" ht="24.75" customHeight="1">
      <c r="A132" s="1378" t="s">
        <v>380</v>
      </c>
      <c r="B132" s="1141" t="s">
        <v>364</v>
      </c>
      <c r="C132" s="1284">
        <v>46081</v>
      </c>
      <c r="D132" s="647"/>
      <c r="E132" s="1379"/>
      <c r="F132" s="1378"/>
      <c r="G132" s="1285"/>
      <c r="H132" s="1286">
        <v>79</v>
      </c>
      <c r="I132" s="658" t="s">
        <v>55</v>
      </c>
      <c r="J132" s="1290" t="s">
        <v>63</v>
      </c>
      <c r="K132" s="1380"/>
      <c r="L132" s="1379"/>
      <c r="M132" s="1290" t="s">
        <v>57</v>
      </c>
      <c r="N132" s="1373">
        <v>88420</v>
      </c>
      <c r="O132" s="1290" t="s">
        <v>57</v>
      </c>
      <c r="P132" s="1263" t="s">
        <v>58</v>
      </c>
      <c r="Q132" s="1508"/>
      <c r="R132" s="1359"/>
      <c r="S132" s="1359"/>
      <c r="T132" s="1359"/>
      <c r="U132" s="1359"/>
      <c r="V132" s="1361">
        <v>7502</v>
      </c>
      <c r="W132" s="1509"/>
      <c r="X132" s="1361">
        <v>7502</v>
      </c>
      <c r="Y132" s="879">
        <f t="shared" si="14"/>
        <v>0</v>
      </c>
      <c r="Z132" s="1360"/>
      <c r="AA132" s="1277">
        <v>0</v>
      </c>
      <c r="AB132" s="1277">
        <v>0</v>
      </c>
      <c r="AC132" s="1276">
        <v>0</v>
      </c>
      <c r="AD132" s="1248" t="s">
        <v>369</v>
      </c>
      <c r="AE132" s="1258"/>
    </row>
    <row r="133" spans="1:31" ht="24.75" customHeight="1">
      <c r="A133" s="1378" t="s">
        <v>381</v>
      </c>
      <c r="B133" s="1141" t="s">
        <v>364</v>
      </c>
      <c r="C133" s="1284">
        <v>46081</v>
      </c>
      <c r="D133" s="647" t="s">
        <v>365</v>
      </c>
      <c r="E133" s="1284">
        <v>46029</v>
      </c>
      <c r="F133" s="1378" t="s">
        <v>366</v>
      </c>
      <c r="G133" s="1285"/>
      <c r="H133" s="1286">
        <v>0</v>
      </c>
      <c r="I133" s="658" t="s">
        <v>55</v>
      </c>
      <c r="J133" s="1290" t="s">
        <v>63</v>
      </c>
      <c r="K133" s="1380"/>
      <c r="L133" s="1379"/>
      <c r="M133" s="1290" t="s">
        <v>92</v>
      </c>
      <c r="N133" s="1373"/>
      <c r="O133" s="1290" t="s">
        <v>57</v>
      </c>
      <c r="P133" s="1263" t="s">
        <v>58</v>
      </c>
      <c r="Q133" s="1246">
        <v>45659</v>
      </c>
      <c r="R133" s="1359"/>
      <c r="S133" s="1359"/>
      <c r="T133" s="1359"/>
      <c r="U133" s="1359"/>
      <c r="V133" s="1361">
        <v>3682</v>
      </c>
      <c r="W133" s="1509"/>
      <c r="X133" s="1361">
        <v>3682</v>
      </c>
      <c r="Y133" s="879">
        <f t="shared" si="14"/>
        <v>0</v>
      </c>
      <c r="Z133" s="1360"/>
      <c r="AA133" s="1277">
        <v>0</v>
      </c>
      <c r="AB133" s="1277">
        <v>0</v>
      </c>
      <c r="AC133" s="1276">
        <v>0</v>
      </c>
      <c r="AD133" s="1248" t="s">
        <v>382</v>
      </c>
      <c r="AE133" s="1258"/>
    </row>
    <row r="134" spans="1:31" ht="24.75" customHeight="1">
      <c r="A134" s="1285"/>
      <c r="B134" s="1287"/>
      <c r="C134" s="1287"/>
      <c r="D134" s="1287"/>
      <c r="E134" s="1287"/>
      <c r="F134" s="1285"/>
      <c r="G134" s="1285"/>
      <c r="H134" s="1287"/>
      <c r="I134" s="1287"/>
      <c r="J134" s="1287"/>
      <c r="K134" s="1287"/>
      <c r="L134" s="1285"/>
      <c r="M134" s="1287"/>
      <c r="N134" s="1374"/>
      <c r="O134" s="1287"/>
      <c r="P134" s="1258"/>
      <c r="AE134" s="1258"/>
    </row>
    <row r="135" spans="1:31" ht="24.75" customHeight="1">
      <c r="A135" s="1285"/>
      <c r="B135" s="1287"/>
      <c r="C135" s="1287"/>
      <c r="D135" s="1287"/>
      <c r="E135" s="1287"/>
      <c r="F135" s="1285"/>
      <c r="G135" s="1285"/>
      <c r="H135" s="1287"/>
      <c r="I135" s="1287"/>
      <c r="J135" s="1287"/>
      <c r="K135" s="1287"/>
      <c r="L135" s="1285"/>
      <c r="M135" s="1287"/>
      <c r="N135" s="1374"/>
      <c r="O135" s="1287"/>
      <c r="P135" s="1258"/>
      <c r="AE135" s="1258"/>
    </row>
    <row r="136" spans="1:31" ht="24.75" customHeight="1">
      <c r="A136" s="1285"/>
      <c r="B136" s="1287"/>
      <c r="C136" s="1287"/>
      <c r="D136" s="1287"/>
      <c r="E136" s="1287"/>
      <c r="F136" s="1285"/>
      <c r="G136" s="1285"/>
      <c r="H136" s="1287"/>
      <c r="I136" s="1287"/>
      <c r="J136" s="1287"/>
      <c r="K136" s="1287"/>
      <c r="L136" s="1285"/>
      <c r="M136" s="1287"/>
      <c r="N136" s="1374"/>
      <c r="O136" s="1287"/>
      <c r="P136" s="1258"/>
      <c r="AE136" s="1258"/>
    </row>
    <row r="137" spans="1:31" ht="24.75" customHeight="1">
      <c r="A137" s="1285"/>
      <c r="B137" s="1287"/>
      <c r="C137" s="1287"/>
      <c r="D137" s="1287"/>
      <c r="E137" s="1287"/>
      <c r="F137" s="1285"/>
      <c r="G137" s="1285"/>
      <c r="H137" s="1287"/>
      <c r="I137" s="1287"/>
      <c r="J137" s="1287"/>
      <c r="K137" s="1287"/>
      <c r="L137" s="1285"/>
      <c r="M137" s="1287"/>
      <c r="N137" s="1374"/>
      <c r="O137" s="1287"/>
      <c r="P137" s="1258"/>
      <c r="AE137" s="1258"/>
    </row>
    <row r="138" spans="1:31" ht="24.75" customHeight="1">
      <c r="A138" s="1285"/>
      <c r="B138" s="1287"/>
      <c r="C138" s="1287"/>
      <c r="D138" s="1287"/>
      <c r="E138" s="1287"/>
      <c r="F138" s="1285"/>
      <c r="G138" s="1285"/>
      <c r="H138" s="1287"/>
      <c r="I138" s="1287"/>
      <c r="J138" s="1287"/>
      <c r="K138" s="1287"/>
      <c r="L138" s="1285"/>
      <c r="M138" s="1287"/>
      <c r="N138" s="1374"/>
      <c r="O138" s="1287"/>
      <c r="P138" s="1258"/>
      <c r="AE138" s="1258"/>
    </row>
    <row r="139" spans="1:31" ht="24.75" customHeight="1">
      <c r="A139" s="1285"/>
      <c r="B139" s="1287"/>
      <c r="C139" s="1287"/>
      <c r="D139" s="1287"/>
      <c r="E139" s="1287"/>
      <c r="F139" s="1285"/>
      <c r="G139" s="1285"/>
      <c r="H139" s="1287"/>
      <c r="I139" s="1287"/>
      <c r="J139" s="1287"/>
      <c r="K139" s="1287"/>
      <c r="L139" s="1285"/>
      <c r="M139" s="1287"/>
      <c r="N139" s="1374"/>
      <c r="O139" s="1287"/>
      <c r="P139" s="1258"/>
      <c r="AE139" s="1258"/>
    </row>
    <row r="140" spans="1:31" ht="24.75" customHeight="1">
      <c r="A140" s="1285"/>
      <c r="B140" s="1287"/>
      <c r="C140" s="1287"/>
      <c r="D140" s="1287"/>
      <c r="E140" s="1287"/>
      <c r="F140" s="1285"/>
      <c r="G140" s="1285"/>
      <c r="H140" s="1287"/>
      <c r="I140" s="1287"/>
      <c r="J140" s="1287"/>
      <c r="K140" s="1287"/>
      <c r="L140" s="1285"/>
      <c r="M140" s="1287"/>
      <c r="N140" s="1374"/>
      <c r="O140" s="1287"/>
      <c r="P140" s="1383"/>
      <c r="Q140" s="1260"/>
      <c r="R140" s="1260"/>
      <c r="S140" s="1260"/>
      <c r="T140" s="1260"/>
      <c r="U140" s="1260"/>
      <c r="V140" s="1346"/>
      <c r="W140" s="1260"/>
      <c r="X140" s="1260"/>
      <c r="Y140" s="1260"/>
      <c r="Z140" s="1260"/>
      <c r="AA140" s="1260"/>
      <c r="AB140" s="1260"/>
      <c r="AC140" s="1260"/>
      <c r="AD140" s="1348"/>
    </row>
    <row r="141" spans="1:31" ht="24.75" customHeight="1">
      <c r="A141" s="1285"/>
      <c r="B141" s="1287"/>
      <c r="C141" s="1287"/>
      <c r="D141" s="1287"/>
      <c r="E141" s="1287"/>
      <c r="F141" s="1285"/>
      <c r="G141" s="1285"/>
      <c r="H141" s="1287"/>
      <c r="I141" s="1287"/>
      <c r="J141" s="1287"/>
      <c r="K141" s="1287"/>
      <c r="L141" s="1285"/>
      <c r="M141" s="1287"/>
      <c r="N141" s="1374"/>
      <c r="O141" s="1287"/>
      <c r="P141" s="1258"/>
    </row>
    <row r="142" spans="1:31" ht="24.75" customHeight="1">
      <c r="A142" s="1285"/>
      <c r="B142" s="1287"/>
      <c r="C142" s="1287"/>
      <c r="D142" s="1287"/>
      <c r="E142" s="1287"/>
      <c r="F142" s="1285"/>
      <c r="G142" s="1285"/>
      <c r="H142" s="1287"/>
      <c r="I142" s="1287"/>
      <c r="J142" s="1287"/>
      <c r="K142" s="1287"/>
      <c r="L142" s="1285"/>
      <c r="M142" s="1287"/>
      <c r="N142" s="1374"/>
      <c r="O142" s="1287"/>
      <c r="P142" s="1258"/>
    </row>
    <row r="143" spans="1:31" ht="24.75" customHeight="1">
      <c r="A143" s="1285"/>
      <c r="B143" s="1287"/>
      <c r="C143" s="1287"/>
      <c r="D143" s="1287"/>
      <c r="E143" s="1287"/>
      <c r="F143" s="1285"/>
      <c r="G143" s="1285"/>
      <c r="H143" s="1287"/>
      <c r="I143" s="1287"/>
      <c r="J143" s="1287"/>
      <c r="K143" s="1287"/>
      <c r="L143" s="1285"/>
      <c r="M143" s="1287"/>
      <c r="N143" s="1374"/>
      <c r="O143" s="1287"/>
      <c r="P143" s="1258"/>
    </row>
    <row r="144" spans="1:31" ht="24.75" customHeight="1">
      <c r="A144" s="1285"/>
      <c r="B144" s="1287"/>
      <c r="C144" s="1287"/>
      <c r="D144" s="1287"/>
      <c r="E144" s="1287"/>
      <c r="F144" s="1285"/>
      <c r="G144" s="1285"/>
      <c r="H144" s="1287"/>
      <c r="I144" s="1287"/>
      <c r="J144" s="1287"/>
      <c r="K144" s="1287"/>
      <c r="L144" s="1285"/>
      <c r="M144" s="1287"/>
      <c r="N144" s="1374"/>
      <c r="O144" s="1287"/>
      <c r="P144" s="1258"/>
    </row>
    <row r="145" spans="1:16" ht="24.75" customHeight="1">
      <c r="A145" s="1285"/>
      <c r="B145" s="1287"/>
      <c r="C145" s="1287"/>
      <c r="D145" s="1287"/>
      <c r="E145" s="1287"/>
      <c r="F145" s="1285"/>
      <c r="G145" s="1285"/>
      <c r="H145" s="1287"/>
      <c r="I145" s="1287"/>
      <c r="J145" s="1287"/>
      <c r="K145" s="1287"/>
      <c r="L145" s="1285"/>
      <c r="M145" s="1287"/>
      <c r="N145" s="1374"/>
      <c r="O145" s="1287"/>
      <c r="P145" s="1258"/>
    </row>
    <row r="146" spans="1:16" ht="24.75" customHeight="1">
      <c r="A146" s="1285"/>
      <c r="B146" s="1287"/>
      <c r="C146" s="1287"/>
      <c r="D146" s="1287"/>
      <c r="E146" s="1287"/>
      <c r="F146" s="1285"/>
      <c r="G146" s="1285"/>
      <c r="H146" s="1287"/>
      <c r="I146" s="1287"/>
      <c r="J146" s="1287"/>
      <c r="K146" s="1287"/>
      <c r="L146" s="1285"/>
      <c r="M146" s="1287"/>
      <c r="N146" s="1374"/>
      <c r="O146" s="1287"/>
      <c r="P146" s="1258"/>
    </row>
    <row r="147" spans="1:16" ht="24.75" customHeight="1">
      <c r="A147" s="1285"/>
      <c r="B147" s="1287"/>
      <c r="C147" s="1287"/>
      <c r="D147" s="1287"/>
      <c r="E147" s="1287"/>
      <c r="F147" s="1285"/>
      <c r="G147" s="1285"/>
      <c r="H147" s="1287"/>
      <c r="I147" s="1287"/>
      <c r="J147" s="1287"/>
      <c r="K147" s="1287"/>
      <c r="L147" s="1285"/>
      <c r="M147" s="1287"/>
      <c r="N147" s="1374"/>
      <c r="O147" s="1287"/>
      <c r="P147" s="1258"/>
    </row>
    <row r="148" spans="1:16" ht="24.75" customHeight="1">
      <c r="A148" s="1285"/>
      <c r="B148" s="1287"/>
      <c r="C148" s="1287"/>
      <c r="D148" s="1287"/>
      <c r="E148" s="1287"/>
      <c r="F148" s="1285"/>
      <c r="G148" s="1285"/>
      <c r="H148" s="1287"/>
      <c r="I148" s="1287"/>
      <c r="J148" s="1287"/>
      <c r="K148" s="1287"/>
      <c r="L148" s="1285"/>
      <c r="M148" s="1287"/>
      <c r="N148" s="1374"/>
      <c r="O148" s="1287"/>
      <c r="P148" s="1258"/>
    </row>
    <row r="149" spans="1:16" ht="24.75" customHeight="1">
      <c r="A149" s="1285"/>
      <c r="B149" s="1287"/>
      <c r="C149" s="1287"/>
      <c r="D149" s="1287"/>
      <c r="E149" s="1287"/>
      <c r="F149" s="1285"/>
      <c r="G149" s="1285"/>
      <c r="H149" s="1287"/>
      <c r="I149" s="1287"/>
      <c r="J149" s="1287"/>
      <c r="K149" s="1287"/>
      <c r="L149" s="1285"/>
      <c r="M149" s="1287"/>
      <c r="N149" s="1374"/>
      <c r="O149" s="1287"/>
      <c r="P149" s="1258"/>
    </row>
    <row r="150" spans="1:16" ht="24.75" customHeight="1">
      <c r="A150" s="1285"/>
      <c r="B150" s="1287"/>
      <c r="C150" s="1287"/>
      <c r="D150" s="1287"/>
      <c r="E150" s="1287"/>
      <c r="F150" s="1285"/>
      <c r="G150" s="1285"/>
      <c r="H150" s="1287"/>
      <c r="I150" s="1287"/>
      <c r="J150" s="1287"/>
      <c r="K150" s="1287"/>
      <c r="L150" s="1285"/>
      <c r="M150" s="1287"/>
      <c r="N150" s="1374"/>
      <c r="O150" s="1287"/>
      <c r="P150" s="1258"/>
    </row>
    <row r="151" spans="1:16" ht="24.75" customHeight="1">
      <c r="A151" s="1285"/>
      <c r="B151" s="1287"/>
      <c r="C151" s="1287"/>
      <c r="D151" s="1287"/>
      <c r="E151" s="1287"/>
      <c r="F151" s="1285"/>
      <c r="G151" s="1285"/>
      <c r="H151" s="1287"/>
      <c r="I151" s="1287"/>
      <c r="J151" s="1287"/>
      <c r="K151" s="1287"/>
      <c r="L151" s="1285"/>
      <c r="M151" s="1287"/>
      <c r="N151" s="1374"/>
      <c r="O151" s="1287"/>
      <c r="P151" s="1258"/>
    </row>
    <row r="152" spans="1:16" ht="24.75" customHeight="1">
      <c r="A152" s="1285"/>
      <c r="B152" s="1287"/>
      <c r="C152" s="1287"/>
      <c r="D152" s="1287"/>
      <c r="E152" s="1287"/>
      <c r="F152" s="1285"/>
      <c r="G152" s="1285"/>
      <c r="H152" s="1287"/>
      <c r="I152" s="1287"/>
      <c r="J152" s="1287"/>
      <c r="K152" s="1287"/>
      <c r="L152" s="1285"/>
      <c r="M152" s="1287"/>
      <c r="N152" s="1374"/>
      <c r="O152" s="1287"/>
      <c r="P152" s="1258"/>
    </row>
    <row r="153" spans="1:16" ht="24.75" customHeight="1">
      <c r="A153" s="1285"/>
      <c r="B153" s="1287"/>
      <c r="C153" s="1287"/>
      <c r="D153" s="1287"/>
      <c r="E153" s="1287"/>
      <c r="F153" s="1285"/>
      <c r="G153" s="1285"/>
      <c r="H153" s="1287"/>
      <c r="I153" s="1287"/>
      <c r="J153" s="1287"/>
      <c r="K153" s="1287"/>
      <c r="L153" s="1285"/>
      <c r="M153" s="1287"/>
      <c r="N153" s="1374"/>
      <c r="O153" s="1287"/>
      <c r="P153" s="1258"/>
    </row>
    <row r="154" spans="1:16" ht="24.75" customHeight="1">
      <c r="A154" s="1285"/>
      <c r="B154" s="1287"/>
      <c r="C154" s="1287"/>
      <c r="D154" s="1287"/>
      <c r="E154" s="1287"/>
      <c r="F154" s="1285"/>
      <c r="G154" s="1285"/>
      <c r="H154" s="1287"/>
      <c r="I154" s="1287"/>
      <c r="J154" s="1287"/>
      <c r="K154" s="1287"/>
      <c r="L154" s="1285"/>
      <c r="M154" s="1287"/>
      <c r="N154" s="1374"/>
      <c r="O154" s="1287"/>
      <c r="P154" s="1258"/>
    </row>
    <row r="155" spans="1:16" ht="24.75" customHeight="1">
      <c r="A155" s="1285"/>
      <c r="B155" s="1287"/>
      <c r="C155" s="1287"/>
      <c r="D155" s="1287"/>
      <c r="E155" s="1287"/>
      <c r="F155" s="1285"/>
      <c r="G155" s="1285"/>
      <c r="H155" s="1287"/>
      <c r="I155" s="1287"/>
      <c r="J155" s="1287"/>
      <c r="K155" s="1287"/>
      <c r="L155" s="1285"/>
      <c r="M155" s="1287"/>
      <c r="N155" s="1374"/>
      <c r="O155" s="1287"/>
      <c r="P155" s="1258"/>
    </row>
    <row r="156" spans="1:16" ht="24.75" customHeight="1">
      <c r="A156" s="1285"/>
      <c r="B156" s="1287"/>
      <c r="C156" s="1287"/>
      <c r="D156" s="1287"/>
      <c r="E156" s="1287"/>
      <c r="F156" s="1285"/>
      <c r="G156" s="1285"/>
      <c r="H156" s="1287"/>
      <c r="I156" s="1287"/>
      <c r="J156" s="1287"/>
      <c r="K156" s="1287"/>
      <c r="L156" s="1285"/>
      <c r="M156" s="1287"/>
      <c r="N156" s="1374"/>
      <c r="O156" s="1287"/>
      <c r="P156" s="1258"/>
    </row>
    <row r="157" spans="1:16" ht="24.75" customHeight="1">
      <c r="A157" s="1285"/>
      <c r="B157" s="1287"/>
      <c r="C157" s="1287"/>
      <c r="D157" s="1287"/>
      <c r="E157" s="1287"/>
      <c r="F157" s="1285"/>
      <c r="G157" s="1285"/>
      <c r="H157" s="1287"/>
      <c r="I157" s="1287"/>
      <c r="J157" s="1287"/>
      <c r="K157" s="1287"/>
      <c r="L157" s="1285"/>
      <c r="M157" s="1287"/>
      <c r="N157" s="1374"/>
      <c r="O157" s="1287"/>
      <c r="P157" s="1258"/>
    </row>
    <row r="158" spans="1:16" ht="24.75" customHeight="1">
      <c r="A158" s="1285"/>
      <c r="B158" s="1287"/>
      <c r="C158" s="1287"/>
      <c r="D158" s="1287"/>
      <c r="E158" s="1287"/>
      <c r="F158" s="1285"/>
      <c r="G158" s="1285"/>
      <c r="H158" s="1287"/>
      <c r="I158" s="1287"/>
      <c r="J158" s="1287"/>
      <c r="K158" s="1287"/>
      <c r="L158" s="1285"/>
      <c r="M158" s="1287"/>
      <c r="N158" s="1374"/>
      <c r="O158" s="1287"/>
      <c r="P158" s="1258"/>
    </row>
    <row r="159" spans="1:16" ht="24.75" customHeight="1">
      <c r="A159" s="1285"/>
      <c r="B159" s="1287"/>
      <c r="C159" s="1287"/>
      <c r="D159" s="1287"/>
      <c r="E159" s="1287"/>
      <c r="F159" s="1285"/>
      <c r="G159" s="1285"/>
      <c r="H159" s="1287"/>
      <c r="I159" s="1287"/>
      <c r="J159" s="1287"/>
      <c r="K159" s="1287"/>
      <c r="L159" s="1285"/>
      <c r="M159" s="1287"/>
      <c r="N159" s="1374"/>
      <c r="O159" s="1287"/>
      <c r="P159" s="1258"/>
    </row>
    <row r="160" spans="1:16" ht="24.75" customHeight="1">
      <c r="A160" s="1285"/>
      <c r="B160" s="1287"/>
      <c r="C160" s="1287"/>
      <c r="D160" s="1287"/>
      <c r="E160" s="1287"/>
      <c r="F160" s="1285"/>
      <c r="G160" s="1285"/>
      <c r="H160" s="1287"/>
      <c r="I160" s="1287"/>
      <c r="J160" s="1287"/>
      <c r="K160" s="1287"/>
      <c r="L160" s="1285"/>
      <c r="M160" s="1287"/>
      <c r="N160" s="1374"/>
      <c r="O160" s="1287"/>
      <c r="P160" s="1258"/>
    </row>
    <row r="161" spans="1:16" ht="24.75" customHeight="1">
      <c r="A161" s="1285"/>
      <c r="B161" s="1287"/>
      <c r="C161" s="1287"/>
      <c r="D161" s="1287"/>
      <c r="E161" s="1287"/>
      <c r="F161" s="1285"/>
      <c r="G161" s="1285"/>
      <c r="H161" s="1287"/>
      <c r="I161" s="1287"/>
      <c r="J161" s="1287"/>
      <c r="K161" s="1287"/>
      <c r="L161" s="1285"/>
      <c r="M161" s="1287"/>
      <c r="N161" s="1374"/>
      <c r="O161" s="1287"/>
      <c r="P161" s="1258"/>
    </row>
    <row r="162" spans="1:16" ht="24.75" customHeight="1">
      <c r="A162" s="1285"/>
      <c r="B162" s="1287"/>
      <c r="C162" s="1287"/>
      <c r="D162" s="1287"/>
      <c r="E162" s="1287"/>
      <c r="F162" s="1285"/>
      <c r="G162" s="1285"/>
      <c r="H162" s="1287"/>
      <c r="I162" s="1287"/>
      <c r="J162" s="1287"/>
      <c r="K162" s="1287"/>
      <c r="L162" s="1285"/>
      <c r="M162" s="1287"/>
      <c r="N162" s="1374"/>
      <c r="O162" s="1287"/>
      <c r="P162" s="1258"/>
    </row>
    <row r="163" spans="1:16" ht="24.75" customHeight="1">
      <c r="A163" s="1285"/>
      <c r="B163" s="1287"/>
      <c r="C163" s="1287"/>
      <c r="D163" s="1287"/>
      <c r="E163" s="1287"/>
      <c r="F163" s="1285"/>
      <c r="G163" s="1285"/>
      <c r="H163" s="1287"/>
      <c r="I163" s="1287"/>
      <c r="J163" s="1287"/>
      <c r="K163" s="1287"/>
      <c r="L163" s="1285"/>
      <c r="M163" s="1287"/>
      <c r="N163" s="1374"/>
      <c r="O163" s="1287"/>
      <c r="P163" s="1258"/>
    </row>
    <row r="164" spans="1:16" ht="24.75" customHeight="1">
      <c r="A164" s="1285"/>
      <c r="B164" s="1287"/>
      <c r="C164" s="1287"/>
      <c r="D164" s="1287"/>
      <c r="E164" s="1287"/>
      <c r="F164" s="1285"/>
      <c r="G164" s="1285"/>
      <c r="H164" s="1287"/>
      <c r="I164" s="1287"/>
      <c r="J164" s="1287"/>
      <c r="K164" s="1287"/>
      <c r="L164" s="1285"/>
      <c r="M164" s="1287"/>
      <c r="N164" s="1374"/>
      <c r="O164" s="1287"/>
      <c r="P164" s="1258"/>
    </row>
    <row r="165" spans="1:16" ht="24.75" customHeight="1">
      <c r="A165" s="1285"/>
      <c r="B165" s="1287"/>
      <c r="C165" s="1287"/>
      <c r="D165" s="1287"/>
      <c r="E165" s="1287"/>
      <c r="F165" s="1285"/>
      <c r="G165" s="1285"/>
      <c r="H165" s="1287"/>
      <c r="I165" s="1287"/>
      <c r="J165" s="1287"/>
      <c r="K165" s="1287"/>
      <c r="L165" s="1285"/>
      <c r="M165" s="1287"/>
      <c r="N165" s="1374"/>
      <c r="O165" s="1287"/>
      <c r="P165" s="1258"/>
    </row>
    <row r="166" spans="1:16" ht="24.75" customHeight="1">
      <c r="A166" s="1285"/>
      <c r="B166" s="1287"/>
      <c r="C166" s="1287"/>
      <c r="D166" s="1287"/>
      <c r="E166" s="1287"/>
      <c r="F166" s="1285"/>
      <c r="G166" s="1285"/>
      <c r="H166" s="1287"/>
      <c r="I166" s="1287"/>
      <c r="J166" s="1287"/>
      <c r="K166" s="1287"/>
      <c r="L166" s="1285"/>
      <c r="M166" s="1287"/>
      <c r="N166" s="1374"/>
      <c r="O166" s="1287"/>
      <c r="P166" s="1258"/>
    </row>
    <row r="167" spans="1:16" ht="24.75" customHeight="1">
      <c r="A167" s="1285"/>
      <c r="B167" s="1287"/>
      <c r="C167" s="1287"/>
      <c r="D167" s="1287"/>
      <c r="E167" s="1287"/>
      <c r="F167" s="1285"/>
      <c r="G167" s="1285"/>
      <c r="H167" s="1287"/>
      <c r="I167" s="1287"/>
      <c r="J167" s="1287"/>
      <c r="K167" s="1287"/>
      <c r="L167" s="1285"/>
      <c r="M167" s="1287"/>
      <c r="N167" s="1374"/>
      <c r="O167" s="1287"/>
      <c r="P167" s="1258"/>
    </row>
    <row r="168" spans="1:16" ht="24.75" customHeight="1">
      <c r="A168" s="1285"/>
      <c r="B168" s="1287"/>
      <c r="C168" s="1287"/>
      <c r="D168" s="1287"/>
      <c r="E168" s="1287"/>
      <c r="F168" s="1285"/>
      <c r="G168" s="1285"/>
      <c r="H168" s="1287"/>
      <c r="I168" s="1287"/>
      <c r="J168" s="1287"/>
      <c r="K168" s="1287"/>
      <c r="L168" s="1285"/>
      <c r="M168" s="1287"/>
      <c r="N168" s="1374"/>
      <c r="O168" s="1287"/>
      <c r="P168" s="1258"/>
    </row>
    <row r="169" spans="1:16" ht="15" customHeight="1">
      <c r="A169" s="1346"/>
      <c r="B169" s="1260"/>
      <c r="C169" s="1260"/>
      <c r="D169" s="1260"/>
      <c r="E169" s="1260"/>
      <c r="F169" s="1346"/>
      <c r="G169" s="1346"/>
      <c r="H169" s="1260"/>
      <c r="I169" s="1260"/>
      <c r="J169" s="1260"/>
      <c r="K169" s="1260"/>
      <c r="L169" s="1346"/>
      <c r="M169" s="1260"/>
      <c r="N169" s="1347"/>
      <c r="O169" s="1260"/>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9"/>
  <sheetViews>
    <sheetView zoomScale="80" zoomScaleNormal="80" workbookViewId="0">
      <pane xSplit="1" topLeftCell="B19" activePane="topRight" state="frozen"/>
      <selection pane="topRight" activeCell="A32" sqref="A32:XFD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5"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6"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6"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6"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7">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4"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6" t="s">
        <v>418</v>
      </c>
      <c r="B16" s="827" t="s">
        <v>296</v>
      </c>
      <c r="C16" s="1194">
        <v>46006</v>
      </c>
      <c r="D16" s="1215" t="s">
        <v>233</v>
      </c>
      <c r="E16" s="1214">
        <v>45987</v>
      </c>
      <c r="F16" s="1215" t="s">
        <v>223</v>
      </c>
      <c r="G16" s="1215" t="s">
        <v>419</v>
      </c>
      <c r="H16" s="1216">
        <v>30</v>
      </c>
      <c r="I16" s="825" t="s">
        <v>219</v>
      </c>
      <c r="J16" s="828" t="s">
        <v>63</v>
      </c>
      <c r="K16" s="1196"/>
      <c r="L16" s="476" t="s">
        <v>52</v>
      </c>
      <c r="M16" s="1216" t="s">
        <v>57</v>
      </c>
      <c r="N16" s="1227">
        <v>31387.05</v>
      </c>
      <c r="O16" s="1216" t="s">
        <v>57</v>
      </c>
      <c r="P16" s="1267" t="s">
        <v>86</v>
      </c>
      <c r="Q16" s="1219">
        <v>45992</v>
      </c>
      <c r="R16" s="1331"/>
      <c r="S16" s="1331"/>
      <c r="T16" s="1331"/>
      <c r="U16" s="1331"/>
      <c r="V16" s="1220">
        <v>2580</v>
      </c>
      <c r="W16" s="1268">
        <v>2637</v>
      </c>
      <c r="X16" s="1200">
        <f t="shared" ref="X16" si="6">SUM(V16-W16)</f>
        <v>-57</v>
      </c>
      <c r="Y16" s="660">
        <f t="shared" ref="Y16" si="7">IFERROR($W16/$V16, 0)</f>
        <v>1.0220930232558139</v>
      </c>
      <c r="Z16" s="1219">
        <v>46001</v>
      </c>
      <c r="AA16" s="1202">
        <v>0</v>
      </c>
      <c r="AB16" s="1202">
        <v>0</v>
      </c>
      <c r="AC16" s="1220">
        <v>0</v>
      </c>
      <c r="AD16" s="1203"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8" t="s">
        <v>429</v>
      </c>
      <c r="B21" s="1010" t="s">
        <v>296</v>
      </c>
      <c r="C21" s="1194">
        <v>46040</v>
      </c>
      <c r="D21" s="1215" t="s">
        <v>233</v>
      </c>
      <c r="E21" s="1214">
        <v>45996</v>
      </c>
      <c r="F21" s="1215" t="s">
        <v>223</v>
      </c>
      <c r="G21" s="1215" t="s">
        <v>430</v>
      </c>
      <c r="H21" s="1216">
        <v>78</v>
      </c>
      <c r="I21" s="825" t="s">
        <v>219</v>
      </c>
      <c r="J21" s="1216" t="s">
        <v>63</v>
      </c>
      <c r="K21" s="1196"/>
      <c r="L21" s="476" t="s">
        <v>52</v>
      </c>
      <c r="M21" s="1216" t="s">
        <v>57</v>
      </c>
      <c r="N21" s="1227">
        <v>84477</v>
      </c>
      <c r="O21" s="1216" t="s">
        <v>57</v>
      </c>
      <c r="P21" s="1267" t="s">
        <v>86</v>
      </c>
      <c r="Q21" s="1219">
        <v>46000</v>
      </c>
      <c r="R21" s="1219"/>
      <c r="S21" s="1219"/>
      <c r="T21" s="1219"/>
      <c r="U21" s="1219"/>
      <c r="V21" s="1220">
        <v>6758</v>
      </c>
      <c r="W21" s="1318">
        <v>6565</v>
      </c>
      <c r="X21" s="1257">
        <f t="shared" ref="X21" si="8">SUM(V21-W21)</f>
        <v>193</v>
      </c>
      <c r="Y21" s="655">
        <f t="shared" ref="Y21" si="9">IFERROR($W21/$V21, 0)</f>
        <v>0.97144125480911514</v>
      </c>
      <c r="Z21" s="1405">
        <v>46006</v>
      </c>
      <c r="AA21" s="1202">
        <v>0</v>
      </c>
      <c r="AB21" s="1202">
        <v>0</v>
      </c>
      <c r="AC21" s="1220">
        <v>0</v>
      </c>
      <c r="AD21" s="1203"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4"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3"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106">
        <f t="shared" si="13"/>
        <v>0</v>
      </c>
      <c r="Y27" s="655">
        <f t="shared" si="12"/>
        <v>1</v>
      </c>
      <c r="Z27" s="676">
        <v>45944</v>
      </c>
      <c r="AA27" s="355">
        <v>1</v>
      </c>
      <c r="AB27" s="355">
        <v>1</v>
      </c>
      <c r="AC27" s="472">
        <v>0</v>
      </c>
      <c r="AD27" s="170" t="s">
        <v>447</v>
      </c>
    </row>
    <row r="28" spans="1:30" ht="39.75" customHeight="1">
      <c r="A28" s="1266" t="s">
        <v>448</v>
      </c>
      <c r="B28" s="679" t="s">
        <v>109</v>
      </c>
      <c r="C28" s="1194">
        <v>46020</v>
      </c>
      <c r="D28" s="1194" t="s">
        <v>449</v>
      </c>
      <c r="E28" s="1194">
        <v>45978</v>
      </c>
      <c r="F28" s="1195" t="s">
        <v>142</v>
      </c>
      <c r="G28" s="1195" t="s">
        <v>450</v>
      </c>
      <c r="H28" s="1196">
        <v>197</v>
      </c>
      <c r="I28" s="659" t="s">
        <v>219</v>
      </c>
      <c r="J28" s="1196" t="s">
        <v>56</v>
      </c>
      <c r="K28" s="469"/>
      <c r="L28" s="1194">
        <v>45978</v>
      </c>
      <c r="M28" s="1196" t="s">
        <v>57</v>
      </c>
      <c r="N28" s="1197">
        <v>87807.5</v>
      </c>
      <c r="O28" s="1196" t="s">
        <v>57</v>
      </c>
      <c r="P28" s="1267" t="s">
        <v>86</v>
      </c>
      <c r="Q28" s="1199">
        <v>45978</v>
      </c>
      <c r="R28" s="1199"/>
      <c r="S28" s="1199"/>
      <c r="T28" s="1199"/>
      <c r="U28" s="1199"/>
      <c r="V28" s="784">
        <v>10187</v>
      </c>
      <c r="W28" s="1007">
        <v>10172</v>
      </c>
      <c r="X28" s="1257">
        <f>SUM(V28-W28)</f>
        <v>15</v>
      </c>
      <c r="Y28" s="871">
        <f t="shared" si="12"/>
        <v>0.99852753509374692</v>
      </c>
      <c r="Z28" s="1405">
        <v>45985</v>
      </c>
      <c r="AA28" s="1202">
        <v>1</v>
      </c>
      <c r="AB28" s="1202">
        <v>0</v>
      </c>
      <c r="AC28" s="1200">
        <v>2112</v>
      </c>
      <c r="AD28" s="1203" t="s">
        <v>451</v>
      </c>
    </row>
    <row r="29" spans="1:30" ht="39.75" customHeight="1">
      <c r="A29" s="1140" t="s">
        <v>452</v>
      </c>
      <c r="B29" s="1141"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473">
        <v>8457</v>
      </c>
      <c r="X29" s="1003">
        <f>SUM(V29-W29)</f>
        <v>66</v>
      </c>
      <c r="Y29" s="871">
        <f>IFERROR($W29/$V29, 0)</f>
        <v>0.99225624780007038</v>
      </c>
      <c r="Z29" s="193">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03">
        <f t="shared" si="13"/>
        <v>0</v>
      </c>
      <c r="Y31" s="71">
        <f t="shared" si="12"/>
        <v>1</v>
      </c>
      <c r="Z31" s="650">
        <v>45964</v>
      </c>
      <c r="AA31" s="355">
        <v>1</v>
      </c>
      <c r="AB31" s="355">
        <v>1</v>
      </c>
      <c r="AC31" s="41">
        <v>0</v>
      </c>
      <c r="AD31" s="474" t="s">
        <v>459</v>
      </c>
    </row>
    <row r="32" spans="1:30" ht="39.75" customHeight="1">
      <c r="A32" s="1063" t="s">
        <v>460</v>
      </c>
      <c r="B32" s="450" t="s">
        <v>318</v>
      </c>
      <c r="C32" s="375">
        <v>46045</v>
      </c>
      <c r="D32" s="969" t="s">
        <v>129</v>
      </c>
      <c r="E32" s="375"/>
      <c r="F32" s="374"/>
      <c r="G32" s="635"/>
      <c r="H32" s="1059">
        <v>88</v>
      </c>
      <c r="I32" s="970" t="s">
        <v>219</v>
      </c>
      <c r="J32" s="971" t="s">
        <v>63</v>
      </c>
      <c r="K32" s="1001"/>
      <c r="L32" s="476" t="s">
        <v>52</v>
      </c>
      <c r="M32" s="971" t="s">
        <v>57</v>
      </c>
      <c r="N32" s="1060">
        <v>5668</v>
      </c>
      <c r="O32" s="52" t="s">
        <v>57</v>
      </c>
      <c r="P32" s="1062" t="s">
        <v>86</v>
      </c>
      <c r="Q32" s="471" t="s">
        <v>52</v>
      </c>
      <c r="R32" s="649"/>
      <c r="S32" s="649"/>
      <c r="T32" s="649"/>
      <c r="U32" s="471">
        <v>45999</v>
      </c>
      <c r="V32" s="1003">
        <v>6646</v>
      </c>
      <c r="W32" s="1004">
        <v>6623</v>
      </c>
      <c r="X32" s="1426">
        <f t="shared" si="13"/>
        <v>23</v>
      </c>
      <c r="Y32" s="866">
        <f t="shared" si="12"/>
        <v>0.99653927174240142</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30</v>
      </c>
      <c r="I33" s="970" t="s">
        <v>219</v>
      </c>
      <c r="J33" s="971" t="s">
        <v>63</v>
      </c>
      <c r="K33" s="1001"/>
      <c r="L33" s="476" t="s">
        <v>52</v>
      </c>
      <c r="M33" s="971" t="s">
        <v>57</v>
      </c>
      <c r="N33" s="1060">
        <v>170</v>
      </c>
      <c r="O33" s="52" t="s">
        <v>57</v>
      </c>
      <c r="P33" s="1062" t="s">
        <v>86</v>
      </c>
      <c r="Q33" s="471" t="s">
        <v>52</v>
      </c>
      <c r="R33" s="649"/>
      <c r="S33" s="649"/>
      <c r="T33" s="649"/>
      <c r="U33" s="124">
        <v>46002</v>
      </c>
      <c r="V33" s="1003">
        <v>2136</v>
      </c>
      <c r="W33" s="1004">
        <v>2136</v>
      </c>
      <c r="X33" s="1003">
        <f t="shared" si="13"/>
        <v>0</v>
      </c>
      <c r="Y33" s="866">
        <f t="shared" si="12"/>
        <v>1</v>
      </c>
      <c r="Z33" s="124">
        <v>45964</v>
      </c>
      <c r="AA33" s="355">
        <v>1</v>
      </c>
      <c r="AB33" s="355">
        <v>0</v>
      </c>
      <c r="AC33" s="41">
        <v>0</v>
      </c>
      <c r="AD33" s="436" t="s">
        <v>461</v>
      </c>
    </row>
    <row r="34" spans="1:30" ht="39.75" customHeight="1">
      <c r="A34" s="1063" t="s">
        <v>463</v>
      </c>
      <c r="B34" s="450" t="s">
        <v>318</v>
      </c>
      <c r="C34" s="375">
        <v>46045</v>
      </c>
      <c r="D34" s="969" t="s">
        <v>129</v>
      </c>
      <c r="E34" s="375">
        <v>45959</v>
      </c>
      <c r="F34" s="374" t="s">
        <v>163</v>
      </c>
      <c r="G34" s="635"/>
      <c r="H34" s="376">
        <v>89</v>
      </c>
      <c r="I34" s="970" t="s">
        <v>219</v>
      </c>
      <c r="J34" s="971" t="s">
        <v>63</v>
      </c>
      <c r="K34" s="648"/>
      <c r="L34" s="51">
        <v>45964</v>
      </c>
      <c r="M34" s="52" t="s">
        <v>57</v>
      </c>
      <c r="N34" s="835">
        <v>84750.5</v>
      </c>
      <c r="O34" s="52" t="s">
        <v>57</v>
      </c>
      <c r="P34" s="1062" t="s">
        <v>86</v>
      </c>
      <c r="Q34" s="54">
        <v>45964</v>
      </c>
      <c r="R34" s="649"/>
      <c r="S34" s="649"/>
      <c r="T34" s="649"/>
      <c r="U34" s="124">
        <v>46034</v>
      </c>
      <c r="V34" s="106">
        <v>6935</v>
      </c>
      <c r="W34" s="1004">
        <v>6942</v>
      </c>
      <c r="X34" s="106">
        <f t="shared" si="13"/>
        <v>-7</v>
      </c>
      <c r="Y34" s="976">
        <f t="shared" si="12"/>
        <v>1.0010093727469358</v>
      </c>
      <c r="Z34" s="124">
        <v>45973</v>
      </c>
      <c r="AA34" s="355">
        <v>1</v>
      </c>
      <c r="AB34" s="355">
        <v>1</v>
      </c>
      <c r="AC34" s="41">
        <v>0</v>
      </c>
      <c r="AD34" s="436" t="s">
        <v>464</v>
      </c>
    </row>
    <row r="35" spans="1:30" ht="39.75" customHeight="1">
      <c r="A35" s="1063" t="s">
        <v>465</v>
      </c>
      <c r="B35" s="450" t="s">
        <v>318</v>
      </c>
      <c r="C35" s="375">
        <v>45989</v>
      </c>
      <c r="D35" s="969" t="s">
        <v>129</v>
      </c>
      <c r="E35" s="375">
        <v>45959</v>
      </c>
      <c r="F35" s="374" t="s">
        <v>163</v>
      </c>
      <c r="G35" s="635" t="s">
        <v>466</v>
      </c>
      <c r="H35" s="376">
        <v>59</v>
      </c>
      <c r="I35" s="970" t="s">
        <v>219</v>
      </c>
      <c r="J35" s="971" t="s">
        <v>63</v>
      </c>
      <c r="K35" s="648"/>
      <c r="L35" s="51">
        <v>45964</v>
      </c>
      <c r="M35" s="971" t="s">
        <v>57</v>
      </c>
      <c r="N35" s="835">
        <v>65066.5</v>
      </c>
      <c r="O35" s="52" t="s">
        <v>57</v>
      </c>
      <c r="P35" s="1062" t="s">
        <v>86</v>
      </c>
      <c r="Q35" s="54">
        <v>45964</v>
      </c>
      <c r="R35" s="994"/>
      <c r="S35" s="649"/>
      <c r="T35" s="649"/>
      <c r="U35" s="124">
        <v>46034</v>
      </c>
      <c r="V35" s="106">
        <v>5421</v>
      </c>
      <c r="W35" s="1004">
        <v>5466</v>
      </c>
      <c r="X35" s="472">
        <f t="shared" si="13"/>
        <v>-45</v>
      </c>
      <c r="Y35" s="866">
        <f t="shared" si="12"/>
        <v>1.0083010514665192</v>
      </c>
      <c r="Z35" s="124">
        <v>45985</v>
      </c>
      <c r="AA35" s="355">
        <v>1</v>
      </c>
      <c r="AB35" s="355">
        <v>1</v>
      </c>
      <c r="AC35" s="972">
        <v>0</v>
      </c>
      <c r="AD35" s="436" t="s">
        <v>467</v>
      </c>
    </row>
    <row r="36" spans="1:30" ht="39.75" customHeight="1">
      <c r="A36" s="1063" t="s">
        <v>468</v>
      </c>
      <c r="B36" s="450" t="s">
        <v>318</v>
      </c>
      <c r="C36" s="375">
        <v>46010</v>
      </c>
      <c r="D36" s="969" t="s">
        <v>129</v>
      </c>
      <c r="E36" s="375">
        <v>45959</v>
      </c>
      <c r="F36" s="374" t="s">
        <v>163</v>
      </c>
      <c r="G36" s="635" t="s">
        <v>469</v>
      </c>
      <c r="H36" s="376">
        <v>89</v>
      </c>
      <c r="I36" s="970" t="s">
        <v>219</v>
      </c>
      <c r="J36" s="971" t="s">
        <v>63</v>
      </c>
      <c r="K36" s="648"/>
      <c r="L36" s="51">
        <v>45964</v>
      </c>
      <c r="M36" s="971" t="s">
        <v>57</v>
      </c>
      <c r="N36" s="835">
        <v>81602</v>
      </c>
      <c r="O36" s="52" t="s">
        <v>57</v>
      </c>
      <c r="P36" s="1062" t="s">
        <v>86</v>
      </c>
      <c r="Q36" s="54">
        <v>45964</v>
      </c>
      <c r="R36" s="994"/>
      <c r="S36" s="649"/>
      <c r="T36" s="649"/>
      <c r="U36" s="124">
        <v>46034</v>
      </c>
      <c r="V36" s="106">
        <v>6752</v>
      </c>
      <c r="W36" s="1004">
        <v>6737</v>
      </c>
      <c r="X36" s="472">
        <f t="shared" si="13"/>
        <v>15</v>
      </c>
      <c r="Y36" s="866">
        <f t="shared" si="12"/>
        <v>0.99777843601895733</v>
      </c>
      <c r="Z36" s="124">
        <v>45992</v>
      </c>
      <c r="AA36" s="355">
        <v>1</v>
      </c>
      <c r="AB36" s="355">
        <v>1</v>
      </c>
      <c r="AC36" s="972">
        <v>2728</v>
      </c>
      <c r="AD36" s="436" t="s">
        <v>470</v>
      </c>
    </row>
    <row r="37" spans="1:30" ht="39.75" customHeight="1">
      <c r="A37" s="1063" t="s">
        <v>471</v>
      </c>
      <c r="B37" s="450" t="s">
        <v>318</v>
      </c>
      <c r="C37" s="375">
        <v>46045</v>
      </c>
      <c r="D37" s="969" t="s">
        <v>129</v>
      </c>
      <c r="E37" s="375">
        <v>45959</v>
      </c>
      <c r="F37" s="374" t="s">
        <v>163</v>
      </c>
      <c r="G37" s="635"/>
      <c r="H37" s="376">
        <v>88</v>
      </c>
      <c r="I37" s="970" t="s">
        <v>219</v>
      </c>
      <c r="J37" s="971" t="s">
        <v>63</v>
      </c>
      <c r="K37" s="648"/>
      <c r="L37" s="51">
        <v>45961</v>
      </c>
      <c r="M37" s="52" t="s">
        <v>57</v>
      </c>
      <c r="N37" s="835">
        <v>88231.9</v>
      </c>
      <c r="O37" s="52" t="s">
        <v>57</v>
      </c>
      <c r="P37" s="1062" t="s">
        <v>86</v>
      </c>
      <c r="Q37" s="54">
        <v>45961</v>
      </c>
      <c r="R37" s="649"/>
      <c r="S37" s="649"/>
      <c r="T37" s="649"/>
      <c r="U37" s="124">
        <v>46024</v>
      </c>
      <c r="V37" s="106">
        <v>7274</v>
      </c>
      <c r="W37" s="1004">
        <v>7274</v>
      </c>
      <c r="X37" s="106">
        <f t="shared" si="13"/>
        <v>0</v>
      </c>
      <c r="Y37" s="866">
        <f t="shared" si="12"/>
        <v>1</v>
      </c>
      <c r="Z37" s="124">
        <v>45968</v>
      </c>
      <c r="AA37" s="355">
        <v>1</v>
      </c>
      <c r="AB37" s="355">
        <v>1</v>
      </c>
      <c r="AC37" s="41">
        <v>1231</v>
      </c>
      <c r="AD37" s="436" t="s">
        <v>472</v>
      </c>
    </row>
    <row r="38" spans="1:30" ht="39.75" customHeight="1">
      <c r="A38" s="1063" t="s">
        <v>473</v>
      </c>
      <c r="B38" s="450" t="s">
        <v>318</v>
      </c>
      <c r="C38" s="375">
        <v>45989</v>
      </c>
      <c r="D38" s="969" t="s">
        <v>129</v>
      </c>
      <c r="E38" s="375">
        <v>45959</v>
      </c>
      <c r="F38" s="374" t="s">
        <v>163</v>
      </c>
      <c r="G38" s="635" t="s">
        <v>474</v>
      </c>
      <c r="H38" s="376">
        <v>87</v>
      </c>
      <c r="I38" s="970" t="s">
        <v>219</v>
      </c>
      <c r="J38" s="971" t="s">
        <v>63</v>
      </c>
      <c r="K38" s="648"/>
      <c r="L38" s="51">
        <v>45964</v>
      </c>
      <c r="M38" s="971" t="s">
        <v>57</v>
      </c>
      <c r="N38" s="835">
        <v>93578</v>
      </c>
      <c r="O38" s="52" t="s">
        <v>57</v>
      </c>
      <c r="P38" s="1062" t="s">
        <v>86</v>
      </c>
      <c r="Q38" s="54">
        <v>45964</v>
      </c>
      <c r="R38" s="994"/>
      <c r="S38" s="649"/>
      <c r="T38" s="649"/>
      <c r="U38" s="124">
        <v>46024</v>
      </c>
      <c r="V38" s="106">
        <v>7782</v>
      </c>
      <c r="W38" s="1004">
        <v>7782</v>
      </c>
      <c r="X38" s="472">
        <f t="shared" si="13"/>
        <v>0</v>
      </c>
      <c r="Y38" s="866">
        <f t="shared" si="12"/>
        <v>1</v>
      </c>
      <c r="Z38" s="124">
        <v>45975</v>
      </c>
      <c r="AA38" s="599">
        <v>1</v>
      </c>
      <c r="AB38" s="599">
        <v>0</v>
      </c>
      <c r="AC38" s="972">
        <v>0</v>
      </c>
      <c r="AD38" s="436" t="s">
        <v>475</v>
      </c>
    </row>
    <row r="39" spans="1:30" ht="39.75" customHeight="1">
      <c r="A39" s="1063" t="s">
        <v>476</v>
      </c>
      <c r="B39" s="450" t="s">
        <v>318</v>
      </c>
      <c r="C39" s="375">
        <v>46045</v>
      </c>
      <c r="D39" s="969" t="s">
        <v>129</v>
      </c>
      <c r="E39" s="375">
        <v>45959</v>
      </c>
      <c r="F39" s="374" t="s">
        <v>163</v>
      </c>
      <c r="G39" s="635"/>
      <c r="H39" s="376">
        <v>90</v>
      </c>
      <c r="I39" s="970" t="s">
        <v>219</v>
      </c>
      <c r="J39" s="971" t="s">
        <v>63</v>
      </c>
      <c r="K39" s="648"/>
      <c r="L39" s="51">
        <v>45964</v>
      </c>
      <c r="M39" s="52" t="s">
        <v>57</v>
      </c>
      <c r="N39" s="835">
        <v>84896</v>
      </c>
      <c r="O39" s="52" t="s">
        <v>57</v>
      </c>
      <c r="P39" s="1062" t="s">
        <v>86</v>
      </c>
      <c r="Q39" s="54">
        <v>45964</v>
      </c>
      <c r="R39" s="649"/>
      <c r="S39" s="649"/>
      <c r="T39" s="649"/>
      <c r="U39" s="124">
        <v>46024</v>
      </c>
      <c r="V39" s="106">
        <v>7060</v>
      </c>
      <c r="W39" s="1004">
        <v>7060</v>
      </c>
      <c r="X39" s="106">
        <f t="shared" si="13"/>
        <v>0</v>
      </c>
      <c r="Y39" s="866">
        <f t="shared" si="12"/>
        <v>1</v>
      </c>
      <c r="Z39" s="124">
        <v>45973</v>
      </c>
      <c r="AA39" s="355">
        <v>0</v>
      </c>
      <c r="AB39" s="355">
        <v>0</v>
      </c>
      <c r="AC39" s="41">
        <v>0</v>
      </c>
      <c r="AD39" s="436" t="s">
        <v>477</v>
      </c>
    </row>
    <row r="40" spans="1:30" ht="39.75" customHeight="1">
      <c r="A40" s="1313" t="s">
        <v>478</v>
      </c>
      <c r="B40" s="1141" t="s">
        <v>318</v>
      </c>
      <c r="C40" s="1284">
        <v>46019</v>
      </c>
      <c r="D40" s="969" t="s">
        <v>129</v>
      </c>
      <c r="E40" s="1284">
        <v>45959</v>
      </c>
      <c r="F40" s="1285" t="s">
        <v>163</v>
      </c>
      <c r="G40" s="1285" t="s">
        <v>479</v>
      </c>
      <c r="H40" s="1286">
        <v>90</v>
      </c>
      <c r="I40" s="970" t="s">
        <v>219</v>
      </c>
      <c r="J40" s="1271" t="s">
        <v>63</v>
      </c>
      <c r="K40" s="648"/>
      <c r="L40" s="1288">
        <v>45961</v>
      </c>
      <c r="M40" s="1271" t="s">
        <v>57</v>
      </c>
      <c r="N40" s="1314">
        <v>91897</v>
      </c>
      <c r="O40" s="1290" t="s">
        <v>57</v>
      </c>
      <c r="P40" s="1315" t="s">
        <v>86</v>
      </c>
      <c r="Q40" s="1316">
        <v>45961</v>
      </c>
      <c r="R40" s="1317"/>
      <c r="S40" s="1292"/>
      <c r="T40" s="1292"/>
      <c r="U40" s="124">
        <v>46034</v>
      </c>
      <c r="V40" s="1257">
        <v>7457</v>
      </c>
      <c r="W40" s="1318">
        <v>7468</v>
      </c>
      <c r="X40" s="1200">
        <f>SUM(V40-W40)</f>
        <v>-11</v>
      </c>
      <c r="Y40" s="1142">
        <f>IFERROR($W40/$V40, 0)</f>
        <v>1.0014751240445219</v>
      </c>
      <c r="Z40" s="1246">
        <v>45974</v>
      </c>
      <c r="AA40" s="355">
        <v>1</v>
      </c>
      <c r="AB40" s="355">
        <v>1</v>
      </c>
      <c r="AC40" s="1276">
        <v>0</v>
      </c>
      <c r="AD40" s="1248" t="s">
        <v>480</v>
      </c>
    </row>
    <row r="41" spans="1:30" ht="39.75" customHeight="1">
      <c r="A41" s="1063" t="s">
        <v>481</v>
      </c>
      <c r="B41" s="450" t="s">
        <v>318</v>
      </c>
      <c r="C41" s="375">
        <v>45989</v>
      </c>
      <c r="D41" s="969" t="s">
        <v>129</v>
      </c>
      <c r="E41" s="375">
        <v>45959</v>
      </c>
      <c r="F41" s="374" t="s">
        <v>163</v>
      </c>
      <c r="G41" s="635" t="s">
        <v>482</v>
      </c>
      <c r="H41" s="376">
        <v>90</v>
      </c>
      <c r="I41" s="970" t="s">
        <v>219</v>
      </c>
      <c r="J41" s="971" t="s">
        <v>63</v>
      </c>
      <c r="K41" s="648"/>
      <c r="L41" s="51">
        <v>45964</v>
      </c>
      <c r="M41" s="971" t="s">
        <v>57</v>
      </c>
      <c r="N41" s="835">
        <v>96685</v>
      </c>
      <c r="O41" s="52" t="s">
        <v>57</v>
      </c>
      <c r="P41" s="1062" t="s">
        <v>86</v>
      </c>
      <c r="Q41" s="54">
        <v>45964</v>
      </c>
      <c r="R41" s="994"/>
      <c r="S41" s="649"/>
      <c r="T41" s="649"/>
      <c r="U41" s="124">
        <v>46024</v>
      </c>
      <c r="V41" s="106">
        <v>7926</v>
      </c>
      <c r="W41" s="1004">
        <v>7926</v>
      </c>
      <c r="X41" s="472">
        <f t="shared" si="13"/>
        <v>0</v>
      </c>
      <c r="Y41" s="866">
        <f t="shared" si="12"/>
        <v>1</v>
      </c>
      <c r="Z41" s="124">
        <v>45981</v>
      </c>
      <c r="AA41" s="599">
        <v>1</v>
      </c>
      <c r="AB41" s="599">
        <v>0</v>
      </c>
      <c r="AC41" s="972">
        <v>0</v>
      </c>
      <c r="AD41" s="436" t="s">
        <v>483</v>
      </c>
    </row>
    <row r="42" spans="1:30" ht="39.75" customHeight="1">
      <c r="A42" s="1313" t="s">
        <v>484</v>
      </c>
      <c r="B42" s="1141" t="s">
        <v>318</v>
      </c>
      <c r="C42" s="1284">
        <v>46019</v>
      </c>
      <c r="D42" s="969" t="s">
        <v>129</v>
      </c>
      <c r="E42" s="1284">
        <v>45959</v>
      </c>
      <c r="F42" s="1285" t="s">
        <v>163</v>
      </c>
      <c r="G42" s="1285" t="s">
        <v>485</v>
      </c>
      <c r="H42" s="1286">
        <v>90</v>
      </c>
      <c r="I42" s="970" t="s">
        <v>219</v>
      </c>
      <c r="J42" s="1271" t="s">
        <v>63</v>
      </c>
      <c r="K42" s="1287"/>
      <c r="L42" s="1288">
        <v>45964</v>
      </c>
      <c r="M42" s="1271" t="s">
        <v>57</v>
      </c>
      <c r="N42" s="1314">
        <v>85815</v>
      </c>
      <c r="O42" s="1290" t="s">
        <v>57</v>
      </c>
      <c r="P42" s="1315" t="s">
        <v>86</v>
      </c>
      <c r="Q42" s="1316">
        <v>45964</v>
      </c>
      <c r="R42" s="1317"/>
      <c r="S42" s="1292"/>
      <c r="T42" s="1292"/>
      <c r="U42" s="124">
        <v>46024</v>
      </c>
      <c r="V42" s="1257">
        <v>6981</v>
      </c>
      <c r="W42" s="1318">
        <v>6991</v>
      </c>
      <c r="X42" s="1200">
        <f>SUM(V42-W42)</f>
        <v>-10</v>
      </c>
      <c r="Y42" s="1142">
        <f t="shared" si="12"/>
        <v>1.0014324595330182</v>
      </c>
      <c r="Z42" s="1246">
        <v>45981</v>
      </c>
      <c r="AA42" s="1277">
        <v>1</v>
      </c>
      <c r="AB42" s="1277">
        <v>0</v>
      </c>
      <c r="AC42" s="1276">
        <v>0</v>
      </c>
      <c r="AD42" s="1248" t="s">
        <v>486</v>
      </c>
    </row>
    <row r="43" spans="1:30" ht="39.75" customHeight="1">
      <c r="A43" s="1063" t="s">
        <v>487</v>
      </c>
      <c r="B43" s="450" t="s">
        <v>318</v>
      </c>
      <c r="C43" s="375">
        <v>46021</v>
      </c>
      <c r="D43" s="969" t="s">
        <v>129</v>
      </c>
      <c r="E43" s="375">
        <v>45959</v>
      </c>
      <c r="F43" s="374" t="s">
        <v>163</v>
      </c>
      <c r="G43" s="635" t="s">
        <v>488</v>
      </c>
      <c r="H43" s="376">
        <v>89</v>
      </c>
      <c r="I43" s="970" t="s">
        <v>219</v>
      </c>
      <c r="J43" s="971" t="s">
        <v>63</v>
      </c>
      <c r="K43" s="648"/>
      <c r="L43" s="51">
        <v>45961</v>
      </c>
      <c r="M43" s="971" t="s">
        <v>57</v>
      </c>
      <c r="N43" s="835">
        <v>83615</v>
      </c>
      <c r="O43" s="52" t="s">
        <v>57</v>
      </c>
      <c r="P43" s="1062" t="s">
        <v>86</v>
      </c>
      <c r="Q43" s="54">
        <v>45961</v>
      </c>
      <c r="R43" s="994"/>
      <c r="S43" s="649"/>
      <c r="T43" s="649"/>
      <c r="U43" s="649"/>
      <c r="V43" s="106">
        <v>7010</v>
      </c>
      <c r="W43" s="1004">
        <v>7010</v>
      </c>
      <c r="X43" s="472">
        <f t="shared" si="13"/>
        <v>0</v>
      </c>
      <c r="Y43" s="866">
        <f t="shared" si="12"/>
        <v>1</v>
      </c>
      <c r="Z43" s="124">
        <v>45986</v>
      </c>
      <c r="AA43" s="599">
        <v>1</v>
      </c>
      <c r="AB43" s="599">
        <v>0</v>
      </c>
      <c r="AC43" s="972">
        <v>1090</v>
      </c>
      <c r="AD43" s="436" t="s">
        <v>489</v>
      </c>
    </row>
    <row r="44" spans="1:30" ht="39.75" customHeight="1">
      <c r="A44" s="1313" t="s">
        <v>490</v>
      </c>
      <c r="B44" s="1141" t="s">
        <v>318</v>
      </c>
      <c r="C44" s="1284">
        <v>46021</v>
      </c>
      <c r="D44" s="969" t="s">
        <v>129</v>
      </c>
      <c r="E44" s="1284">
        <v>45959</v>
      </c>
      <c r="F44" s="1285" t="s">
        <v>163</v>
      </c>
      <c r="G44" s="1285" t="s">
        <v>491</v>
      </c>
      <c r="H44" s="1286">
        <v>88</v>
      </c>
      <c r="I44" s="970" t="s">
        <v>219</v>
      </c>
      <c r="J44" s="1271" t="s">
        <v>63</v>
      </c>
      <c r="K44" s="648"/>
      <c r="L44" s="1288">
        <v>45964</v>
      </c>
      <c r="M44" s="1271" t="s">
        <v>57</v>
      </c>
      <c r="N44" s="1314">
        <v>78736.5</v>
      </c>
      <c r="O44" s="1290" t="s">
        <v>57</v>
      </c>
      <c r="P44" s="1315" t="s">
        <v>86</v>
      </c>
      <c r="Q44" s="1316">
        <v>45964</v>
      </c>
      <c r="R44" s="1317"/>
      <c r="S44" s="1292"/>
      <c r="T44" s="1292"/>
      <c r="U44" s="1292"/>
      <c r="V44" s="1257">
        <v>6403</v>
      </c>
      <c r="W44" s="1318">
        <v>6432</v>
      </c>
      <c r="X44" s="1200">
        <f>SUM(V44-W44)</f>
        <v>-29</v>
      </c>
      <c r="Y44" s="1142">
        <f>IFERROR($W44/$V44, 0)</f>
        <v>1.004529126971732</v>
      </c>
      <c r="Z44" s="1246">
        <v>46000</v>
      </c>
      <c r="AA44" s="1277">
        <v>0</v>
      </c>
      <c r="AB44" s="1277">
        <v>0</v>
      </c>
      <c r="AC44" s="1276">
        <v>0</v>
      </c>
      <c r="AD44" s="1248" t="s">
        <v>492</v>
      </c>
    </row>
    <row r="45" spans="1:30" ht="39.75" customHeight="1">
      <c r="A45" s="1313" t="s">
        <v>493</v>
      </c>
      <c r="B45" s="1141" t="s">
        <v>318</v>
      </c>
      <c r="C45" s="1284">
        <v>46021</v>
      </c>
      <c r="D45" s="969" t="s">
        <v>129</v>
      </c>
      <c r="E45" s="1284">
        <v>45959</v>
      </c>
      <c r="F45" s="1285" t="s">
        <v>163</v>
      </c>
      <c r="G45" s="1285" t="s">
        <v>494</v>
      </c>
      <c r="H45" s="1286">
        <v>86</v>
      </c>
      <c r="I45" s="970" t="s">
        <v>219</v>
      </c>
      <c r="J45" s="1271" t="s">
        <v>63</v>
      </c>
      <c r="K45" s="648"/>
      <c r="L45" s="1288">
        <v>45964</v>
      </c>
      <c r="M45" s="1271" t="s">
        <v>57</v>
      </c>
      <c r="N45" s="1314">
        <v>80698</v>
      </c>
      <c r="O45" s="1290" t="s">
        <v>57</v>
      </c>
      <c r="P45" s="1315" t="s">
        <v>86</v>
      </c>
      <c r="Q45" s="1316">
        <v>45964</v>
      </c>
      <c r="R45" s="1317"/>
      <c r="S45" s="1292"/>
      <c r="T45" s="1292"/>
      <c r="U45" s="1292"/>
      <c r="V45" s="1257">
        <v>6739</v>
      </c>
      <c r="W45" s="1318">
        <v>6773</v>
      </c>
      <c r="X45" s="1200">
        <f>SUM(V45-W45)</f>
        <v>-34</v>
      </c>
      <c r="Y45" s="1142">
        <f t="shared" ref="Y45" si="14">IFERROR($W45/$V45, 0)</f>
        <v>1.0050452589404957</v>
      </c>
      <c r="Z45" s="1246">
        <v>46008</v>
      </c>
      <c r="AA45" s="1277">
        <v>0</v>
      </c>
      <c r="AB45" s="1277">
        <v>0</v>
      </c>
      <c r="AC45" s="1276">
        <v>0</v>
      </c>
      <c r="AD45" s="1248" t="s">
        <v>495</v>
      </c>
    </row>
    <row r="46" spans="1:30" ht="39.75" customHeight="1">
      <c r="A46" s="1313" t="s">
        <v>496</v>
      </c>
      <c r="B46" s="1141" t="s">
        <v>318</v>
      </c>
      <c r="C46" s="1284">
        <v>46021</v>
      </c>
      <c r="D46" s="969" t="s">
        <v>129</v>
      </c>
      <c r="E46" s="1284">
        <v>45959</v>
      </c>
      <c r="F46" s="1285" t="s">
        <v>163</v>
      </c>
      <c r="G46" s="1285" t="s">
        <v>497</v>
      </c>
      <c r="H46" s="1286">
        <v>85</v>
      </c>
      <c r="I46" s="970" t="s">
        <v>219</v>
      </c>
      <c r="J46" s="1271" t="s">
        <v>63</v>
      </c>
      <c r="K46" s="648"/>
      <c r="L46" s="1288">
        <v>45964</v>
      </c>
      <c r="M46" s="1271" t="s">
        <v>57</v>
      </c>
      <c r="N46" s="1314">
        <v>84770</v>
      </c>
      <c r="O46" s="1290" t="s">
        <v>57</v>
      </c>
      <c r="P46" s="1315" t="s">
        <v>86</v>
      </c>
      <c r="Q46" s="1316">
        <v>45964</v>
      </c>
      <c r="R46" s="1317"/>
      <c r="S46" s="1292"/>
      <c r="T46" s="1292"/>
      <c r="U46" s="1292"/>
      <c r="V46" s="1257">
        <v>6965</v>
      </c>
      <c r="W46" s="1318">
        <v>7129</v>
      </c>
      <c r="X46" s="1200">
        <f>SUM(V46-W46)</f>
        <v>-164</v>
      </c>
      <c r="Y46" s="1142">
        <f>IFERROR($W46/$V46, 0)</f>
        <v>1.0235463029432879</v>
      </c>
      <c r="Z46" s="1246">
        <v>45999</v>
      </c>
      <c r="AA46" s="1277">
        <v>0</v>
      </c>
      <c r="AB46" s="1277">
        <v>0</v>
      </c>
      <c r="AC46" s="1276">
        <v>0</v>
      </c>
      <c r="AD46" s="1248" t="s">
        <v>498</v>
      </c>
    </row>
    <row r="47" spans="1:30" ht="39.75" customHeight="1">
      <c r="A47" s="1313" t="s">
        <v>499</v>
      </c>
      <c r="B47" s="1141" t="s">
        <v>318</v>
      </c>
      <c r="C47" s="1284">
        <v>46019</v>
      </c>
      <c r="D47" s="969" t="s">
        <v>129</v>
      </c>
      <c r="E47" s="1284">
        <v>45959</v>
      </c>
      <c r="F47" s="1285" t="s">
        <v>163</v>
      </c>
      <c r="G47" s="1285" t="s">
        <v>500</v>
      </c>
      <c r="H47" s="1286">
        <v>87</v>
      </c>
      <c r="I47" s="970" t="s">
        <v>219</v>
      </c>
      <c r="J47" s="1271" t="s">
        <v>63</v>
      </c>
      <c r="K47" s="1287"/>
      <c r="L47" s="1288">
        <v>45964</v>
      </c>
      <c r="M47" s="1271" t="s">
        <v>57</v>
      </c>
      <c r="N47" s="1314">
        <v>87875</v>
      </c>
      <c r="O47" s="1290" t="s">
        <v>57</v>
      </c>
      <c r="P47" s="1315" t="s">
        <v>86</v>
      </c>
      <c r="Q47" s="1316">
        <v>45964</v>
      </c>
      <c r="R47" s="1317"/>
      <c r="S47" s="1292"/>
      <c r="T47" s="1292"/>
      <c r="U47" s="124">
        <v>46034</v>
      </c>
      <c r="V47" s="1257">
        <v>7319</v>
      </c>
      <c r="W47" s="1318">
        <v>7319</v>
      </c>
      <c r="X47" s="1200">
        <f>SUM(V47-W47)</f>
        <v>0</v>
      </c>
      <c r="Y47" s="1142">
        <f t="shared" ref="Y47:Y49" si="15">IFERROR($W47/$V47, 0)</f>
        <v>1</v>
      </c>
      <c r="Z47" s="1246">
        <v>46000</v>
      </c>
      <c r="AA47" s="1277">
        <v>1</v>
      </c>
      <c r="AB47" s="1277">
        <v>0</v>
      </c>
      <c r="AC47" s="1276" t="s">
        <v>501</v>
      </c>
      <c r="AD47" s="1248" t="s">
        <v>502</v>
      </c>
    </row>
    <row r="48" spans="1:30" ht="39.75" customHeight="1">
      <c r="A48" s="1313" t="s">
        <v>503</v>
      </c>
      <c r="B48" s="1141" t="s">
        <v>318</v>
      </c>
      <c r="C48" s="1284">
        <v>46019</v>
      </c>
      <c r="D48" s="969" t="s">
        <v>129</v>
      </c>
      <c r="E48" s="1284">
        <v>45959</v>
      </c>
      <c r="F48" s="1285" t="s">
        <v>163</v>
      </c>
      <c r="G48" s="1285" t="s">
        <v>504</v>
      </c>
      <c r="H48" s="1286">
        <v>0</v>
      </c>
      <c r="I48" s="970" t="s">
        <v>219</v>
      </c>
      <c r="J48" s="1271" t="s">
        <v>63</v>
      </c>
      <c r="K48" s="1287"/>
      <c r="L48" s="1288">
        <v>45961</v>
      </c>
      <c r="M48" s="1271" t="s">
        <v>57</v>
      </c>
      <c r="N48" s="1314">
        <v>64985.65</v>
      </c>
      <c r="O48" s="1290" t="s">
        <v>57</v>
      </c>
      <c r="P48" s="1353" t="s">
        <v>86</v>
      </c>
      <c r="Q48" s="1316">
        <v>45964</v>
      </c>
      <c r="R48" s="1292"/>
      <c r="S48" s="1292"/>
      <c r="T48" s="1292"/>
      <c r="U48" s="1292"/>
      <c r="V48" s="1257">
        <v>5155</v>
      </c>
      <c r="W48" s="1318">
        <v>5155</v>
      </c>
      <c r="X48" s="1257">
        <f>SUM(V48-W48)</f>
        <v>0</v>
      </c>
      <c r="Y48" s="1142">
        <f t="shared" si="15"/>
        <v>1</v>
      </c>
      <c r="Z48" s="1246">
        <v>45992</v>
      </c>
      <c r="AA48" s="1277">
        <v>1</v>
      </c>
      <c r="AB48" s="1277">
        <v>0</v>
      </c>
      <c r="AC48" s="1276">
        <v>0</v>
      </c>
      <c r="AD48" s="1248" t="s">
        <v>505</v>
      </c>
    </row>
    <row r="49" spans="1:30" ht="39.75" customHeight="1">
      <c r="A49" s="1313" t="s">
        <v>506</v>
      </c>
      <c r="B49" s="1141" t="s">
        <v>318</v>
      </c>
      <c r="C49" s="1284">
        <v>46019</v>
      </c>
      <c r="D49" s="969" t="s">
        <v>129</v>
      </c>
      <c r="E49" s="1284">
        <v>45959</v>
      </c>
      <c r="F49" s="1285" t="s">
        <v>163</v>
      </c>
      <c r="G49" s="1285" t="s">
        <v>507</v>
      </c>
      <c r="H49" s="1286">
        <v>0</v>
      </c>
      <c r="I49" s="970" t="s">
        <v>219</v>
      </c>
      <c r="J49" s="1271" t="s">
        <v>63</v>
      </c>
      <c r="K49" s="1287"/>
      <c r="L49" s="1288">
        <v>45961</v>
      </c>
      <c r="M49" s="1271" t="s">
        <v>57</v>
      </c>
      <c r="N49" s="1314">
        <v>54043.5</v>
      </c>
      <c r="O49" s="1290" t="s">
        <v>57</v>
      </c>
      <c r="P49" s="1315" t="s">
        <v>86</v>
      </c>
      <c r="Q49" s="1316">
        <v>45961</v>
      </c>
      <c r="R49" s="1317"/>
      <c r="S49" s="1292"/>
      <c r="T49" s="1292"/>
      <c r="U49" s="1292"/>
      <c r="V49" s="1257">
        <v>4140</v>
      </c>
      <c r="W49" s="1318">
        <v>4140</v>
      </c>
      <c r="X49" s="1200">
        <f>SUM(V49-W49)</f>
        <v>0</v>
      </c>
      <c r="Y49" s="1142">
        <f t="shared" si="15"/>
        <v>1</v>
      </c>
      <c r="Z49" s="1246">
        <v>45974</v>
      </c>
      <c r="AA49" s="1277">
        <v>1</v>
      </c>
      <c r="AB49" s="1277">
        <v>0</v>
      </c>
      <c r="AC49" s="1276">
        <v>0</v>
      </c>
      <c r="AD49" s="1248" t="s">
        <v>508</v>
      </c>
    </row>
    <row r="50" spans="1:30" ht="39.75" customHeight="1">
      <c r="A50" s="1065" t="s">
        <v>509</v>
      </c>
      <c r="B50" s="785" t="s">
        <v>50</v>
      </c>
      <c r="C50" s="883">
        <v>45991</v>
      </c>
      <c r="D50" s="1080" t="s">
        <v>84</v>
      </c>
      <c r="E50" s="57">
        <v>45743</v>
      </c>
      <c r="F50" s="768" t="s">
        <v>68</v>
      </c>
      <c r="G50" s="786" t="s">
        <v>510</v>
      </c>
      <c r="H50" s="772">
        <v>69</v>
      </c>
      <c r="I50" s="659" t="s">
        <v>219</v>
      </c>
      <c r="J50" s="469" t="s">
        <v>63</v>
      </c>
      <c r="K50" s="899"/>
      <c r="L50" s="51">
        <v>45741</v>
      </c>
      <c r="M50" s="376" t="s">
        <v>57</v>
      </c>
      <c r="N50" s="835">
        <v>67734.5</v>
      </c>
      <c r="O50" s="376" t="s">
        <v>57</v>
      </c>
      <c r="P50" s="1062" t="s">
        <v>86</v>
      </c>
      <c r="Q50" s="54">
        <v>45744</v>
      </c>
      <c r="R50" s="54"/>
      <c r="S50" s="54"/>
      <c r="T50" s="54"/>
      <c r="U50" s="54"/>
      <c r="V50" s="31">
        <v>4822</v>
      </c>
      <c r="W50" s="1004">
        <v>4958</v>
      </c>
      <c r="X50" s="106">
        <f t="shared" si="13"/>
        <v>-136</v>
      </c>
      <c r="Y50" s="976">
        <f t="shared" si="12"/>
        <v>1.0282040647034425</v>
      </c>
      <c r="Z50" s="54">
        <v>45784</v>
      </c>
      <c r="AA50" s="355">
        <v>0</v>
      </c>
      <c r="AB50" s="355">
        <v>0</v>
      </c>
      <c r="AC50" s="643">
        <v>0</v>
      </c>
      <c r="AD50" s="69" t="s">
        <v>511</v>
      </c>
    </row>
    <row r="51" spans="1:30" ht="39.75" customHeight="1">
      <c r="A51" s="1065" t="s">
        <v>512</v>
      </c>
      <c r="B51" s="767" t="s">
        <v>50</v>
      </c>
      <c r="C51" s="883">
        <v>45991</v>
      </c>
      <c r="D51" s="1066" t="s">
        <v>513</v>
      </c>
      <c r="E51" s="769">
        <v>45735</v>
      </c>
      <c r="F51" s="768" t="s">
        <v>68</v>
      </c>
      <c r="G51" s="771" t="s">
        <v>514</v>
      </c>
      <c r="H51" s="772">
        <v>70</v>
      </c>
      <c r="I51" s="470" t="s">
        <v>219</v>
      </c>
      <c r="J51" s="478" t="s">
        <v>63</v>
      </c>
      <c r="K51" s="52"/>
      <c r="L51" s="375">
        <v>45716</v>
      </c>
      <c r="M51" s="52" t="s">
        <v>57</v>
      </c>
      <c r="N51" s="1070">
        <v>56262.5</v>
      </c>
      <c r="O51" s="52" t="s">
        <v>57</v>
      </c>
      <c r="P51" s="1062" t="s">
        <v>86</v>
      </c>
      <c r="Q51" s="54">
        <v>45744</v>
      </c>
      <c r="R51" s="54">
        <v>45917</v>
      </c>
      <c r="S51" s="54">
        <v>45930</v>
      </c>
      <c r="T51" s="54"/>
      <c r="U51" s="54"/>
      <c r="V51" s="31">
        <v>4870</v>
      </c>
      <c r="W51" s="1004">
        <v>5044</v>
      </c>
      <c r="X51" s="106">
        <f t="shared" si="13"/>
        <v>-174</v>
      </c>
      <c r="Y51" s="976">
        <f t="shared" si="12"/>
        <v>1.0357289527720739</v>
      </c>
      <c r="Z51" s="54">
        <v>45754</v>
      </c>
      <c r="AA51" s="355">
        <v>0</v>
      </c>
      <c r="AB51" s="355">
        <v>0</v>
      </c>
      <c r="AC51" s="41">
        <v>0</v>
      </c>
      <c r="AD51" s="1018" t="s">
        <v>515</v>
      </c>
    </row>
    <row r="52" spans="1:30" ht="39.75" customHeight="1">
      <c r="A52" s="922" t="s">
        <v>516</v>
      </c>
      <c r="B52" s="820" t="s">
        <v>50</v>
      </c>
      <c r="C52" s="467">
        <v>45991</v>
      </c>
      <c r="D52" s="467" t="s">
        <v>84</v>
      </c>
      <c r="E52" s="476">
        <v>45748</v>
      </c>
      <c r="F52" s="475" t="s">
        <v>68</v>
      </c>
      <c r="G52" s="821" t="s">
        <v>517</v>
      </c>
      <c r="H52" s="478">
        <v>0</v>
      </c>
      <c r="I52" s="478" t="s">
        <v>219</v>
      </c>
      <c r="J52" s="469" t="s">
        <v>63</v>
      </c>
      <c r="K52" s="822"/>
      <c r="L52" s="476">
        <v>45741</v>
      </c>
      <c r="M52" s="469" t="s">
        <v>57</v>
      </c>
      <c r="N52" s="543">
        <v>17203.45</v>
      </c>
      <c r="O52" s="469" t="s">
        <v>57</v>
      </c>
      <c r="P52" s="968" t="s">
        <v>86</v>
      </c>
      <c r="Q52" s="479">
        <v>45742</v>
      </c>
      <c r="R52" s="479"/>
      <c r="S52" s="479"/>
      <c r="T52" s="479"/>
      <c r="U52" s="479"/>
      <c r="V52" s="41">
        <v>1157</v>
      </c>
      <c r="W52" s="625">
        <v>1181</v>
      </c>
      <c r="X52" s="472">
        <f>SUM(V52-W52)</f>
        <v>-24</v>
      </c>
      <c r="Y52" s="660">
        <f>IFERROR($W52/$V52, 0)</f>
        <v>1.0207433016421781</v>
      </c>
      <c r="Z52" s="479">
        <v>45925</v>
      </c>
      <c r="AA52" s="355">
        <v>0</v>
      </c>
      <c r="AB52" s="355">
        <v>0</v>
      </c>
      <c r="AC52" s="643">
        <v>0</v>
      </c>
      <c r="AD52" s="485" t="s">
        <v>518</v>
      </c>
    </row>
    <row r="53" spans="1:30" ht="39.75" customHeight="1">
      <c r="A53" s="1065" t="s">
        <v>519</v>
      </c>
      <c r="B53" s="785" t="s">
        <v>50</v>
      </c>
      <c r="C53" s="883">
        <v>45991</v>
      </c>
      <c r="D53" s="1080" t="s">
        <v>84</v>
      </c>
      <c r="E53" s="57">
        <v>45779</v>
      </c>
      <c r="F53" s="768" t="s">
        <v>68</v>
      </c>
      <c r="G53" s="786" t="s">
        <v>520</v>
      </c>
      <c r="H53" s="772">
        <v>0</v>
      </c>
      <c r="I53" s="478" t="s">
        <v>219</v>
      </c>
      <c r="J53" s="469" t="s">
        <v>63</v>
      </c>
      <c r="K53" s="899"/>
      <c r="L53" s="51">
        <v>45742</v>
      </c>
      <c r="M53" s="905" t="s">
        <v>57</v>
      </c>
      <c r="N53" s="1070">
        <v>23800.25</v>
      </c>
      <c r="O53" s="376" t="s">
        <v>57</v>
      </c>
      <c r="P53" s="1062" t="s">
        <v>86</v>
      </c>
      <c r="Q53" s="54">
        <v>45743</v>
      </c>
      <c r="R53" s="195"/>
      <c r="S53" s="54"/>
      <c r="T53" s="54"/>
      <c r="U53" s="54"/>
      <c r="V53" s="31">
        <v>1697</v>
      </c>
      <c r="W53" s="1004">
        <v>1815</v>
      </c>
      <c r="X53" s="472">
        <f t="shared" si="13"/>
        <v>-118</v>
      </c>
      <c r="Y53" s="857">
        <f t="shared" si="12"/>
        <v>1.0695344725987035</v>
      </c>
      <c r="Z53" s="54">
        <v>45791</v>
      </c>
      <c r="AA53" s="599">
        <v>1</v>
      </c>
      <c r="AB53" s="599">
        <v>0</v>
      </c>
      <c r="AC53" s="1082">
        <v>0</v>
      </c>
      <c r="AD53" s="1018" t="s">
        <v>521</v>
      </c>
    </row>
    <row r="54" spans="1:30" ht="39.75" customHeight="1">
      <c r="A54" s="1266" t="s">
        <v>522</v>
      </c>
      <c r="B54" s="820" t="s">
        <v>50</v>
      </c>
      <c r="C54" s="1194">
        <v>46218</v>
      </c>
      <c r="D54" s="1194" t="s">
        <v>523</v>
      </c>
      <c r="E54" s="51" t="s">
        <v>52</v>
      </c>
      <c r="F54" s="1215" t="s">
        <v>68</v>
      </c>
      <c r="G54" s="1215" t="s">
        <v>524</v>
      </c>
      <c r="H54" s="1216">
        <v>380</v>
      </c>
      <c r="I54" s="659" t="s">
        <v>219</v>
      </c>
      <c r="J54" s="1196" t="s">
        <v>56</v>
      </c>
      <c r="K54" s="1240"/>
      <c r="L54" s="1214">
        <v>45964</v>
      </c>
      <c r="M54" s="1216" t="s">
        <v>57</v>
      </c>
      <c r="N54" s="1227">
        <v>117414</v>
      </c>
      <c r="O54" s="1216" t="s">
        <v>57</v>
      </c>
      <c r="P54" s="1267" t="s">
        <v>86</v>
      </c>
      <c r="Q54" s="1219">
        <v>45964</v>
      </c>
      <c r="R54" s="1219"/>
      <c r="S54" s="1219"/>
      <c r="T54" s="1219"/>
      <c r="U54" s="1219"/>
      <c r="V54" s="1220">
        <v>9181</v>
      </c>
      <c r="W54" s="1268">
        <v>9179</v>
      </c>
      <c r="X54" s="1200">
        <f>SUM(V54-W54)</f>
        <v>2</v>
      </c>
      <c r="Y54" s="858">
        <f t="shared" si="12"/>
        <v>0.99978215880623023</v>
      </c>
      <c r="Z54" s="1199">
        <v>45992</v>
      </c>
      <c r="AA54" s="1202">
        <v>1</v>
      </c>
      <c r="AB54" s="1202">
        <v>0</v>
      </c>
      <c r="AC54" s="643">
        <v>0</v>
      </c>
      <c r="AD54" s="1234" t="s">
        <v>525</v>
      </c>
    </row>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5:K36 K38 K41:K49 K1:K5 K52:K54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4" xr:uid="{FAE40925-7EC8-4626-B635-D815FEB73FF5}">
      <formula1>"On Track, In Jeopardy, Completed on Track, Completed, Completed -Missed TSD"</formula1>
    </dataValidation>
    <dataValidation type="list" allowBlank="1" showInputMessage="1" showErrorMessage="1" sqref="J6 J2:J4 J8:J13 J15 J18:J54" xr:uid="{ECCD296E-320E-42DF-8A21-19E7E0361B1B}">
      <formula1>"Received, Pending, Not Required"</formula1>
    </dataValidation>
    <dataValidation allowBlank="1" showInputMessage="1" showErrorMessage="1" sqref="L35:L36 L38 D29 Q38:T38 L40:L49 D53 E54 Q40:T49 Q35:T36 L52:L54 Q53:U54 Q1:U28 L1:L28 R30:U31 U32 U43:U46 U48:U49 D32:D51 L30:L33 Q30:Q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1"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207</v>
      </c>
      <c r="C2" s="467">
        <v>45960</v>
      </c>
      <c r="D2" s="467" t="s">
        <v>222</v>
      </c>
      <c r="E2" s="467">
        <v>45852</v>
      </c>
      <c r="F2" s="640" t="s">
        <v>223</v>
      </c>
      <c r="G2" s="680" t="s">
        <v>527</v>
      </c>
      <c r="H2" s="469">
        <v>0</v>
      </c>
      <c r="I2" s="469" t="s">
        <v>219</v>
      </c>
      <c r="J2" s="469" t="s">
        <v>63</v>
      </c>
      <c r="K2" s="469"/>
      <c r="L2" s="467">
        <v>45852</v>
      </c>
      <c r="M2" s="469" t="s">
        <v>57</v>
      </c>
      <c r="N2" s="542">
        <v>42837.2</v>
      </c>
      <c r="O2" s="469" t="s">
        <v>57</v>
      </c>
      <c r="P2" s="803" t="s">
        <v>86</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207</v>
      </c>
      <c r="C3" s="467">
        <v>45868</v>
      </c>
      <c r="D3" s="475" t="s">
        <v>530</v>
      </c>
      <c r="E3" s="476">
        <v>45716</v>
      </c>
      <c r="F3" s="475" t="s">
        <v>223</v>
      </c>
      <c r="G3" s="595" t="s">
        <v>531</v>
      </c>
      <c r="H3" s="478">
        <v>0</v>
      </c>
      <c r="I3" s="483" t="s">
        <v>219</v>
      </c>
      <c r="J3" s="478" t="s">
        <v>63</v>
      </c>
      <c r="K3" s="487"/>
      <c r="L3" s="467">
        <v>45716</v>
      </c>
      <c r="M3" s="478" t="s">
        <v>57</v>
      </c>
      <c r="N3" s="543">
        <v>64932.55</v>
      </c>
      <c r="O3" s="478" t="s">
        <v>57</v>
      </c>
      <c r="P3" s="803" t="s">
        <v>86</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34" t="s">
        <v>207</v>
      </c>
      <c r="C4" s="903">
        <v>45999</v>
      </c>
      <c r="D4" s="907" t="s">
        <v>84</v>
      </c>
      <c r="E4" s="979">
        <v>45975</v>
      </c>
      <c r="F4" s="907" t="s">
        <v>208</v>
      </c>
      <c r="G4" s="984" t="s">
        <v>533</v>
      </c>
      <c r="H4" s="971">
        <v>0</v>
      </c>
      <c r="I4" s="906" t="s">
        <v>219</v>
      </c>
      <c r="J4" s="905" t="s">
        <v>63</v>
      </c>
      <c r="K4" s="905"/>
      <c r="L4" s="51">
        <v>45960</v>
      </c>
      <c r="M4" s="1435" t="s">
        <v>57</v>
      </c>
      <c r="N4" s="981">
        <v>4911.8999999999996</v>
      </c>
      <c r="O4" s="971" t="s">
        <v>57</v>
      </c>
      <c r="P4" s="909" t="s">
        <v>86</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207</v>
      </c>
      <c r="C5" s="467">
        <v>45991</v>
      </c>
      <c r="D5" s="476" t="s">
        <v>402</v>
      </c>
      <c r="E5" s="428">
        <v>45707</v>
      </c>
      <c r="F5" s="475" t="s">
        <v>223</v>
      </c>
      <c r="G5" s="492" t="s">
        <v>536</v>
      </c>
      <c r="H5" s="483">
        <v>0</v>
      </c>
      <c r="I5" s="483" t="s">
        <v>219</v>
      </c>
      <c r="J5" s="483" t="s">
        <v>63</v>
      </c>
      <c r="K5" s="483"/>
      <c r="L5" s="476">
        <v>45708</v>
      </c>
      <c r="M5" s="483" t="s">
        <v>57</v>
      </c>
      <c r="N5" s="544">
        <v>87944.4</v>
      </c>
      <c r="O5" s="483" t="s">
        <v>57</v>
      </c>
      <c r="P5" s="803" t="s">
        <v>86</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207</v>
      </c>
      <c r="C6" s="476">
        <v>45807</v>
      </c>
      <c r="D6" s="465" t="s">
        <v>530</v>
      </c>
      <c r="E6" s="475" t="s">
        <v>52</v>
      </c>
      <c r="F6" s="465" t="s">
        <v>223</v>
      </c>
      <c r="G6" s="821" t="s">
        <v>539</v>
      </c>
      <c r="H6" s="469">
        <v>84</v>
      </c>
      <c r="I6" s="825" t="s">
        <v>219</v>
      </c>
      <c r="J6" s="478" t="s">
        <v>63</v>
      </c>
      <c r="K6" s="840"/>
      <c r="L6" s="467">
        <v>45716</v>
      </c>
      <c r="M6" s="478" t="s">
        <v>57</v>
      </c>
      <c r="N6" s="542">
        <v>2812.95</v>
      </c>
      <c r="O6" s="478" t="s">
        <v>57</v>
      </c>
      <c r="P6" s="803" t="s">
        <v>86</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207</v>
      </c>
      <c r="C7" s="467">
        <v>45991</v>
      </c>
      <c r="D7" s="475" t="s">
        <v>402</v>
      </c>
      <c r="E7" s="476">
        <v>45866</v>
      </c>
      <c r="F7" s="475" t="s">
        <v>223</v>
      </c>
      <c r="G7" s="477" t="s">
        <v>541</v>
      </c>
      <c r="H7" s="478">
        <v>0</v>
      </c>
      <c r="I7" s="483" t="s">
        <v>219</v>
      </c>
      <c r="J7" s="478" t="s">
        <v>63</v>
      </c>
      <c r="K7" s="487"/>
      <c r="L7" s="476">
        <v>45863</v>
      </c>
      <c r="M7" s="478" t="s">
        <v>57</v>
      </c>
      <c r="N7" s="543">
        <v>143407.25</v>
      </c>
      <c r="O7" s="478" t="s">
        <v>57</v>
      </c>
      <c r="P7" s="803" t="s">
        <v>86</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207</v>
      </c>
      <c r="C8" s="467">
        <v>45991</v>
      </c>
      <c r="D8" s="475" t="s">
        <v>84</v>
      </c>
      <c r="E8" s="476">
        <v>45880</v>
      </c>
      <c r="F8" s="475" t="s">
        <v>208</v>
      </c>
      <c r="G8" s="477" t="s">
        <v>543</v>
      </c>
      <c r="H8" s="478">
        <v>0</v>
      </c>
      <c r="I8" s="483" t="s">
        <v>219</v>
      </c>
      <c r="J8" s="478" t="s">
        <v>63</v>
      </c>
      <c r="K8" s="487"/>
      <c r="L8" s="476">
        <v>45881</v>
      </c>
      <c r="M8" s="478" t="s">
        <v>57</v>
      </c>
      <c r="N8" s="543">
        <v>4815.6499999999996</v>
      </c>
      <c r="O8" s="478" t="s">
        <v>57</v>
      </c>
      <c r="P8" s="803" t="s">
        <v>86</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207</v>
      </c>
      <c r="C9" s="831">
        <v>45955</v>
      </c>
      <c r="D9" s="832" t="s">
        <v>129</v>
      </c>
      <c r="E9" s="832">
        <v>45919</v>
      </c>
      <c r="F9" s="832" t="s">
        <v>234</v>
      </c>
      <c r="G9" s="833" t="s">
        <v>546</v>
      </c>
      <c r="H9" s="393">
        <v>0</v>
      </c>
      <c r="I9" s="834" t="s">
        <v>219</v>
      </c>
      <c r="J9" s="393" t="s">
        <v>63</v>
      </c>
      <c r="K9" s="393"/>
      <c r="L9" s="832" t="s">
        <v>52</v>
      </c>
      <c r="M9" s="393" t="s">
        <v>57</v>
      </c>
      <c r="N9" s="835">
        <v>4646.75</v>
      </c>
      <c r="O9" s="393" t="s">
        <v>92</v>
      </c>
      <c r="P9" s="909" t="s">
        <v>86</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109</v>
      </c>
      <c r="C10" s="476">
        <v>45960</v>
      </c>
      <c r="D10" s="467" t="s">
        <v>84</v>
      </c>
      <c r="E10" s="476">
        <v>45918</v>
      </c>
      <c r="F10" s="465" t="s">
        <v>110</v>
      </c>
      <c r="G10" s="50" t="s">
        <v>548</v>
      </c>
      <c r="H10" s="990">
        <v>0</v>
      </c>
      <c r="I10" s="659" t="s">
        <v>219</v>
      </c>
      <c r="J10" s="469" t="s">
        <v>63</v>
      </c>
      <c r="K10" s="469"/>
      <c r="L10" s="476">
        <v>45918</v>
      </c>
      <c r="M10" s="478" t="s">
        <v>57</v>
      </c>
      <c r="N10" s="543">
        <v>9611.9500000000007</v>
      </c>
      <c r="O10" s="478" t="s">
        <v>57</v>
      </c>
      <c r="P10" s="803" t="s">
        <v>86</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63" t="s">
        <v>550</v>
      </c>
      <c r="B11" s="1195" t="s">
        <v>109</v>
      </c>
      <c r="C11" s="1194">
        <v>46021</v>
      </c>
      <c r="D11" s="1194" t="s">
        <v>129</v>
      </c>
      <c r="E11" s="1194">
        <v>46001</v>
      </c>
      <c r="F11" s="1195" t="s">
        <v>142</v>
      </c>
      <c r="G11" s="1195"/>
      <c r="H11" s="1196">
        <v>49</v>
      </c>
      <c r="I11" s="659" t="s">
        <v>219</v>
      </c>
      <c r="J11" s="1196" t="s">
        <v>63</v>
      </c>
      <c r="K11" s="1196"/>
      <c r="L11" s="1194">
        <v>45994</v>
      </c>
      <c r="M11" s="1216" t="s">
        <v>57</v>
      </c>
      <c r="N11" s="1197">
        <v>42150</v>
      </c>
      <c r="O11" s="1216" t="s">
        <v>57</v>
      </c>
      <c r="P11" s="1364" t="s">
        <v>86</v>
      </c>
      <c r="Q11" s="1199">
        <v>45994</v>
      </c>
      <c r="R11" s="1199"/>
      <c r="S11" s="1199"/>
      <c r="T11" s="1199"/>
      <c r="U11" s="486" t="s">
        <v>528</v>
      </c>
      <c r="V11" s="784">
        <v>3885</v>
      </c>
      <c r="W11" s="1362">
        <v>3910</v>
      </c>
      <c r="X11" s="1200">
        <f>SUM(V11-W11)</f>
        <v>-25</v>
      </c>
      <c r="Y11" s="660">
        <f t="shared" si="7"/>
        <v>1.0064350064350065</v>
      </c>
      <c r="Z11" s="1219">
        <v>46006</v>
      </c>
      <c r="AA11" s="1202">
        <v>1</v>
      </c>
      <c r="AB11" s="355">
        <v>1</v>
      </c>
      <c r="AC11" s="643">
        <v>0</v>
      </c>
      <c r="AD11" s="1203" t="s">
        <v>551</v>
      </c>
    </row>
    <row r="12" spans="1:30" ht="39.75" customHeight="1">
      <c r="A12" s="842" t="s">
        <v>552</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109</v>
      </c>
      <c r="C13" s="476">
        <v>45930</v>
      </c>
      <c r="D13" s="467" t="s">
        <v>129</v>
      </c>
      <c r="E13" s="467">
        <v>45896</v>
      </c>
      <c r="F13" s="465" t="s">
        <v>163</v>
      </c>
      <c r="G13" s="465" t="s">
        <v>555</v>
      </c>
      <c r="H13" s="469">
        <v>66</v>
      </c>
      <c r="I13" s="469" t="s">
        <v>219</v>
      </c>
      <c r="J13" s="469" t="s">
        <v>63</v>
      </c>
      <c r="K13" s="469"/>
      <c r="L13" s="467">
        <v>45897</v>
      </c>
      <c r="M13" s="469" t="s">
        <v>57</v>
      </c>
      <c r="N13" s="542">
        <v>44896.1</v>
      </c>
      <c r="O13" s="469" t="s">
        <v>57</v>
      </c>
      <c r="P13" s="803" t="s">
        <v>86</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109</v>
      </c>
      <c r="C14" s="476">
        <v>45930</v>
      </c>
      <c r="D14" s="467" t="s">
        <v>129</v>
      </c>
      <c r="E14" s="640">
        <v>45910</v>
      </c>
      <c r="F14" s="465" t="s">
        <v>110</v>
      </c>
      <c r="G14" s="465" t="s">
        <v>558</v>
      </c>
      <c r="H14" s="469">
        <v>80</v>
      </c>
      <c r="I14" s="469" t="s">
        <v>219</v>
      </c>
      <c r="J14" s="469" t="s">
        <v>63</v>
      </c>
      <c r="K14" s="469"/>
      <c r="L14" s="467">
        <v>45903</v>
      </c>
      <c r="M14" s="469" t="s">
        <v>57</v>
      </c>
      <c r="N14" s="542">
        <v>59116.7</v>
      </c>
      <c r="O14" s="469" t="s">
        <v>57</v>
      </c>
      <c r="P14" s="803" t="s">
        <v>86</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63" t="s">
        <v>560</v>
      </c>
      <c r="B15" s="1195" t="s">
        <v>109</v>
      </c>
      <c r="C15" s="1194">
        <v>46010</v>
      </c>
      <c r="D15" s="1194" t="s">
        <v>141</v>
      </c>
      <c r="E15" s="1194">
        <v>45974</v>
      </c>
      <c r="F15" s="1195" t="s">
        <v>110</v>
      </c>
      <c r="G15" s="1195" t="s">
        <v>561</v>
      </c>
      <c r="H15" s="1196">
        <v>67</v>
      </c>
      <c r="I15" s="659" t="s">
        <v>219</v>
      </c>
      <c r="J15" s="1196" t="s">
        <v>63</v>
      </c>
      <c r="K15" s="1196"/>
      <c r="L15" s="1194">
        <v>45936</v>
      </c>
      <c r="M15" s="1196" t="s">
        <v>57</v>
      </c>
      <c r="N15" s="1197">
        <v>38192</v>
      </c>
      <c r="O15" s="1196" t="s">
        <v>57</v>
      </c>
      <c r="P15" s="1364" t="s">
        <v>86</v>
      </c>
      <c r="Q15" s="1199">
        <v>45936</v>
      </c>
      <c r="R15" s="1245"/>
      <c r="S15" s="1245"/>
      <c r="T15" s="1245"/>
      <c r="U15" s="486" t="s">
        <v>528</v>
      </c>
      <c r="V15" s="1200">
        <v>2845</v>
      </c>
      <c r="W15" s="1362">
        <v>2825</v>
      </c>
      <c r="X15" s="1200">
        <f t="shared" si="6"/>
        <v>20</v>
      </c>
      <c r="Y15" s="660">
        <f t="shared" si="7"/>
        <v>0.99297012302284715</v>
      </c>
      <c r="Z15" s="1219">
        <v>46002</v>
      </c>
      <c r="AA15" s="1202">
        <v>1</v>
      </c>
      <c r="AB15" s="355">
        <v>1</v>
      </c>
      <c r="AC15" s="643">
        <v>0</v>
      </c>
      <c r="AD15" s="1203" t="s">
        <v>562</v>
      </c>
    </row>
    <row r="16" spans="1:30" ht="39.75" customHeight="1">
      <c r="A16" s="839" t="s">
        <v>563</v>
      </c>
      <c r="B16" s="465" t="s">
        <v>109</v>
      </c>
      <c r="C16" s="476">
        <v>45930</v>
      </c>
      <c r="D16" s="467" t="s">
        <v>129</v>
      </c>
      <c r="E16" s="640">
        <v>45910</v>
      </c>
      <c r="F16" s="640" t="s">
        <v>163</v>
      </c>
      <c r="G16" s="680" t="s">
        <v>564</v>
      </c>
      <c r="H16" s="469">
        <v>67</v>
      </c>
      <c r="I16" s="659" t="s">
        <v>219</v>
      </c>
      <c r="J16" s="469" t="s">
        <v>63</v>
      </c>
      <c r="K16" s="469"/>
      <c r="L16" s="467">
        <v>45903</v>
      </c>
      <c r="M16" s="469" t="s">
        <v>57</v>
      </c>
      <c r="N16" s="542">
        <v>40406</v>
      </c>
      <c r="O16" s="469" t="s">
        <v>57</v>
      </c>
      <c r="P16" s="803" t="s">
        <v>86</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63" t="s">
        <v>566</v>
      </c>
      <c r="B17" s="1195" t="s">
        <v>109</v>
      </c>
      <c r="C17" s="1194">
        <v>46010</v>
      </c>
      <c r="D17" s="1194" t="s">
        <v>141</v>
      </c>
      <c r="E17" s="1194">
        <v>45974</v>
      </c>
      <c r="F17" s="1195" t="s">
        <v>110</v>
      </c>
      <c r="G17" s="1195" t="s">
        <v>567</v>
      </c>
      <c r="H17" s="1196">
        <v>68</v>
      </c>
      <c r="I17" s="659" t="s">
        <v>219</v>
      </c>
      <c r="J17" s="1196" t="s">
        <v>63</v>
      </c>
      <c r="K17" s="1196"/>
      <c r="L17" s="1194">
        <v>45936</v>
      </c>
      <c r="M17" s="1196" t="s">
        <v>57</v>
      </c>
      <c r="N17" s="1197">
        <v>37755.599999999999</v>
      </c>
      <c r="O17" s="1196" t="s">
        <v>57</v>
      </c>
      <c r="P17" s="1364" t="s">
        <v>86</v>
      </c>
      <c r="Q17" s="1199">
        <v>45936</v>
      </c>
      <c r="R17" s="1245"/>
      <c r="S17" s="1245"/>
      <c r="T17" s="1245"/>
      <c r="U17" s="486" t="s">
        <v>528</v>
      </c>
      <c r="V17" s="1200">
        <v>2584</v>
      </c>
      <c r="W17" s="1362">
        <v>2584</v>
      </c>
      <c r="X17" s="1200">
        <f t="shared" si="6"/>
        <v>0</v>
      </c>
      <c r="Y17" s="660">
        <f t="shared" si="7"/>
        <v>1</v>
      </c>
      <c r="Z17" s="1219">
        <v>46000</v>
      </c>
      <c r="AA17" s="1202">
        <v>1</v>
      </c>
      <c r="AB17" s="355">
        <v>1</v>
      </c>
      <c r="AC17" s="643">
        <v>0</v>
      </c>
      <c r="AD17" s="1203" t="s">
        <v>568</v>
      </c>
    </row>
    <row r="18" spans="1:30" ht="39.75" customHeight="1">
      <c r="A18" s="1363" t="s">
        <v>569</v>
      </c>
      <c r="B18" s="1195" t="s">
        <v>109</v>
      </c>
      <c r="C18" s="1194">
        <v>46010</v>
      </c>
      <c r="D18" s="1194" t="s">
        <v>141</v>
      </c>
      <c r="E18" s="1194">
        <v>45974</v>
      </c>
      <c r="F18" s="1195" t="s">
        <v>110</v>
      </c>
      <c r="G18" s="1195" t="s">
        <v>570</v>
      </c>
      <c r="H18" s="1196">
        <v>28</v>
      </c>
      <c r="I18" s="659" t="s">
        <v>219</v>
      </c>
      <c r="J18" s="1196" t="s">
        <v>63</v>
      </c>
      <c r="K18" s="1196"/>
      <c r="L18" s="1194">
        <v>45972</v>
      </c>
      <c r="M18" s="1196" t="s">
        <v>57</v>
      </c>
      <c r="N18" s="1197">
        <v>27615.5</v>
      </c>
      <c r="O18" s="1196" t="s">
        <v>57</v>
      </c>
      <c r="P18" s="1364" t="s">
        <v>86</v>
      </c>
      <c r="Q18" s="1246">
        <v>45979</v>
      </c>
      <c r="R18" s="1247"/>
      <c r="S18" s="1245"/>
      <c r="T18" s="1245"/>
      <c r="U18" s="486" t="s">
        <v>528</v>
      </c>
      <c r="V18" s="1200">
        <v>2027</v>
      </c>
      <c r="W18" s="1362">
        <v>2146</v>
      </c>
      <c r="X18" s="1200">
        <f t="shared" si="6"/>
        <v>-119</v>
      </c>
      <c r="Y18" s="858">
        <f t="shared" si="7"/>
        <v>1.0587074494326592</v>
      </c>
      <c r="Z18" s="1199">
        <v>45994</v>
      </c>
      <c r="AA18" s="1202">
        <v>1</v>
      </c>
      <c r="AB18" s="355">
        <v>1</v>
      </c>
      <c r="AC18" s="643">
        <v>0</v>
      </c>
      <c r="AD18" s="1203" t="s">
        <v>571</v>
      </c>
    </row>
    <row r="19" spans="1:30" ht="39.75" customHeight="1">
      <c r="A19" s="1363" t="s">
        <v>572</v>
      </c>
      <c r="B19" s="1195" t="s">
        <v>109</v>
      </c>
      <c r="C19" s="1194">
        <v>46006</v>
      </c>
      <c r="D19" s="1194" t="s">
        <v>129</v>
      </c>
      <c r="E19" s="1194">
        <v>45999</v>
      </c>
      <c r="F19" s="1195" t="s">
        <v>110</v>
      </c>
      <c r="G19" s="1195" t="s">
        <v>573</v>
      </c>
      <c r="H19" s="1196">
        <v>87</v>
      </c>
      <c r="I19" s="659" t="s">
        <v>219</v>
      </c>
      <c r="J19" s="1196" t="s">
        <v>63</v>
      </c>
      <c r="K19" s="469"/>
      <c r="L19" s="1194">
        <v>45999</v>
      </c>
      <c r="M19" s="1196" t="s">
        <v>57</v>
      </c>
      <c r="N19" s="1197">
        <v>74384</v>
      </c>
      <c r="O19" s="1196" t="s">
        <v>57</v>
      </c>
      <c r="P19" s="1364" t="s">
        <v>86</v>
      </c>
      <c r="Q19" s="1246">
        <v>45999</v>
      </c>
      <c r="R19" s="550"/>
      <c r="S19" s="550"/>
      <c r="T19" s="550"/>
      <c r="U19" s="486" t="s">
        <v>528</v>
      </c>
      <c r="V19" s="1200">
        <v>6130</v>
      </c>
      <c r="W19" s="1362">
        <v>5915</v>
      </c>
      <c r="X19" s="1200">
        <f t="shared" si="6"/>
        <v>215</v>
      </c>
      <c r="Y19" s="660">
        <f t="shared" si="7"/>
        <v>0.96492659053833607</v>
      </c>
      <c r="Z19" s="1219">
        <v>46006</v>
      </c>
      <c r="AA19" s="1202">
        <v>1</v>
      </c>
      <c r="AB19" s="1202">
        <v>1</v>
      </c>
      <c r="AC19" s="643">
        <v>0</v>
      </c>
      <c r="AD19" s="1203" t="s">
        <v>574</v>
      </c>
    </row>
    <row r="20" spans="1:30" ht="39.75" customHeight="1">
      <c r="A20" s="923" t="s">
        <v>575</v>
      </c>
      <c r="B20" s="465" t="s">
        <v>109</v>
      </c>
      <c r="C20" s="467">
        <v>46006</v>
      </c>
      <c r="D20" s="467" t="s">
        <v>129</v>
      </c>
      <c r="E20" s="467">
        <v>45979</v>
      </c>
      <c r="F20" s="465" t="s">
        <v>163</v>
      </c>
      <c r="G20" s="680" t="s">
        <v>576</v>
      </c>
      <c r="H20" s="469">
        <v>28</v>
      </c>
      <c r="I20" s="659" t="s">
        <v>219</v>
      </c>
      <c r="J20" s="469" t="s">
        <v>63</v>
      </c>
      <c r="K20" s="469"/>
      <c r="L20" s="467">
        <v>45979</v>
      </c>
      <c r="M20" s="469" t="s">
        <v>57</v>
      </c>
      <c r="N20" s="542">
        <v>29683</v>
      </c>
      <c r="O20" s="469" t="s">
        <v>57</v>
      </c>
      <c r="P20" s="803" t="s">
        <v>86</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32"/>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109</v>
      </c>
      <c r="C29" s="467">
        <v>45991</v>
      </c>
      <c r="D29" s="467" t="s">
        <v>129</v>
      </c>
      <c r="E29" s="467">
        <v>45966</v>
      </c>
      <c r="F29" s="465" t="s">
        <v>110</v>
      </c>
      <c r="G29" s="468" t="s">
        <v>595</v>
      </c>
      <c r="H29" s="469">
        <v>69</v>
      </c>
      <c r="I29" s="659" t="s">
        <v>219</v>
      </c>
      <c r="J29" s="469" t="s">
        <v>63</v>
      </c>
      <c r="K29" s="469"/>
      <c r="L29" s="467">
        <v>45969</v>
      </c>
      <c r="M29" s="469" t="s">
        <v>57</v>
      </c>
      <c r="N29" s="542">
        <v>75672.100000000006</v>
      </c>
      <c r="O29" s="469" t="s">
        <v>57</v>
      </c>
      <c r="P29" s="1143" t="s">
        <v>86</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109</v>
      </c>
      <c r="C30" s="467">
        <v>46001</v>
      </c>
      <c r="D30" s="467" t="s">
        <v>129</v>
      </c>
      <c r="E30" s="467">
        <v>45966</v>
      </c>
      <c r="F30" s="465" t="s">
        <v>110</v>
      </c>
      <c r="G30" s="680" t="s">
        <v>598</v>
      </c>
      <c r="H30" s="469">
        <v>88</v>
      </c>
      <c r="I30" s="659" t="s">
        <v>219</v>
      </c>
      <c r="J30" s="469" t="s">
        <v>63</v>
      </c>
      <c r="K30" s="469"/>
      <c r="L30" s="467">
        <v>45967</v>
      </c>
      <c r="M30" s="469" t="s">
        <v>57</v>
      </c>
      <c r="N30" s="542">
        <v>76565.850000000006</v>
      </c>
      <c r="O30" s="469" t="s">
        <v>57</v>
      </c>
      <c r="P30" s="1143" t="s">
        <v>86</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109</v>
      </c>
      <c r="C31" s="467">
        <v>45991</v>
      </c>
      <c r="D31" s="467" t="s">
        <v>129</v>
      </c>
      <c r="E31" s="467">
        <v>45966</v>
      </c>
      <c r="F31" s="465" t="s">
        <v>142</v>
      </c>
      <c r="G31" s="680" t="s">
        <v>601</v>
      </c>
      <c r="H31" s="469">
        <v>75</v>
      </c>
      <c r="I31" s="659" t="s">
        <v>219</v>
      </c>
      <c r="J31" s="469" t="s">
        <v>63</v>
      </c>
      <c r="K31" s="469"/>
      <c r="L31" s="467">
        <v>45967</v>
      </c>
      <c r="M31" s="469" t="s">
        <v>57</v>
      </c>
      <c r="N31" s="542">
        <v>60620</v>
      </c>
      <c r="O31" s="469" t="s">
        <v>57</v>
      </c>
      <c r="P31" s="1414" t="s">
        <v>86</v>
      </c>
      <c r="Q31" s="347">
        <v>45967</v>
      </c>
      <c r="R31" s="1332"/>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63" t="s">
        <v>603</v>
      </c>
      <c r="B32" s="1195" t="s">
        <v>109</v>
      </c>
      <c r="C32" s="1194">
        <v>46001</v>
      </c>
      <c r="D32" s="1194" t="s">
        <v>129</v>
      </c>
      <c r="E32" s="1194">
        <v>46009</v>
      </c>
      <c r="F32" s="1195" t="s">
        <v>110</v>
      </c>
      <c r="G32" s="1195" t="s">
        <v>604</v>
      </c>
      <c r="H32" s="1196">
        <v>48</v>
      </c>
      <c r="I32" s="659" t="s">
        <v>219</v>
      </c>
      <c r="J32" s="1196" t="s">
        <v>63</v>
      </c>
      <c r="K32" s="1196"/>
      <c r="L32" s="1194">
        <v>45965</v>
      </c>
      <c r="M32" s="1196" t="s">
        <v>57</v>
      </c>
      <c r="N32" s="1197">
        <v>18021.7</v>
      </c>
      <c r="O32" s="1196" t="s">
        <v>57</v>
      </c>
      <c r="P32" s="1364" t="s">
        <v>86</v>
      </c>
      <c r="Q32" s="1199">
        <v>45965</v>
      </c>
      <c r="R32" s="1245"/>
      <c r="S32" s="1245"/>
      <c r="T32" s="1245"/>
      <c r="U32" s="486" t="s">
        <v>528</v>
      </c>
      <c r="V32" s="1200">
        <v>1111</v>
      </c>
      <c r="W32" s="1362">
        <v>1188</v>
      </c>
      <c r="X32" s="1200">
        <f t="shared" ref="X32:X33" si="12">SUM(V32-W32)</f>
        <v>-77</v>
      </c>
      <c r="Y32" s="660">
        <f t="shared" ref="Y32:Y33" si="13">IFERROR($W32/$V32, 0)</f>
        <v>1.0693069306930694</v>
      </c>
      <c r="Z32" s="1219">
        <v>46020</v>
      </c>
      <c r="AA32" s="355">
        <v>1</v>
      </c>
      <c r="AB32" s="355">
        <v>1</v>
      </c>
      <c r="AC32" s="643">
        <v>0</v>
      </c>
      <c r="AD32" s="1203" t="s">
        <v>605</v>
      </c>
    </row>
    <row r="33" spans="1:30" ht="39.75" customHeight="1">
      <c r="A33" s="1363" t="s">
        <v>606</v>
      </c>
      <c r="B33" s="1195" t="s">
        <v>109</v>
      </c>
      <c r="C33" s="1194">
        <v>46001</v>
      </c>
      <c r="D33" s="1194" t="s">
        <v>129</v>
      </c>
      <c r="E33" s="1194">
        <v>46009</v>
      </c>
      <c r="F33" s="1195" t="s">
        <v>110</v>
      </c>
      <c r="G33" s="1195" t="s">
        <v>607</v>
      </c>
      <c r="H33" s="1196">
        <v>56</v>
      </c>
      <c r="I33" s="659" t="s">
        <v>219</v>
      </c>
      <c r="J33" s="1196" t="s">
        <v>63</v>
      </c>
      <c r="K33" s="1196"/>
      <c r="L33" s="1194">
        <v>45965</v>
      </c>
      <c r="M33" s="1196" t="s">
        <v>57</v>
      </c>
      <c r="N33" s="1197">
        <v>20705</v>
      </c>
      <c r="O33" s="1196" t="s">
        <v>57</v>
      </c>
      <c r="P33" s="1364" t="s">
        <v>86</v>
      </c>
      <c r="Q33" s="1199">
        <v>45965</v>
      </c>
      <c r="R33" s="1245"/>
      <c r="S33" s="1245"/>
      <c r="T33" s="1245"/>
      <c r="U33" s="486" t="s">
        <v>528</v>
      </c>
      <c r="V33" s="1200">
        <v>900</v>
      </c>
      <c r="W33" s="1362">
        <v>900</v>
      </c>
      <c r="X33" s="1200">
        <f t="shared" si="12"/>
        <v>0</v>
      </c>
      <c r="Y33" s="660">
        <f t="shared" si="13"/>
        <v>1</v>
      </c>
      <c r="Z33" s="1219">
        <v>46020</v>
      </c>
      <c r="AA33" s="1202">
        <v>1</v>
      </c>
      <c r="AB33" s="355">
        <v>1</v>
      </c>
      <c r="AC33" s="643">
        <v>0</v>
      </c>
      <c r="AD33" s="1203" t="s">
        <v>608</v>
      </c>
    </row>
    <row r="34" spans="1:30" ht="39.75" customHeight="1">
      <c r="A34" s="850" t="s">
        <v>609</v>
      </c>
      <c r="B34" s="679" t="s">
        <v>109</v>
      </c>
      <c r="C34" s="467">
        <v>45975</v>
      </c>
      <c r="D34" s="467" t="s">
        <v>610</v>
      </c>
      <c r="E34" s="467">
        <v>45982</v>
      </c>
      <c r="F34" s="640" t="s">
        <v>110</v>
      </c>
      <c r="G34" s="680" t="s">
        <v>611</v>
      </c>
      <c r="H34" s="469">
        <v>0</v>
      </c>
      <c r="I34" s="469" t="s">
        <v>219</v>
      </c>
      <c r="J34" s="469" t="s">
        <v>63</v>
      </c>
      <c r="K34" s="469"/>
      <c r="L34" s="467">
        <v>45968</v>
      </c>
      <c r="M34" s="469" t="s">
        <v>57</v>
      </c>
      <c r="N34" s="542">
        <v>12840.7</v>
      </c>
      <c r="O34" s="469" t="s">
        <v>57</v>
      </c>
      <c r="P34" s="803" t="s">
        <v>86</v>
      </c>
      <c r="Q34" s="124">
        <v>45937</v>
      </c>
      <c r="R34" s="347"/>
      <c r="S34" s="471"/>
      <c r="T34" s="193"/>
      <c r="U34" s="87" t="s">
        <v>528</v>
      </c>
      <c r="V34" s="1026">
        <v>911</v>
      </c>
      <c r="W34" s="739">
        <v>974</v>
      </c>
      <c r="X34" s="106">
        <f>SUM(V34-W34)</f>
        <v>-63</v>
      </c>
      <c r="Y34" s="1355">
        <f>IFERROR($W34/$V34, 0)</f>
        <v>1.0691547749725576</v>
      </c>
      <c r="Z34" s="479">
        <v>45985</v>
      </c>
      <c r="AA34" s="355">
        <v>1</v>
      </c>
      <c r="AB34" s="355">
        <v>1</v>
      </c>
      <c r="AC34" s="472">
        <v>0</v>
      </c>
      <c r="AD34" s="754"/>
    </row>
    <row r="35" spans="1:30" ht="39.75" customHeight="1">
      <c r="A35" s="1363" t="s">
        <v>612</v>
      </c>
      <c r="B35" s="1195" t="s">
        <v>109</v>
      </c>
      <c r="C35" s="1194">
        <v>46031</v>
      </c>
      <c r="D35" s="1194" t="s">
        <v>129</v>
      </c>
      <c r="E35" s="1194">
        <v>46002</v>
      </c>
      <c r="F35" s="1195" t="s">
        <v>142</v>
      </c>
      <c r="G35" s="1195" t="s">
        <v>613</v>
      </c>
      <c r="H35" s="1196">
        <v>0</v>
      </c>
      <c r="I35" s="1196" t="s">
        <v>219</v>
      </c>
      <c r="J35" s="1196" t="s">
        <v>63</v>
      </c>
      <c r="K35" s="469"/>
      <c r="L35" s="1194" t="s">
        <v>158</v>
      </c>
      <c r="M35" s="1196" t="s">
        <v>57</v>
      </c>
      <c r="N35" s="1197">
        <v>23475.5</v>
      </c>
      <c r="O35" s="1261" t="s">
        <v>57</v>
      </c>
      <c r="P35" s="1420" t="s">
        <v>86</v>
      </c>
      <c r="Q35" s="1246">
        <v>45999</v>
      </c>
      <c r="R35" s="124"/>
      <c r="S35" s="124"/>
      <c r="T35" s="193"/>
      <c r="U35" s="87" t="s">
        <v>528</v>
      </c>
      <c r="V35" s="1417">
        <v>1890</v>
      </c>
      <c r="W35" s="1413">
        <v>2048</v>
      </c>
      <c r="X35" s="1257">
        <f>SUM(V35-W35)</f>
        <v>-158</v>
      </c>
      <c r="Y35" s="1355">
        <f t="shared" si="7"/>
        <v>1.0835978835978837</v>
      </c>
      <c r="Z35" s="1219">
        <v>46009</v>
      </c>
      <c r="AA35" s="1202">
        <v>1</v>
      </c>
      <c r="AB35" s="355">
        <v>1</v>
      </c>
      <c r="AC35" s="643">
        <v>0</v>
      </c>
      <c r="AD35" s="1203" t="s">
        <v>614</v>
      </c>
    </row>
    <row r="36" spans="1:30" ht="39.75" customHeight="1">
      <c r="A36" s="1363" t="s">
        <v>615</v>
      </c>
      <c r="B36" s="1195" t="s">
        <v>109</v>
      </c>
      <c r="C36" s="1194">
        <v>46003</v>
      </c>
      <c r="D36" s="1194" t="s">
        <v>129</v>
      </c>
      <c r="E36" s="1194">
        <v>46002</v>
      </c>
      <c r="F36" s="1195" t="s">
        <v>142</v>
      </c>
      <c r="G36" s="1195"/>
      <c r="H36" s="1196">
        <v>0</v>
      </c>
      <c r="I36" s="1196" t="s">
        <v>219</v>
      </c>
      <c r="J36" s="1196" t="s">
        <v>63</v>
      </c>
      <c r="K36" s="1196"/>
      <c r="L36" s="1194" t="s">
        <v>158</v>
      </c>
      <c r="M36" s="1196" t="s">
        <v>57</v>
      </c>
      <c r="N36" s="1197">
        <v>11500.3</v>
      </c>
      <c r="O36" s="1261" t="s">
        <v>57</v>
      </c>
      <c r="P36" s="1420" t="s">
        <v>86</v>
      </c>
      <c r="Q36" s="1246">
        <v>45994</v>
      </c>
      <c r="R36" s="1246"/>
      <c r="S36" s="1246"/>
      <c r="T36" s="1422"/>
      <c r="U36" s="1094" t="s">
        <v>528</v>
      </c>
      <c r="V36" s="1124">
        <v>908</v>
      </c>
      <c r="W36" s="1418">
        <v>925</v>
      </c>
      <c r="X36" s="1356">
        <f>SUM(V36-W36)</f>
        <v>-17</v>
      </c>
      <c r="Y36" s="660">
        <f t="shared" si="7"/>
        <v>1.0187224669603525</v>
      </c>
      <c r="Z36" s="1219">
        <v>46013</v>
      </c>
      <c r="AA36" s="1202">
        <v>1</v>
      </c>
      <c r="AB36" s="355">
        <v>1</v>
      </c>
      <c r="AC36" s="643">
        <v>0</v>
      </c>
      <c r="AD36" s="1203" t="s">
        <v>616</v>
      </c>
    </row>
    <row r="37" spans="1:30" ht="39.75" customHeight="1">
      <c r="A37" s="923" t="s">
        <v>617</v>
      </c>
      <c r="B37" s="465" t="s">
        <v>109</v>
      </c>
      <c r="C37" s="476">
        <v>45991</v>
      </c>
      <c r="D37" s="467" t="s">
        <v>202</v>
      </c>
      <c r="E37" s="467">
        <v>45953</v>
      </c>
      <c r="F37" s="465" t="s">
        <v>142</v>
      </c>
      <c r="G37" s="680" t="s">
        <v>618</v>
      </c>
      <c r="H37" s="469">
        <v>0</v>
      </c>
      <c r="I37" s="469" t="s">
        <v>219</v>
      </c>
      <c r="J37" s="469" t="s">
        <v>63</v>
      </c>
      <c r="K37" s="469"/>
      <c r="L37" s="467" t="s">
        <v>158</v>
      </c>
      <c r="M37" s="469" t="s">
        <v>57</v>
      </c>
      <c r="N37" s="542">
        <v>51970</v>
      </c>
      <c r="O37" s="87" t="s">
        <v>57</v>
      </c>
      <c r="P37" s="1421" t="s">
        <v>86</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19" t="s">
        <v>57</v>
      </c>
      <c r="P38" s="1333" t="s">
        <v>86</v>
      </c>
      <c r="Q38" s="1415">
        <v>45950</v>
      </c>
      <c r="R38" s="1416"/>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109</v>
      </c>
      <c r="C39" s="467">
        <v>45996</v>
      </c>
      <c r="D39" s="467" t="s">
        <v>446</v>
      </c>
      <c r="E39" s="467">
        <v>45958</v>
      </c>
      <c r="F39" s="465" t="s">
        <v>142</v>
      </c>
      <c r="G39" s="468" t="s">
        <v>623</v>
      </c>
      <c r="H39" s="469">
        <v>303</v>
      </c>
      <c r="I39" s="659" t="s">
        <v>219</v>
      </c>
      <c r="J39" s="469" t="s">
        <v>56</v>
      </c>
      <c r="K39" s="469"/>
      <c r="L39" s="467">
        <v>45953</v>
      </c>
      <c r="M39" s="469" t="s">
        <v>57</v>
      </c>
      <c r="N39" s="542">
        <v>168480.8</v>
      </c>
      <c r="O39" s="469" t="s">
        <v>57</v>
      </c>
      <c r="P39" s="803" t="s">
        <v>86</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109</v>
      </c>
      <c r="C40" s="476">
        <v>45960</v>
      </c>
      <c r="D40" s="467" t="s">
        <v>626</v>
      </c>
      <c r="E40" s="467">
        <v>45915</v>
      </c>
      <c r="F40" s="465" t="s">
        <v>627</v>
      </c>
      <c r="G40" s="680"/>
      <c r="H40" s="469">
        <v>384</v>
      </c>
      <c r="I40" s="659" t="s">
        <v>219</v>
      </c>
      <c r="J40" s="469" t="s">
        <v>56</v>
      </c>
      <c r="K40" s="469"/>
      <c r="L40" s="467">
        <v>45905</v>
      </c>
      <c r="M40" s="469" t="s">
        <v>57</v>
      </c>
      <c r="N40" s="542">
        <v>145985.5</v>
      </c>
      <c r="O40" s="469" t="s">
        <v>57</v>
      </c>
      <c r="P40" s="1098" t="s">
        <v>86</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109</v>
      </c>
      <c r="C41" s="476">
        <v>45930</v>
      </c>
      <c r="D41" s="467" t="s">
        <v>630</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528</v>
      </c>
      <c r="V41" s="784">
        <v>2811</v>
      </c>
      <c r="W41" s="875">
        <v>2732</v>
      </c>
      <c r="X41" s="106">
        <f>SUM(V41-W41)</f>
        <v>79</v>
      </c>
      <c r="Y41" s="22">
        <f>IFERROR($W41/$V41, 0)</f>
        <v>0.97189612237637857</v>
      </c>
      <c r="Z41" s="54">
        <v>45922</v>
      </c>
      <c r="AA41" s="1444">
        <v>1</v>
      </c>
      <c r="AB41" s="355">
        <v>1</v>
      </c>
      <c r="AC41" s="472">
        <v>0</v>
      </c>
      <c r="AD41" s="662" t="s">
        <v>631</v>
      </c>
    </row>
    <row r="42" spans="1:30" ht="39.75" customHeight="1">
      <c r="A42" s="850" t="s">
        <v>632</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528</v>
      </c>
      <c r="V42" s="472">
        <v>4725</v>
      </c>
      <c r="W42" s="875">
        <v>4535</v>
      </c>
      <c r="X42" s="106">
        <v>0</v>
      </c>
      <c r="Y42" s="655">
        <v>0.96</v>
      </c>
      <c r="Z42" s="54">
        <v>45971</v>
      </c>
      <c r="AA42" s="1444">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86</v>
      </c>
      <c r="M43" s="380" t="s">
        <v>57</v>
      </c>
      <c r="N43" s="1070">
        <v>64790.5</v>
      </c>
      <c r="O43" s="380" t="s">
        <v>57</v>
      </c>
      <c r="P43" s="1090" t="s">
        <v>86</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233</v>
      </c>
      <c r="E44" s="467">
        <v>45927</v>
      </c>
      <c r="F44" s="465" t="s">
        <v>61</v>
      </c>
      <c r="G44" s="680" t="s">
        <v>639</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84</v>
      </c>
      <c r="E45" s="476">
        <v>45743</v>
      </c>
      <c r="F45" s="475" t="s">
        <v>68</v>
      </c>
      <c r="G45" s="821" t="s">
        <v>641</v>
      </c>
      <c r="H45" s="478">
        <v>70</v>
      </c>
      <c r="I45" s="659" t="s">
        <v>219</v>
      </c>
      <c r="J45" s="469" t="s">
        <v>63</v>
      </c>
      <c r="K45" s="822"/>
      <c r="L45" s="476">
        <v>45741</v>
      </c>
      <c r="M45" s="469" t="s">
        <v>57</v>
      </c>
      <c r="N45" s="543">
        <v>67735.5</v>
      </c>
      <c r="O45" s="469" t="s">
        <v>57</v>
      </c>
      <c r="P45" s="803" t="s">
        <v>86</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84</v>
      </c>
      <c r="E46" s="823">
        <v>45701</v>
      </c>
      <c r="F46" s="475" t="s">
        <v>68</v>
      </c>
      <c r="G46" s="845" t="s">
        <v>536</v>
      </c>
      <c r="H46" s="825">
        <v>0</v>
      </c>
      <c r="I46" s="825" t="s">
        <v>86</v>
      </c>
      <c r="J46" s="825" t="s">
        <v>63</v>
      </c>
      <c r="K46" s="825"/>
      <c r="L46" s="823">
        <v>45705</v>
      </c>
      <c r="M46" s="825" t="s">
        <v>57</v>
      </c>
      <c r="N46" s="846">
        <v>1295</v>
      </c>
      <c r="O46" s="825" t="s">
        <v>57</v>
      </c>
      <c r="P46" s="803" t="s">
        <v>86</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8" t="s">
        <v>645</v>
      </c>
      <c r="B47" s="820" t="s">
        <v>50</v>
      </c>
      <c r="C47" s="883">
        <v>46008</v>
      </c>
      <c r="D47" s="1427" t="s">
        <v>646</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219</v>
      </c>
      <c r="J48" s="469" t="s">
        <v>56</v>
      </c>
      <c r="K48" s="772"/>
      <c r="L48" s="57" t="s">
        <v>52</v>
      </c>
      <c r="M48" s="971" t="s">
        <v>57</v>
      </c>
      <c r="N48" s="1070">
        <v>42766.5</v>
      </c>
      <c r="O48" s="52" t="s">
        <v>57</v>
      </c>
      <c r="P48" s="1090" t="s">
        <v>86</v>
      </c>
      <c r="Q48" s="54">
        <v>45939</v>
      </c>
      <c r="R48" s="195"/>
      <c r="S48" s="54"/>
      <c r="T48" s="54"/>
      <c r="U48" s="486" t="s">
        <v>528</v>
      </c>
      <c r="V48" s="31">
        <v>6699</v>
      </c>
      <c r="W48" s="1423">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4">
        <v>46008</v>
      </c>
      <c r="D49" s="1194" t="s">
        <v>650</v>
      </c>
      <c r="E49" s="1214">
        <v>45958</v>
      </c>
      <c r="F49" s="1215" t="s">
        <v>61</v>
      </c>
      <c r="G49" s="1215" t="s">
        <v>651</v>
      </c>
      <c r="H49" s="1216">
        <v>517</v>
      </c>
      <c r="I49" s="659" t="s">
        <v>636</v>
      </c>
      <c r="J49" s="469" t="s">
        <v>56</v>
      </c>
      <c r="K49" s="1240"/>
      <c r="L49" s="1214">
        <v>45964</v>
      </c>
      <c r="M49" s="1216" t="s">
        <v>57</v>
      </c>
      <c r="N49" s="1227">
        <v>215088</v>
      </c>
      <c r="O49" s="1216" t="s">
        <v>57</v>
      </c>
      <c r="P49" s="1364" t="s">
        <v>86</v>
      </c>
      <c r="Q49" s="1219">
        <v>45960</v>
      </c>
      <c r="R49" s="1219"/>
      <c r="S49" s="1219"/>
      <c r="T49" s="1219"/>
      <c r="U49" s="486" t="s">
        <v>528</v>
      </c>
      <c r="V49" s="1220">
        <v>22238</v>
      </c>
      <c r="W49" s="1362">
        <v>23529</v>
      </c>
      <c r="X49" s="1200">
        <f t="shared" si="6"/>
        <v>-1291</v>
      </c>
      <c r="Y49" s="858">
        <f t="shared" si="7"/>
        <v>1.0580537818149114</v>
      </c>
      <c r="Z49" s="1219">
        <v>45965</v>
      </c>
      <c r="AA49" s="355">
        <v>1</v>
      </c>
      <c r="AB49" s="355">
        <v>1</v>
      </c>
      <c r="AC49" s="643">
        <v>0</v>
      </c>
      <c r="AD49" s="1234"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B141" activePane="topRight" state="frozen"/>
      <selection pane="topRight" activeCell="T166" sqref="T16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207</v>
      </c>
      <c r="C2" s="51">
        <v>45807</v>
      </c>
      <c r="D2" s="51" t="s">
        <v>657</v>
      </c>
      <c r="E2" s="51">
        <v>45706</v>
      </c>
      <c r="F2" s="50" t="s">
        <v>223</v>
      </c>
      <c r="G2" s="382" t="s">
        <v>658</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207</v>
      </c>
      <c r="C3" s="467">
        <v>45991</v>
      </c>
      <c r="D3" s="475" t="s">
        <v>661</v>
      </c>
      <c r="E3" s="476">
        <v>45716</v>
      </c>
      <c r="F3" s="475" t="s">
        <v>208</v>
      </c>
      <c r="G3" s="477" t="s">
        <v>662</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207</v>
      </c>
      <c r="C4" s="375">
        <v>45991</v>
      </c>
      <c r="D4" s="50" t="s">
        <v>665</v>
      </c>
      <c r="E4" s="51">
        <v>45735</v>
      </c>
      <c r="F4" s="50" t="s">
        <v>223</v>
      </c>
      <c r="G4" s="379" t="s">
        <v>666</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109</v>
      </c>
      <c r="C5" s="51">
        <v>45772</v>
      </c>
      <c r="D5" s="51" t="s">
        <v>84</v>
      </c>
      <c r="E5" s="656">
        <v>45691</v>
      </c>
      <c r="F5" s="656" t="s">
        <v>110</v>
      </c>
      <c r="G5" s="668" t="s">
        <v>668</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109</v>
      </c>
      <c r="C6" s="375">
        <v>45772</v>
      </c>
      <c r="D6" s="647" t="s">
        <v>670</v>
      </c>
      <c r="E6" s="375">
        <v>45735</v>
      </c>
      <c r="F6" s="647" t="s">
        <v>110</v>
      </c>
      <c r="G6" s="571" t="s">
        <v>671</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109</v>
      </c>
      <c r="C7" s="375">
        <v>45868</v>
      </c>
      <c r="D7" s="587" t="s">
        <v>129</v>
      </c>
      <c r="E7" s="375">
        <v>45813</v>
      </c>
      <c r="F7" s="587" t="s">
        <v>163</v>
      </c>
      <c r="G7" s="571" t="s">
        <v>674</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109</v>
      </c>
      <c r="C8" s="375">
        <v>45807</v>
      </c>
      <c r="D8" s="647" t="s">
        <v>129</v>
      </c>
      <c r="E8" s="375">
        <v>45778</v>
      </c>
      <c r="F8" s="374" t="s">
        <v>110</v>
      </c>
      <c r="G8" s="669" t="s">
        <v>677</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109</v>
      </c>
      <c r="C9" s="51">
        <v>45787</v>
      </c>
      <c r="D9" s="656" t="s">
        <v>129</v>
      </c>
      <c r="E9" s="51">
        <v>45715</v>
      </c>
      <c r="F9" s="50" t="s">
        <v>110</v>
      </c>
      <c r="G9" s="668" t="s">
        <v>680</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109</v>
      </c>
      <c r="C10" s="51">
        <v>45868</v>
      </c>
      <c r="D10" s="381" t="s">
        <v>129</v>
      </c>
      <c r="E10" s="51">
        <v>45828</v>
      </c>
      <c r="F10" s="381" t="s">
        <v>163</v>
      </c>
      <c r="G10" s="379" t="s">
        <v>682</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109</v>
      </c>
      <c r="C11" s="375">
        <v>45711</v>
      </c>
      <c r="D11" s="375" t="s">
        <v>685</v>
      </c>
      <c r="E11" s="375">
        <v>45693</v>
      </c>
      <c r="F11" s="647" t="s">
        <v>163</v>
      </c>
      <c r="G11" s="670" t="s">
        <v>72</v>
      </c>
      <c r="H11" s="376">
        <v>54</v>
      </c>
      <c r="I11" s="665" t="s">
        <v>636</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109</v>
      </c>
      <c r="C12" s="51">
        <v>45711</v>
      </c>
      <c r="D12" s="656" t="s">
        <v>129</v>
      </c>
      <c r="E12" s="51">
        <v>45712</v>
      </c>
      <c r="F12" s="656" t="s">
        <v>110</v>
      </c>
      <c r="G12" s="664" t="s">
        <v>687</v>
      </c>
      <c r="H12" s="52">
        <v>49</v>
      </c>
      <c r="I12" s="52" t="s">
        <v>636</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109</v>
      </c>
      <c r="C13" s="51">
        <v>45716</v>
      </c>
      <c r="D13" s="656" t="s">
        <v>129</v>
      </c>
      <c r="E13" s="51">
        <v>45706</v>
      </c>
      <c r="F13" s="656" t="s">
        <v>163</v>
      </c>
      <c r="G13" s="668" t="s">
        <v>689</v>
      </c>
      <c r="H13" s="52">
        <v>56</v>
      </c>
      <c r="I13" s="658" t="s">
        <v>636</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109</v>
      </c>
      <c r="C14" s="51">
        <v>45925</v>
      </c>
      <c r="D14" s="656" t="s">
        <v>129</v>
      </c>
      <c r="E14" s="51">
        <v>45755</v>
      </c>
      <c r="F14" s="656" t="s">
        <v>163</v>
      </c>
      <c r="G14" s="571" t="s">
        <v>691</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109</v>
      </c>
      <c r="C15" s="51">
        <v>45925</v>
      </c>
      <c r="D15" s="656" t="s">
        <v>670</v>
      </c>
      <c r="E15" s="51">
        <v>45749</v>
      </c>
      <c r="F15" s="656" t="s">
        <v>163</v>
      </c>
      <c r="G15" s="668" t="s">
        <v>693</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109</v>
      </c>
      <c r="C16" s="51">
        <v>45925</v>
      </c>
      <c r="D16" s="656" t="s">
        <v>129</v>
      </c>
      <c r="E16" s="51">
        <v>45749</v>
      </c>
      <c r="F16" s="656" t="s">
        <v>110</v>
      </c>
      <c r="G16" s="668" t="s">
        <v>695</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109</v>
      </c>
      <c r="C17" s="51">
        <v>45688</v>
      </c>
      <c r="D17" s="51" t="s">
        <v>697</v>
      </c>
      <c r="E17" s="51">
        <v>45666</v>
      </c>
      <c r="F17" s="656" t="s">
        <v>110</v>
      </c>
      <c r="G17" s="664" t="s">
        <v>698</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109</v>
      </c>
      <c r="C18" s="51">
        <v>45688</v>
      </c>
      <c r="D18" s="51" t="s">
        <v>84</v>
      </c>
      <c r="E18" s="51">
        <v>45679</v>
      </c>
      <c r="F18" s="656" t="s">
        <v>110</v>
      </c>
      <c r="G18" s="664" t="s">
        <v>700</v>
      </c>
      <c r="H18" s="52">
        <v>70</v>
      </c>
      <c r="I18" s="658" t="s">
        <v>636</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109</v>
      </c>
      <c r="C19" s="51">
        <v>45688</v>
      </c>
      <c r="D19" s="51" t="s">
        <v>129</v>
      </c>
      <c r="E19" s="51">
        <v>45685</v>
      </c>
      <c r="F19" s="656" t="s">
        <v>110</v>
      </c>
      <c r="G19" s="664" t="s">
        <v>702</v>
      </c>
      <c r="H19" s="52">
        <v>75</v>
      </c>
      <c r="I19" s="658" t="s">
        <v>636</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109</v>
      </c>
      <c r="C20" s="51">
        <v>45688</v>
      </c>
      <c r="D20" s="51" t="s">
        <v>704</v>
      </c>
      <c r="E20" s="51">
        <v>45693</v>
      </c>
      <c r="F20" s="656" t="s">
        <v>163</v>
      </c>
      <c r="G20" s="664" t="s">
        <v>705</v>
      </c>
      <c r="H20" s="52">
        <v>65</v>
      </c>
      <c r="I20" s="658" t="s">
        <v>636</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109</v>
      </c>
      <c r="C21" s="51">
        <v>45688</v>
      </c>
      <c r="D21" s="51" t="s">
        <v>129</v>
      </c>
      <c r="E21" s="51">
        <v>45685</v>
      </c>
      <c r="F21" s="656" t="s">
        <v>110</v>
      </c>
      <c r="G21" s="664" t="s">
        <v>707</v>
      </c>
      <c r="H21" s="52">
        <v>81</v>
      </c>
      <c r="I21" s="658" t="s">
        <v>636</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109</v>
      </c>
      <c r="C22" s="51">
        <v>45742</v>
      </c>
      <c r="D22" s="656" t="s">
        <v>129</v>
      </c>
      <c r="E22" s="51">
        <v>45708</v>
      </c>
      <c r="F22" s="656" t="s">
        <v>163</v>
      </c>
      <c r="G22" s="668" t="s">
        <v>709</v>
      </c>
      <c r="H22" s="52">
        <v>50</v>
      </c>
      <c r="I22" s="52" t="s">
        <v>636</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109</v>
      </c>
      <c r="C23" s="51">
        <v>45742</v>
      </c>
      <c r="D23" s="656" t="s">
        <v>129</v>
      </c>
      <c r="E23" s="51">
        <v>45729</v>
      </c>
      <c r="F23" s="50" t="s">
        <v>163</v>
      </c>
      <c r="G23" s="668" t="s">
        <v>711</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109</v>
      </c>
      <c r="C24" s="51">
        <v>45772</v>
      </c>
      <c r="D24" s="656" t="s">
        <v>129</v>
      </c>
      <c r="E24" s="51">
        <v>45735</v>
      </c>
      <c r="F24" s="656" t="s">
        <v>110</v>
      </c>
      <c r="G24" s="668" t="s">
        <v>713</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109</v>
      </c>
      <c r="C25" s="51">
        <v>45716</v>
      </c>
      <c r="D25" s="656" t="s">
        <v>129</v>
      </c>
      <c r="E25" s="51">
        <v>45712</v>
      </c>
      <c r="F25" s="656" t="s">
        <v>163</v>
      </c>
      <c r="G25" s="668" t="s">
        <v>715</v>
      </c>
      <c r="H25" s="52">
        <v>51</v>
      </c>
      <c r="I25" s="658" t="s">
        <v>636</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109</v>
      </c>
      <c r="C26" s="51">
        <v>45772</v>
      </c>
      <c r="D26" s="656" t="s">
        <v>129</v>
      </c>
      <c r="E26" s="51">
        <v>45735</v>
      </c>
      <c r="F26" s="656" t="s">
        <v>163</v>
      </c>
      <c r="G26" s="668" t="s">
        <v>717</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109</v>
      </c>
      <c r="C27" s="51">
        <v>45772</v>
      </c>
      <c r="D27" s="656" t="s">
        <v>129</v>
      </c>
      <c r="E27" s="51">
        <v>45735</v>
      </c>
      <c r="F27" s="656" t="s">
        <v>110</v>
      </c>
      <c r="G27" s="668" t="s">
        <v>719</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109</v>
      </c>
      <c r="C28" s="381">
        <v>45711</v>
      </c>
      <c r="D28" s="381" t="s">
        <v>129</v>
      </c>
      <c r="E28" s="381">
        <v>45695</v>
      </c>
      <c r="F28" s="381" t="s">
        <v>163</v>
      </c>
      <c r="G28" s="570" t="s">
        <v>721</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109</v>
      </c>
      <c r="C29" s="51">
        <v>45868</v>
      </c>
      <c r="D29" s="587" t="s">
        <v>129</v>
      </c>
      <c r="E29" s="587">
        <v>45839</v>
      </c>
      <c r="F29" s="374" t="s">
        <v>110</v>
      </c>
      <c r="G29" s="374" t="s">
        <v>723</v>
      </c>
      <c r="H29" s="376">
        <v>77</v>
      </c>
      <c r="I29" s="376" t="s">
        <v>219</v>
      </c>
      <c r="J29" s="376" t="s">
        <v>63</v>
      </c>
      <c r="K29" s="375">
        <v>45840</v>
      </c>
      <c r="L29" s="376" t="s">
        <v>57</v>
      </c>
      <c r="M29" s="429">
        <v>10430.549999999999</v>
      </c>
      <c r="N29" s="426">
        <v>37639.800000000003</v>
      </c>
      <c r="O29" s="376" t="s">
        <v>57</v>
      </c>
      <c r="P29" s="1404"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724</v>
      </c>
      <c r="B30" s="374" t="s">
        <v>109</v>
      </c>
      <c r="C30" s="51">
        <v>45930</v>
      </c>
      <c r="D30" s="375" t="s">
        <v>129</v>
      </c>
      <c r="E30" s="647">
        <v>45910</v>
      </c>
      <c r="F30" s="647" t="s">
        <v>163</v>
      </c>
      <c r="G30" s="374" t="s">
        <v>725</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109</v>
      </c>
      <c r="C31" s="51">
        <v>45868</v>
      </c>
      <c r="D31" s="587" t="s">
        <v>129</v>
      </c>
      <c r="E31" s="587">
        <v>45840</v>
      </c>
      <c r="F31" s="375" t="s">
        <v>110</v>
      </c>
      <c r="G31" s="374" t="s">
        <v>728</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109</v>
      </c>
      <c r="C32" s="51">
        <v>45868</v>
      </c>
      <c r="D32" s="587" t="s">
        <v>129</v>
      </c>
      <c r="E32" s="587">
        <v>45839</v>
      </c>
      <c r="F32" s="374" t="s">
        <v>110</v>
      </c>
      <c r="G32" s="374" t="s">
        <v>731</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109</v>
      </c>
      <c r="C33" s="51">
        <v>45868</v>
      </c>
      <c r="D33" s="647" t="s">
        <v>129</v>
      </c>
      <c r="E33" s="647">
        <v>45833</v>
      </c>
      <c r="F33" s="374" t="s">
        <v>163</v>
      </c>
      <c r="G33" s="374" t="s">
        <v>734</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109</v>
      </c>
      <c r="C34" s="51">
        <v>45868</v>
      </c>
      <c r="D34" s="587" t="s">
        <v>129</v>
      </c>
      <c r="E34" s="587">
        <v>45839</v>
      </c>
      <c r="F34" s="375" t="s">
        <v>110</v>
      </c>
      <c r="G34" s="374" t="s">
        <v>737</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109</v>
      </c>
      <c r="C35" s="51">
        <v>45899</v>
      </c>
      <c r="D35" s="375" t="s">
        <v>129</v>
      </c>
      <c r="E35" s="375">
        <v>45887</v>
      </c>
      <c r="F35" s="587" t="s">
        <v>163</v>
      </c>
      <c r="G35" s="635" t="s">
        <v>740</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109</v>
      </c>
      <c r="C36" s="51">
        <v>45862</v>
      </c>
      <c r="D36" s="656" t="s">
        <v>129</v>
      </c>
      <c r="E36" s="51">
        <v>45758</v>
      </c>
      <c r="F36" s="656" t="s">
        <v>110</v>
      </c>
      <c r="G36" s="571" t="s">
        <v>743</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109</v>
      </c>
      <c r="C37" s="51">
        <v>45862</v>
      </c>
      <c r="D37" s="381" t="s">
        <v>129</v>
      </c>
      <c r="E37" s="51">
        <v>45758</v>
      </c>
      <c r="F37" s="381" t="s">
        <v>110</v>
      </c>
      <c r="G37" s="571" t="s">
        <v>745</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109</v>
      </c>
      <c r="C38" s="51">
        <v>45862</v>
      </c>
      <c r="D38" s="381" t="s">
        <v>129</v>
      </c>
      <c r="E38" s="51">
        <v>45758</v>
      </c>
      <c r="F38" s="381" t="s">
        <v>110</v>
      </c>
      <c r="G38" s="571" t="s">
        <v>747</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109</v>
      </c>
      <c r="C39" s="51">
        <v>45868</v>
      </c>
      <c r="D39" s="587" t="s">
        <v>129</v>
      </c>
      <c r="E39" s="51">
        <v>45786</v>
      </c>
      <c r="F39" s="587" t="s">
        <v>110</v>
      </c>
      <c r="G39" s="635" t="s">
        <v>749</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109</v>
      </c>
      <c r="C40" s="496">
        <v>45688</v>
      </c>
      <c r="D40" s="496" t="s">
        <v>752</v>
      </c>
      <c r="E40" s="496">
        <v>45684</v>
      </c>
      <c r="F40" s="511" t="s">
        <v>163</v>
      </c>
      <c r="G40" s="777" t="s">
        <v>753</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663</v>
      </c>
      <c r="AA41" s="1177"/>
    </row>
    <row r="42" spans="1:27" ht="39.75" customHeight="1">
      <c r="A42" s="1146" t="s">
        <v>755</v>
      </c>
      <c r="B42" s="1147" t="s">
        <v>109</v>
      </c>
      <c r="C42" s="1148">
        <v>45899</v>
      </c>
      <c r="D42" s="1149" t="s">
        <v>756</v>
      </c>
      <c r="E42" s="1150">
        <v>45876</v>
      </c>
      <c r="F42" s="1151" t="s">
        <v>163</v>
      </c>
      <c r="G42" s="1152" t="s">
        <v>757</v>
      </c>
      <c r="H42" s="1153">
        <v>0</v>
      </c>
      <c r="I42" s="1154" t="s">
        <v>219</v>
      </c>
      <c r="J42" s="1153" t="s">
        <v>63</v>
      </c>
      <c r="K42" s="51" t="s">
        <v>52</v>
      </c>
      <c r="L42" s="376" t="s">
        <v>57</v>
      </c>
      <c r="M42" s="429">
        <v>1343</v>
      </c>
      <c r="N42" s="1155">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46">
        <v>0</v>
      </c>
      <c r="U43" s="473">
        <v>1.02</v>
      </c>
      <c r="V43" s="479">
        <v>45922</v>
      </c>
      <c r="W43" s="355">
        <v>1</v>
      </c>
      <c r="X43" s="355">
        <v>1</v>
      </c>
      <c r="Y43" s="472">
        <v>0</v>
      </c>
      <c r="Z43" s="494"/>
      <c r="AA43" s="754" t="s">
        <v>760</v>
      </c>
    </row>
    <row r="44" spans="1:27" ht="39.75" customHeight="1">
      <c r="A44" s="373" t="s">
        <v>761</v>
      </c>
      <c r="B44" s="1156" t="s">
        <v>109</v>
      </c>
      <c r="C44" s="963">
        <v>45899</v>
      </c>
      <c r="D44" s="936" t="s">
        <v>129</v>
      </c>
      <c r="E44" s="936">
        <v>45870</v>
      </c>
      <c r="F44" s="1157" t="s">
        <v>163</v>
      </c>
      <c r="G44" s="1024" t="s">
        <v>762</v>
      </c>
      <c r="H44" s="953">
        <v>0</v>
      </c>
      <c r="I44" s="953" t="s">
        <v>219</v>
      </c>
      <c r="J44" s="953" t="s">
        <v>63</v>
      </c>
      <c r="K44" s="936">
        <v>45870</v>
      </c>
      <c r="L44" s="953" t="s">
        <v>57</v>
      </c>
      <c r="M44" s="955">
        <v>49307.5</v>
      </c>
      <c r="N44" s="426">
        <v>47409</v>
      </c>
      <c r="O44" s="953" t="s">
        <v>57</v>
      </c>
      <c r="P44" s="1178" t="s">
        <v>86</v>
      </c>
      <c r="Q44" s="1448">
        <v>45870</v>
      </c>
      <c r="R44" s="1447">
        <v>3914</v>
      </c>
      <c r="S44" s="1447">
        <v>3675</v>
      </c>
      <c r="T44" s="106">
        <v>0</v>
      </c>
      <c r="U44" s="871">
        <v>0.94</v>
      </c>
      <c r="V44" s="873">
        <v>45873</v>
      </c>
      <c r="W44" s="599">
        <v>1</v>
      </c>
      <c r="X44" s="599">
        <v>1</v>
      </c>
      <c r="Y44" s="599">
        <v>1</v>
      </c>
      <c r="Z44" s="54">
        <v>45916</v>
      </c>
      <c r="AA44" s="1159" t="s">
        <v>763</v>
      </c>
    </row>
    <row r="45" spans="1:27" ht="39.75" customHeight="1">
      <c r="A45" s="373" t="s">
        <v>764</v>
      </c>
      <c r="B45" s="374" t="s">
        <v>109</v>
      </c>
      <c r="C45" s="647">
        <v>45805</v>
      </c>
      <c r="D45" s="647" t="s">
        <v>129</v>
      </c>
      <c r="E45" s="647">
        <v>45695</v>
      </c>
      <c r="F45" s="647" t="s">
        <v>163</v>
      </c>
      <c r="G45" s="770" t="s">
        <v>765</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109</v>
      </c>
      <c r="C46" s="963">
        <v>45899</v>
      </c>
      <c r="D46" s="936" t="s">
        <v>129</v>
      </c>
      <c r="E46" s="936">
        <v>45870</v>
      </c>
      <c r="F46" s="1157" t="s">
        <v>163</v>
      </c>
      <c r="G46" s="1024" t="s">
        <v>768</v>
      </c>
      <c r="H46" s="953">
        <v>0</v>
      </c>
      <c r="I46" s="953" t="s">
        <v>219</v>
      </c>
      <c r="J46" s="953" t="s">
        <v>63</v>
      </c>
      <c r="K46" s="936">
        <v>45870</v>
      </c>
      <c r="L46" s="953" t="s">
        <v>57</v>
      </c>
      <c r="M46" s="955">
        <v>12886.4</v>
      </c>
      <c r="N46" s="1155">
        <v>18418.349999999999</v>
      </c>
      <c r="O46" s="953" t="s">
        <v>57</v>
      </c>
      <c r="P46" s="1179" t="s">
        <v>86</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109</v>
      </c>
      <c r="C47" s="57">
        <v>45899</v>
      </c>
      <c r="D47" s="883" t="s">
        <v>129</v>
      </c>
      <c r="E47" s="883">
        <v>45882</v>
      </c>
      <c r="F47" s="1013" t="s">
        <v>163</v>
      </c>
      <c r="G47" s="1019" t="s">
        <v>771</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109</v>
      </c>
      <c r="C48" s="488">
        <v>45838</v>
      </c>
      <c r="D48" s="488" t="s">
        <v>129</v>
      </c>
      <c r="E48" s="476">
        <v>45786</v>
      </c>
      <c r="F48" s="488" t="s">
        <v>163</v>
      </c>
      <c r="G48" s="931" t="s">
        <v>774</v>
      </c>
      <c r="H48" s="469">
        <v>0</v>
      </c>
      <c r="I48" s="470" t="s">
        <v>219</v>
      </c>
      <c r="J48" s="469" t="s">
        <v>63</v>
      </c>
      <c r="K48" s="467">
        <v>45790</v>
      </c>
      <c r="L48" s="469" t="s">
        <v>57</v>
      </c>
      <c r="M48" s="993">
        <v>63283</v>
      </c>
      <c r="N48" s="552">
        <v>84546.7</v>
      </c>
      <c r="O48" s="469" t="s">
        <v>57</v>
      </c>
      <c r="P48" s="782" t="s">
        <v>86</v>
      </c>
      <c r="Q48" s="471">
        <v>45790</v>
      </c>
      <c r="R48" s="106">
        <v>5776</v>
      </c>
      <c r="S48" s="106">
        <v>5776</v>
      </c>
      <c r="T48" s="1253">
        <v>0</v>
      </c>
      <c r="U48" s="84">
        <v>1</v>
      </c>
      <c r="V48" s="650">
        <v>45796</v>
      </c>
      <c r="W48" s="355">
        <v>1</v>
      </c>
      <c r="X48" s="355">
        <v>1</v>
      </c>
      <c r="Y48" s="599">
        <v>1</v>
      </c>
      <c r="Z48" s="124">
        <v>45846</v>
      </c>
      <c r="AA48" s="323" t="s">
        <v>775</v>
      </c>
    </row>
    <row r="49" spans="1:27" ht="39.75" customHeight="1">
      <c r="A49" s="1146" t="s">
        <v>776</v>
      </c>
      <c r="B49" s="1169" t="s">
        <v>109</v>
      </c>
      <c r="C49" s="1148">
        <v>45930</v>
      </c>
      <c r="D49" s="1149" t="s">
        <v>84</v>
      </c>
      <c r="E49" s="1150">
        <v>45868</v>
      </c>
      <c r="F49" s="1169" t="s">
        <v>110</v>
      </c>
      <c r="G49" s="1152" t="s">
        <v>777</v>
      </c>
      <c r="H49" s="1153">
        <v>0</v>
      </c>
      <c r="I49" s="1153" t="s">
        <v>219</v>
      </c>
      <c r="J49" s="1153" t="s">
        <v>63</v>
      </c>
      <c r="K49" s="936">
        <v>45868</v>
      </c>
      <c r="L49" s="953" t="s">
        <v>57</v>
      </c>
      <c r="M49" s="955">
        <v>14179.65</v>
      </c>
      <c r="N49" s="1155">
        <v>15936.8</v>
      </c>
      <c r="O49" s="953" t="s">
        <v>57</v>
      </c>
      <c r="P49" s="1178" t="s">
        <v>86</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109</v>
      </c>
      <c r="C50" s="476">
        <v>45868</v>
      </c>
      <c r="D50" s="467" t="s">
        <v>84</v>
      </c>
      <c r="E50" s="488">
        <v>45839</v>
      </c>
      <c r="F50" s="467" t="s">
        <v>110</v>
      </c>
      <c r="G50" s="477" t="s">
        <v>780</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109</v>
      </c>
      <c r="C51" s="1148">
        <v>45930</v>
      </c>
      <c r="D51" s="1151" t="s">
        <v>84</v>
      </c>
      <c r="E51" s="1148">
        <v>45902</v>
      </c>
      <c r="F51" s="1149" t="s">
        <v>110</v>
      </c>
      <c r="G51" s="1165"/>
      <c r="H51" s="1166">
        <v>0</v>
      </c>
      <c r="I51" s="1166" t="s">
        <v>219</v>
      </c>
      <c r="J51" s="1166" t="s">
        <v>63</v>
      </c>
      <c r="K51" s="903">
        <v>45902</v>
      </c>
      <c r="L51" s="905" t="s">
        <v>57</v>
      </c>
      <c r="M51" s="1162">
        <v>3067.9</v>
      </c>
      <c r="N51" s="1155">
        <v>8729.7000000000007</v>
      </c>
      <c r="O51" s="905" t="s">
        <v>57</v>
      </c>
      <c r="P51" s="1029" t="s">
        <v>86</v>
      </c>
      <c r="Q51" s="596">
        <v>45902</v>
      </c>
      <c r="R51" s="1158">
        <v>662</v>
      </c>
      <c r="S51" s="1180">
        <v>662</v>
      </c>
      <c r="T51" s="1167">
        <v>0</v>
      </c>
      <c r="U51" s="871">
        <v>1</v>
      </c>
      <c r="V51" s="873">
        <v>45909</v>
      </c>
      <c r="W51" s="964">
        <v>1</v>
      </c>
      <c r="X51" s="964">
        <v>1</v>
      </c>
      <c r="Y51" s="964">
        <v>1</v>
      </c>
      <c r="Z51" s="596">
        <v>45926</v>
      </c>
      <c r="AA51" s="1168" t="s">
        <v>783</v>
      </c>
    </row>
    <row r="52" spans="1:27" ht="39.75" customHeight="1">
      <c r="A52" s="1160" t="s">
        <v>784</v>
      </c>
      <c r="B52" s="901" t="s">
        <v>109</v>
      </c>
      <c r="C52" s="979">
        <v>45868</v>
      </c>
      <c r="D52" s="903" t="s">
        <v>84</v>
      </c>
      <c r="E52" s="903">
        <v>45849</v>
      </c>
      <c r="F52" s="904" t="s">
        <v>110</v>
      </c>
      <c r="G52" s="1176" t="s">
        <v>785</v>
      </c>
      <c r="H52" s="905">
        <v>0</v>
      </c>
      <c r="I52" s="905" t="s">
        <v>219</v>
      </c>
      <c r="J52" s="905" t="s">
        <v>63</v>
      </c>
      <c r="K52" s="375">
        <v>45848</v>
      </c>
      <c r="L52" s="376" t="s">
        <v>57</v>
      </c>
      <c r="M52" s="429">
        <v>1206</v>
      </c>
      <c r="N52" s="426">
        <v>1195</v>
      </c>
      <c r="O52" s="376" t="s">
        <v>57</v>
      </c>
      <c r="P52" s="1044" t="s">
        <v>86</v>
      </c>
      <c r="Q52" s="596">
        <v>45848</v>
      </c>
      <c r="R52" s="1158">
        <v>90</v>
      </c>
      <c r="S52" s="1158">
        <v>90</v>
      </c>
      <c r="T52" s="30">
        <v>0</v>
      </c>
      <c r="U52" s="871">
        <v>1</v>
      </c>
      <c r="V52" s="873">
        <v>45854</v>
      </c>
      <c r="W52" s="599">
        <v>1</v>
      </c>
      <c r="X52" s="599">
        <v>1</v>
      </c>
      <c r="Y52" s="599">
        <v>1</v>
      </c>
      <c r="Z52" s="54">
        <v>45898</v>
      </c>
      <c r="AA52" s="1177" t="s">
        <v>786</v>
      </c>
    </row>
    <row r="53" spans="1:27" ht="39.75" customHeight="1">
      <c r="A53" s="1160" t="s">
        <v>787</v>
      </c>
      <c r="B53" s="901" t="s">
        <v>109</v>
      </c>
      <c r="C53" s="979">
        <v>45899</v>
      </c>
      <c r="D53" s="904" t="s">
        <v>84</v>
      </c>
      <c r="E53" s="904">
        <v>45882</v>
      </c>
      <c r="F53" s="901" t="s">
        <v>110</v>
      </c>
      <c r="G53" s="1161" t="s">
        <v>788</v>
      </c>
      <c r="H53" s="905">
        <v>0</v>
      </c>
      <c r="I53" s="906" t="s">
        <v>219</v>
      </c>
      <c r="J53" s="905" t="s">
        <v>63</v>
      </c>
      <c r="K53" s="903" t="s">
        <v>52</v>
      </c>
      <c r="L53" s="905" t="s">
        <v>57</v>
      </c>
      <c r="M53" s="1162">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109</v>
      </c>
      <c r="C54" s="496">
        <v>45899</v>
      </c>
      <c r="D54" s="503" t="s">
        <v>84</v>
      </c>
      <c r="E54" s="496">
        <v>45806</v>
      </c>
      <c r="F54" s="489" t="s">
        <v>110</v>
      </c>
      <c r="G54" s="1023" t="s">
        <v>791</v>
      </c>
      <c r="H54" s="502">
        <v>0</v>
      </c>
      <c r="I54" s="932" t="s">
        <v>219</v>
      </c>
      <c r="J54" s="502" t="s">
        <v>63</v>
      </c>
      <c r="K54" s="503" t="s">
        <v>792</v>
      </c>
      <c r="L54" s="502" t="s">
        <v>57</v>
      </c>
      <c r="M54" s="891">
        <v>21888.65</v>
      </c>
      <c r="N54" s="426">
        <v>21950.85</v>
      </c>
      <c r="O54" s="502" t="s">
        <v>57</v>
      </c>
      <c r="P54" s="1088" t="s">
        <v>86</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109</v>
      </c>
      <c r="C55" s="51">
        <v>45792</v>
      </c>
      <c r="D55" s="381" t="s">
        <v>129</v>
      </c>
      <c r="E55" s="381">
        <v>45695</v>
      </c>
      <c r="F55" s="381" t="s">
        <v>110</v>
      </c>
      <c r="G55" s="382" t="s">
        <v>795</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109</v>
      </c>
      <c r="C56" s="375">
        <v>45787</v>
      </c>
      <c r="D56" s="647" t="s">
        <v>129</v>
      </c>
      <c r="E56" s="51">
        <v>45763</v>
      </c>
      <c r="F56" s="647" t="s">
        <v>163</v>
      </c>
      <c r="G56" s="571" t="s">
        <v>797</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109</v>
      </c>
      <c r="C57" s="51">
        <v>45688</v>
      </c>
      <c r="D57" s="51" t="s">
        <v>697</v>
      </c>
      <c r="E57" s="51">
        <v>45682</v>
      </c>
      <c r="F57" s="656" t="s">
        <v>110</v>
      </c>
      <c r="G57" s="571" t="s">
        <v>799</v>
      </c>
      <c r="H57" s="52">
        <v>48</v>
      </c>
      <c r="I57" s="658" t="s">
        <v>636</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141</v>
      </c>
      <c r="E58" s="883">
        <v>45818</v>
      </c>
      <c r="F58" s="889" t="s">
        <v>801</v>
      </c>
      <c r="G58" s="889" t="s">
        <v>802</v>
      </c>
      <c r="H58" s="788">
        <v>56</v>
      </c>
      <c r="I58" s="788" t="s">
        <v>219</v>
      </c>
      <c r="J58" s="788" t="s">
        <v>63</v>
      </c>
      <c r="K58" s="503">
        <v>45817</v>
      </c>
      <c r="L58" s="502" t="s">
        <v>57</v>
      </c>
      <c r="M58" s="891">
        <v>75953</v>
      </c>
      <c r="N58" s="962">
        <v>61562</v>
      </c>
      <c r="O58" s="502" t="s">
        <v>57</v>
      </c>
      <c r="P58" s="1329"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129</v>
      </c>
      <c r="E61" s="51">
        <v>45727</v>
      </c>
      <c r="F61" s="50" t="s">
        <v>68</v>
      </c>
      <c r="G61" s="586" t="s">
        <v>810</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45">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129</v>
      </c>
      <c r="E64" s="51">
        <v>45716</v>
      </c>
      <c r="F64" s="50" t="s">
        <v>68</v>
      </c>
      <c r="G64" s="379" t="s">
        <v>820</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58" t="s">
        <v>821</v>
      </c>
      <c r="B65" s="510" t="s">
        <v>50</v>
      </c>
      <c r="C65" s="496">
        <v>45772</v>
      </c>
      <c r="D65" s="511" t="s">
        <v>822</v>
      </c>
      <c r="E65" s="511">
        <v>45693</v>
      </c>
      <c r="F65" s="501" t="s">
        <v>68</v>
      </c>
      <c r="G65" s="512" t="s">
        <v>823</v>
      </c>
      <c r="H65" s="504">
        <v>86</v>
      </c>
      <c r="I65" s="506" t="s">
        <v>219</v>
      </c>
      <c r="J65" s="504" t="s">
        <v>63</v>
      </c>
      <c r="K65" s="511">
        <v>45714</v>
      </c>
      <c r="L65" s="504" t="s">
        <v>57</v>
      </c>
      <c r="M65" s="1463">
        <v>94170.5</v>
      </c>
      <c r="N65" s="1462">
        <v>90860.5</v>
      </c>
      <c r="O65" s="504" t="s">
        <v>57</v>
      </c>
      <c r="P65" s="1088" t="s">
        <v>86</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129</v>
      </c>
      <c r="E66" s="656">
        <v>45685</v>
      </c>
      <c r="F66" s="656" t="s">
        <v>68</v>
      </c>
      <c r="G66" s="657" t="s">
        <v>826</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58" t="s">
        <v>828</v>
      </c>
      <c r="B67" s="510" t="s">
        <v>50</v>
      </c>
      <c r="C67" s="496">
        <v>45772</v>
      </c>
      <c r="D67" s="511" t="s">
        <v>822</v>
      </c>
      <c r="E67" s="511">
        <v>45698</v>
      </c>
      <c r="F67" s="496" t="s">
        <v>68</v>
      </c>
      <c r="G67" s="512" t="s">
        <v>829</v>
      </c>
      <c r="H67" s="504">
        <v>89</v>
      </c>
      <c r="I67" s="504" t="s">
        <v>219</v>
      </c>
      <c r="J67" s="504" t="s">
        <v>63</v>
      </c>
      <c r="K67" s="511">
        <v>45695</v>
      </c>
      <c r="L67" s="504" t="s">
        <v>57</v>
      </c>
      <c r="M67" s="1459">
        <v>89698.5</v>
      </c>
      <c r="N67" s="552">
        <v>86876.5</v>
      </c>
      <c r="O67" s="504" t="s">
        <v>57</v>
      </c>
      <c r="P67" s="1088" t="s">
        <v>86</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60" t="s">
        <v>832</v>
      </c>
      <c r="B69" s="820" t="s">
        <v>50</v>
      </c>
      <c r="C69" s="476">
        <v>45772</v>
      </c>
      <c r="D69" s="476" t="s">
        <v>813</v>
      </c>
      <c r="E69" s="823">
        <v>45686</v>
      </c>
      <c r="F69" s="475" t="s">
        <v>68</v>
      </c>
      <c r="G69" s="845" t="s">
        <v>833</v>
      </c>
      <c r="H69" s="825">
        <v>77</v>
      </c>
      <c r="I69" s="659" t="s">
        <v>219</v>
      </c>
      <c r="J69" s="825" t="s">
        <v>63</v>
      </c>
      <c r="K69" s="823">
        <v>45686</v>
      </c>
      <c r="L69" s="825" t="s">
        <v>57</v>
      </c>
      <c r="M69" s="1461">
        <v>61924</v>
      </c>
      <c r="N69" s="552">
        <v>61494</v>
      </c>
      <c r="O69" s="825" t="s">
        <v>57</v>
      </c>
      <c r="P69" s="782" t="s">
        <v>86</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141</v>
      </c>
      <c r="E70" s="381">
        <v>45686</v>
      </c>
      <c r="F70" s="381" t="s">
        <v>801</v>
      </c>
      <c r="G70" s="570" t="s">
        <v>836</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129</v>
      </c>
      <c r="E71" s="381">
        <v>45685</v>
      </c>
      <c r="F71" s="50" t="s">
        <v>68</v>
      </c>
      <c r="G71" s="570" t="s">
        <v>839</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840</v>
      </c>
    </row>
    <row r="72" spans="1:27" ht="39.75" customHeight="1">
      <c r="A72" s="1460" t="s">
        <v>841</v>
      </c>
      <c r="B72" s="820" t="s">
        <v>50</v>
      </c>
      <c r="C72" s="476">
        <v>45772</v>
      </c>
      <c r="D72" s="823" t="s">
        <v>842</v>
      </c>
      <c r="E72" s="823">
        <v>45694</v>
      </c>
      <c r="F72" s="823" t="s">
        <v>68</v>
      </c>
      <c r="G72" s="845" t="s">
        <v>843</v>
      </c>
      <c r="H72" s="825">
        <v>84</v>
      </c>
      <c r="I72" s="659" t="s">
        <v>219</v>
      </c>
      <c r="J72" s="825" t="s">
        <v>63</v>
      </c>
      <c r="K72" s="823">
        <v>45698</v>
      </c>
      <c r="L72" s="825" t="s">
        <v>57</v>
      </c>
      <c r="M72" s="1461">
        <v>63402.5</v>
      </c>
      <c r="N72" s="552">
        <v>62670.5</v>
      </c>
      <c r="O72" s="825" t="s">
        <v>57</v>
      </c>
      <c r="P72" s="782" t="s">
        <v>86</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208</v>
      </c>
      <c r="G75" s="657" t="s">
        <v>853</v>
      </c>
      <c r="H75" s="52">
        <v>86</v>
      </c>
      <c r="I75" s="658" t="s">
        <v>636</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86</v>
      </c>
      <c r="L76" s="906" t="s">
        <v>57</v>
      </c>
      <c r="M76" s="429">
        <v>43130</v>
      </c>
      <c r="N76" s="426">
        <v>43560</v>
      </c>
      <c r="O76" s="665" t="s">
        <v>57</v>
      </c>
      <c r="P76" s="1044" t="s">
        <v>86</v>
      </c>
      <c r="Q76" s="596">
        <v>45691</v>
      </c>
      <c r="R76" s="598">
        <v>2931</v>
      </c>
      <c r="S76" s="106">
        <v>3257</v>
      </c>
      <c r="T76" s="31">
        <v>0</v>
      </c>
      <c r="U76" s="1131">
        <v>1.1100000000000001</v>
      </c>
      <c r="V76" s="124">
        <v>45750</v>
      </c>
      <c r="W76" s="871">
        <v>1</v>
      </c>
      <c r="X76" s="871">
        <v>1</v>
      </c>
      <c r="Y76" s="655">
        <v>1</v>
      </c>
      <c r="Z76" s="54" t="s">
        <v>663</v>
      </c>
      <c r="AA76" s="1181" t="s">
        <v>857</v>
      </c>
    </row>
    <row r="77" spans="1:27" ht="39.75" customHeight="1">
      <c r="A77" s="1127" t="s">
        <v>858</v>
      </c>
      <c r="B77" s="983" t="s">
        <v>50</v>
      </c>
      <c r="C77" s="1129">
        <v>45688</v>
      </c>
      <c r="D77" s="979" t="s">
        <v>84</v>
      </c>
      <c r="E77" s="1129">
        <v>45686</v>
      </c>
      <c r="F77" s="1129" t="s">
        <v>68</v>
      </c>
      <c r="G77" s="1182" t="s">
        <v>859</v>
      </c>
      <c r="H77" s="971">
        <v>88</v>
      </c>
      <c r="I77" s="970" t="s">
        <v>636</v>
      </c>
      <c r="J77" s="971" t="s">
        <v>63</v>
      </c>
      <c r="K77" s="1183">
        <v>45706</v>
      </c>
      <c r="L77" s="970" t="s">
        <v>57</v>
      </c>
      <c r="M77" s="426">
        <v>69212.5</v>
      </c>
      <c r="N77" s="426">
        <v>70500</v>
      </c>
      <c r="O77" s="658" t="s">
        <v>57</v>
      </c>
      <c r="P77" s="1044" t="s">
        <v>86</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208</v>
      </c>
      <c r="G79" s="379" t="s">
        <v>867</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208</v>
      </c>
      <c r="G81" s="657" t="s">
        <v>872</v>
      </c>
      <c r="H81" s="52">
        <v>73</v>
      </c>
      <c r="I81" s="665" t="s">
        <v>636</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208</v>
      </c>
      <c r="G82" s="570" t="s">
        <v>875</v>
      </c>
      <c r="H82" s="52">
        <v>65</v>
      </c>
      <c r="I82" s="380" t="s">
        <v>636</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129</v>
      </c>
      <c r="E85" s="51">
        <v>45743</v>
      </c>
      <c r="F85" s="50" t="s">
        <v>68</v>
      </c>
      <c r="G85" s="379" t="s">
        <v>881</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208</v>
      </c>
      <c r="G86" s="379" t="s">
        <v>883</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141</v>
      </c>
      <c r="E88" s="51">
        <v>45761</v>
      </c>
      <c r="F88" s="50" t="s">
        <v>801</v>
      </c>
      <c r="G88" s="50" t="s">
        <v>889</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141</v>
      </c>
      <c r="E91" s="51">
        <v>45743</v>
      </c>
      <c r="F91" s="50" t="s">
        <v>801</v>
      </c>
      <c r="G91" s="379" t="s">
        <v>897</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129</v>
      </c>
      <c r="E93" s="51">
        <v>45743</v>
      </c>
      <c r="F93" s="50" t="s">
        <v>68</v>
      </c>
      <c r="G93" s="668" t="s">
        <v>901</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141</v>
      </c>
      <c r="E94" s="51">
        <v>45743</v>
      </c>
      <c r="F94" s="50" t="s">
        <v>801</v>
      </c>
      <c r="G94" s="379" t="s">
        <v>903</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141</v>
      </c>
      <c r="E97" s="656">
        <v>45686</v>
      </c>
      <c r="F97" s="656" t="s">
        <v>801</v>
      </c>
      <c r="G97" s="657" t="s">
        <v>909</v>
      </c>
      <c r="H97" s="52">
        <v>90</v>
      </c>
      <c r="I97" s="665" t="s">
        <v>636</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141</v>
      </c>
      <c r="E98" s="51">
        <v>45716</v>
      </c>
      <c r="F98" s="50" t="s">
        <v>801</v>
      </c>
      <c r="G98" s="379" t="s">
        <v>912</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208</v>
      </c>
      <c r="G99" s="382" t="s">
        <v>915</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219</v>
      </c>
      <c r="J101" s="52" t="s">
        <v>63</v>
      </c>
      <c r="K101" s="51">
        <v>45698</v>
      </c>
      <c r="L101" s="1184" t="s">
        <v>57</v>
      </c>
      <c r="M101" s="426">
        <v>67892.5</v>
      </c>
      <c r="N101" s="426">
        <v>65771.429999999993</v>
      </c>
      <c r="O101" s="658" t="s">
        <v>57</v>
      </c>
      <c r="P101" s="354" t="s">
        <v>86</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141</v>
      </c>
      <c r="E102" s="51">
        <v>45716</v>
      </c>
      <c r="F102" s="50" t="s">
        <v>801</v>
      </c>
      <c r="G102" s="668" t="s">
        <v>923</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208</v>
      </c>
      <c r="G104" s="791" t="s">
        <v>928</v>
      </c>
      <c r="H104" s="772">
        <v>85</v>
      </c>
      <c r="I104" s="778" t="s">
        <v>219</v>
      </c>
      <c r="J104" s="772" t="s">
        <v>63</v>
      </c>
      <c r="K104" s="57">
        <v>45707</v>
      </c>
      <c r="L104" s="772" t="s">
        <v>57</v>
      </c>
      <c r="M104" s="426" t="s">
        <v>929</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141</v>
      </c>
      <c r="E107" s="57">
        <v>45743</v>
      </c>
      <c r="F107" s="768" t="s">
        <v>801</v>
      </c>
      <c r="G107" s="771" t="s">
        <v>936</v>
      </c>
      <c r="H107" s="772">
        <v>88</v>
      </c>
      <c r="I107" s="800" t="s">
        <v>219</v>
      </c>
      <c r="J107" s="788" t="s">
        <v>63</v>
      </c>
      <c r="K107" s="496">
        <v>45741</v>
      </c>
      <c r="L107" s="502" t="s">
        <v>57</v>
      </c>
      <c r="M107" s="773">
        <v>75396.5</v>
      </c>
      <c r="N107" s="637">
        <v>75756.5</v>
      </c>
      <c r="O107" s="502" t="s">
        <v>57</v>
      </c>
      <c r="P107" s="1329"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208</v>
      </c>
      <c r="G108" s="824" t="s">
        <v>938</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208</v>
      </c>
      <c r="G109" s="791" t="s">
        <v>941</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208</v>
      </c>
      <c r="G110" s="1034" t="s">
        <v>943</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129</v>
      </c>
      <c r="E112" s="428">
        <v>45698</v>
      </c>
      <c r="F112" s="428" t="s">
        <v>68</v>
      </c>
      <c r="G112" s="935" t="s">
        <v>947</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141</v>
      </c>
      <c r="E113" s="57">
        <v>45736</v>
      </c>
      <c r="F113" s="768" t="s">
        <v>801</v>
      </c>
      <c r="G113" s="786" t="s">
        <v>950</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373" t="s">
        <v>967</v>
      </c>
      <c r="B119" s="667" t="s">
        <v>50</v>
      </c>
      <c r="C119" s="51">
        <v>45838</v>
      </c>
      <c r="D119" s="50" t="s">
        <v>885</v>
      </c>
      <c r="E119" s="51">
        <v>45824</v>
      </c>
      <c r="F119" s="50" t="s">
        <v>68</v>
      </c>
      <c r="G119" s="664" t="s">
        <v>968</v>
      </c>
      <c r="H119" s="52">
        <v>0</v>
      </c>
      <c r="I119" s="658" t="s">
        <v>219</v>
      </c>
      <c r="J119" s="52" t="s">
        <v>63</v>
      </c>
      <c r="K119" s="979" t="s">
        <v>52</v>
      </c>
      <c r="L119" s="970" t="s">
        <v>57</v>
      </c>
      <c r="M119" s="1173">
        <v>1594</v>
      </c>
      <c r="N119" s="426">
        <v>1187.5</v>
      </c>
      <c r="O119" s="970" t="s">
        <v>57</v>
      </c>
      <c r="P119" s="1029" t="s">
        <v>86</v>
      </c>
      <c r="Q119" s="597">
        <v>45818</v>
      </c>
      <c r="R119" s="972">
        <v>65</v>
      </c>
      <c r="S119" s="598">
        <v>65</v>
      </c>
      <c r="T119" s="1174">
        <v>0</v>
      </c>
      <c r="U119" s="871">
        <v>1</v>
      </c>
      <c r="V119" s="873">
        <v>45831</v>
      </c>
      <c r="W119" s="599">
        <v>1</v>
      </c>
      <c r="X119" s="599">
        <v>1</v>
      </c>
      <c r="Y119" s="599">
        <v>1</v>
      </c>
      <c r="Z119" s="597">
        <v>45859</v>
      </c>
      <c r="AA119" s="1175" t="s">
        <v>969</v>
      </c>
    </row>
    <row r="120" spans="1:30" ht="39.75" customHeight="1">
      <c r="A120" s="1032"/>
      <c r="B120" s="556"/>
      <c r="C120" s="557"/>
      <c r="D120" s="557"/>
      <c r="E120" s="557"/>
      <c r="F120" s="611"/>
      <c r="G120" s="558"/>
      <c r="H120" s="119"/>
      <c r="I120" s="612"/>
      <c r="J120" s="119"/>
      <c r="K120" s="556"/>
      <c r="L120" s="119"/>
      <c r="M120" s="559"/>
      <c r="N120" s="560"/>
      <c r="O120" s="119"/>
      <c r="P120" s="119"/>
      <c r="Q120" s="540"/>
      <c r="R120" s="561"/>
      <c r="S120" s="561"/>
      <c r="T120" s="612"/>
      <c r="U120" s="434"/>
      <c r="V120" s="540"/>
      <c r="W120" s="435"/>
      <c r="X120" s="435"/>
      <c r="Y120" s="435"/>
      <c r="Z120" s="540"/>
    </row>
    <row r="121" spans="1:30" ht="39.75" customHeight="1">
      <c r="A121" s="819" t="s">
        <v>970</v>
      </c>
      <c r="B121" s="556"/>
      <c r="C121" s="557"/>
      <c r="D121" s="557"/>
      <c r="E121" s="557"/>
      <c r="F121" s="611"/>
      <c r="G121" s="558"/>
      <c r="H121" s="119"/>
      <c r="I121" s="612"/>
      <c r="J121" s="119"/>
      <c r="K121" s="556"/>
      <c r="L121" s="119"/>
      <c r="M121" s="559"/>
      <c r="N121" s="560">
        <v>31333</v>
      </c>
      <c r="O121" s="119"/>
      <c r="P121" s="119"/>
      <c r="Q121" s="540"/>
      <c r="R121" s="561"/>
      <c r="S121" s="561"/>
      <c r="T121" s="612"/>
      <c r="U121" s="434"/>
      <c r="V121" s="540"/>
      <c r="W121" s="435"/>
      <c r="X121" s="435"/>
      <c r="Y121" s="435"/>
      <c r="Z121" s="540"/>
    </row>
    <row r="122" spans="1:30" ht="39.75" customHeight="1">
      <c r="A122" s="576"/>
      <c r="B122" s="556"/>
      <c r="C122" s="557"/>
      <c r="D122" s="557"/>
      <c r="E122" s="557"/>
      <c r="F122" s="611"/>
      <c r="G122" s="558"/>
      <c r="H122" s="119"/>
      <c r="I122" s="612"/>
      <c r="J122" s="119"/>
      <c r="K122" s="556"/>
      <c r="L122" s="119"/>
      <c r="M122" s="559">
        <v>6122761.6900000004</v>
      </c>
      <c r="N122" s="560">
        <v>6413750.1500000004</v>
      </c>
      <c r="O122" s="119"/>
      <c r="P122" s="119"/>
      <c r="Q122" s="540"/>
      <c r="R122" s="561"/>
      <c r="S122" s="561"/>
      <c r="T122" s="612"/>
      <c r="U122" s="434"/>
      <c r="V122" s="540"/>
      <c r="W122" s="435"/>
      <c r="X122" s="435"/>
      <c r="Y122" s="435"/>
      <c r="Z122" s="540"/>
    </row>
    <row r="123" spans="1:30" ht="39.75" customHeight="1">
      <c r="A123" s="256"/>
      <c r="Q123" s="96"/>
    </row>
    <row r="124" spans="1:30" ht="39.75" customHeight="1">
      <c r="A124" s="562" t="s">
        <v>971</v>
      </c>
      <c r="B124" s="563"/>
    </row>
    <row r="125" spans="1:30" ht="39.75" customHeight="1" thickBot="1">
      <c r="A125" s="425" t="s">
        <v>383</v>
      </c>
      <c r="B125" s="565" t="s">
        <v>20</v>
      </c>
      <c r="C125" s="573" t="s">
        <v>21</v>
      </c>
      <c r="D125" s="565" t="s">
        <v>22</v>
      </c>
      <c r="E125" s="565" t="s">
        <v>23</v>
      </c>
      <c r="F125" s="565" t="s">
        <v>24</v>
      </c>
      <c r="G125" s="565" t="s">
        <v>25</v>
      </c>
      <c r="H125" s="565" t="s">
        <v>26</v>
      </c>
      <c r="I125" s="565" t="s">
        <v>27</v>
      </c>
      <c r="J125" s="565" t="s">
        <v>28</v>
      </c>
      <c r="K125" s="565" t="s">
        <v>30</v>
      </c>
      <c r="L125" s="565" t="s">
        <v>31</v>
      </c>
      <c r="M125" s="574" t="s">
        <v>32</v>
      </c>
      <c r="N125" s="574" t="s">
        <v>653</v>
      </c>
      <c r="O125" s="565" t="s">
        <v>33</v>
      </c>
      <c r="P125" s="565" t="s">
        <v>34</v>
      </c>
      <c r="Q125" s="565" t="s">
        <v>35</v>
      </c>
      <c r="R125" s="565" t="s">
        <v>40</v>
      </c>
      <c r="S125" s="565" t="s">
        <v>41</v>
      </c>
      <c r="T125" s="565" t="s">
        <v>47</v>
      </c>
      <c r="U125" s="565" t="s">
        <v>43</v>
      </c>
      <c r="V125" s="565" t="s">
        <v>44</v>
      </c>
      <c r="W125" s="575" t="s">
        <v>45</v>
      </c>
      <c r="X125" s="565" t="s">
        <v>46</v>
      </c>
      <c r="Y125" s="565" t="s">
        <v>654</v>
      </c>
      <c r="Z125" s="463" t="s">
        <v>39</v>
      </c>
      <c r="AA125" s="583" t="s">
        <v>972</v>
      </c>
    </row>
    <row r="126" spans="1:30" ht="39.75" customHeight="1">
      <c r="A126" s="373" t="s">
        <v>973</v>
      </c>
      <c r="B126" s="390" t="s">
        <v>207</v>
      </c>
      <c r="C126" s="51">
        <v>45711</v>
      </c>
      <c r="D126" s="50" t="s">
        <v>129</v>
      </c>
      <c r="E126" s="51">
        <v>45707</v>
      </c>
      <c r="F126" s="50" t="s">
        <v>974</v>
      </c>
      <c r="G126" s="379" t="s">
        <v>975</v>
      </c>
      <c r="H126" s="52">
        <v>0</v>
      </c>
      <c r="I126" s="380" t="s">
        <v>219</v>
      </c>
      <c r="J126" s="52" t="s">
        <v>63</v>
      </c>
      <c r="K126" s="51">
        <v>45701</v>
      </c>
      <c r="L126" s="52" t="s">
        <v>57</v>
      </c>
      <c r="M126" s="426">
        <v>111163</v>
      </c>
      <c r="N126" s="733"/>
      <c r="O126" s="52" t="s">
        <v>57</v>
      </c>
      <c r="P126" s="584" t="s">
        <v>86</v>
      </c>
      <c r="Q126" s="479">
        <v>45718</v>
      </c>
      <c r="R126" s="41">
        <v>7805</v>
      </c>
      <c r="S126" s="505">
        <v>7969</v>
      </c>
      <c r="T126" s="83">
        <v>0</v>
      </c>
      <c r="U126" s="71">
        <f>IFERROR(Table5[[#This Row],[Actual Redline Completed Footage UG]]/Table5[[#This Row],[Footage UG]], 0)</f>
        <v>1.0210121716848175</v>
      </c>
      <c r="V126" s="676">
        <v>45740</v>
      </c>
      <c r="W126" s="498">
        <v>1</v>
      </c>
      <c r="X126" s="355">
        <v>1</v>
      </c>
      <c r="Y126" s="355">
        <v>1</v>
      </c>
      <c r="Z126" s="479">
        <v>45854</v>
      </c>
      <c r="AA126" s="43"/>
    </row>
    <row r="127" spans="1:30" ht="39.75" customHeight="1">
      <c r="A127" s="744" t="s">
        <v>976</v>
      </c>
      <c r="B127" s="827" t="s">
        <v>207</v>
      </c>
      <c r="C127" s="467">
        <v>45960</v>
      </c>
      <c r="D127" s="475" t="s">
        <v>233</v>
      </c>
      <c r="E127" s="476">
        <v>45944</v>
      </c>
      <c r="F127" s="475" t="s">
        <v>234</v>
      </c>
      <c r="G127" s="821"/>
      <c r="H127" s="478">
        <v>0</v>
      </c>
      <c r="I127" s="825" t="s">
        <v>219</v>
      </c>
      <c r="J127" s="478" t="s">
        <v>63</v>
      </c>
      <c r="K127" s="476" t="s">
        <v>52</v>
      </c>
      <c r="L127" s="478" t="s">
        <v>57</v>
      </c>
      <c r="M127" s="543">
        <v>50539.6</v>
      </c>
      <c r="N127" s="733"/>
      <c r="O127" s="478" t="s">
        <v>57</v>
      </c>
      <c r="P127" s="746" t="s">
        <v>86</v>
      </c>
      <c r="Q127" s="479">
        <v>45932</v>
      </c>
      <c r="R127" s="844">
        <v>4084</v>
      </c>
      <c r="S127" s="497">
        <v>4064</v>
      </c>
      <c r="T127" s="472">
        <f t="shared" ref="T127" si="0">SUM(R127-S127)</f>
        <v>20</v>
      </c>
      <c r="U127" s="660">
        <v>1</v>
      </c>
      <c r="V127" s="479">
        <v>45952</v>
      </c>
      <c r="W127" s="355">
        <v>1</v>
      </c>
      <c r="X127" s="355">
        <v>1</v>
      </c>
      <c r="Y127" s="355">
        <v>1</v>
      </c>
      <c r="Z127" s="479">
        <v>46008</v>
      </c>
      <c r="AA127" s="170" t="s">
        <v>977</v>
      </c>
    </row>
    <row r="128" spans="1:30" ht="39.75" customHeight="1">
      <c r="A128" s="373" t="s">
        <v>978</v>
      </c>
      <c r="B128" s="374" t="s">
        <v>109</v>
      </c>
      <c r="C128" s="51">
        <v>45899</v>
      </c>
      <c r="D128" s="375" t="s">
        <v>129</v>
      </c>
      <c r="E128" s="375">
        <v>45873</v>
      </c>
      <c r="F128" s="587" t="s">
        <v>163</v>
      </c>
      <c r="G128" s="635"/>
      <c r="H128" s="376">
        <v>50</v>
      </c>
      <c r="I128" s="377" t="s">
        <v>219</v>
      </c>
      <c r="J128" s="376" t="s">
        <v>56</v>
      </c>
      <c r="K128" s="375">
        <v>45874</v>
      </c>
      <c r="L128" s="376" t="s">
        <v>57</v>
      </c>
      <c r="M128" s="429">
        <v>11894.25</v>
      </c>
      <c r="N128" s="96"/>
      <c r="O128" s="376" t="s">
        <v>57</v>
      </c>
      <c r="P128" s="585" t="s">
        <v>86</v>
      </c>
      <c r="Q128" s="471">
        <v>45873</v>
      </c>
      <c r="R128" s="416">
        <v>1471</v>
      </c>
      <c r="S128" s="745">
        <v>1437</v>
      </c>
      <c r="T128" s="30">
        <v>0</v>
      </c>
      <c r="U128" s="871">
        <f>IFERROR(Table5[[#This Row],[Actual Redline Completed Footage UG]]/Table5[[#This Row],[Footage UG]], 0)</f>
        <v>0.97688647178789934</v>
      </c>
      <c r="V128" s="676">
        <v>45881</v>
      </c>
      <c r="W128" s="355">
        <v>1</v>
      </c>
      <c r="X128" s="355">
        <v>1</v>
      </c>
      <c r="Y128" s="355">
        <v>1</v>
      </c>
      <c r="Z128" s="471">
        <v>45926</v>
      </c>
      <c r="AA128" s="896"/>
    </row>
    <row r="129" spans="1:27" ht="39.75" customHeight="1" thickBot="1">
      <c r="A129" s="992" t="s">
        <v>979</v>
      </c>
      <c r="B129" s="465" t="s">
        <v>109</v>
      </c>
      <c r="C129" s="467">
        <v>45868</v>
      </c>
      <c r="D129" s="488" t="s">
        <v>129</v>
      </c>
      <c r="E129" s="467">
        <v>45786</v>
      </c>
      <c r="F129" s="488" t="s">
        <v>110</v>
      </c>
      <c r="G129" s="465" t="s">
        <v>980</v>
      </c>
      <c r="H129" s="469">
        <v>0</v>
      </c>
      <c r="I129" s="469" t="s">
        <v>219</v>
      </c>
      <c r="J129" s="469" t="s">
        <v>63</v>
      </c>
      <c r="K129" s="467">
        <v>45786</v>
      </c>
      <c r="L129" s="469" t="s">
        <v>57</v>
      </c>
      <c r="M129" s="993">
        <v>133172.15</v>
      </c>
      <c r="N129" s="733"/>
      <c r="O129" s="469" t="s">
        <v>57</v>
      </c>
      <c r="P129" s="746" t="s">
        <v>86</v>
      </c>
      <c r="Q129" s="471">
        <v>45789</v>
      </c>
      <c r="R129" s="472">
        <v>13306</v>
      </c>
      <c r="S129" s="497">
        <v>12936</v>
      </c>
      <c r="T129" s="146">
        <v>0</v>
      </c>
      <c r="U129" s="655">
        <f>IFERROR(Table5[[#This Row],[Actual Redline Completed Footage UG]]/Table5[[#This Row],[Footage UG]], 0)</f>
        <v>0.97219299564106421</v>
      </c>
      <c r="V129" s="650">
        <v>45810</v>
      </c>
      <c r="W129" s="473">
        <v>1</v>
      </c>
      <c r="X129" s="473">
        <v>1</v>
      </c>
      <c r="Y129" s="355">
        <v>1</v>
      </c>
      <c r="Z129" s="471">
        <v>45917</v>
      </c>
      <c r="AA129" s="594" t="s">
        <v>981</v>
      </c>
    </row>
    <row r="130" spans="1:27" ht="39.75" customHeight="1" thickBot="1">
      <c r="A130" s="373" t="s">
        <v>982</v>
      </c>
      <c r="B130" s="50" t="s">
        <v>109</v>
      </c>
      <c r="C130" s="51">
        <v>45930</v>
      </c>
      <c r="D130" s="51" t="s">
        <v>84</v>
      </c>
      <c r="E130" s="51">
        <v>45918</v>
      </c>
      <c r="F130" s="50" t="s">
        <v>110</v>
      </c>
      <c r="G130" s="668"/>
      <c r="H130" s="52">
        <v>0</v>
      </c>
      <c r="I130" s="658" t="s">
        <v>219</v>
      </c>
      <c r="J130" s="52" t="s">
        <v>63</v>
      </c>
      <c r="K130" s="51">
        <v>45918</v>
      </c>
      <c r="L130" s="376" t="s">
        <v>57</v>
      </c>
      <c r="M130" s="429">
        <v>10840.25</v>
      </c>
      <c r="N130" s="733"/>
      <c r="O130" s="376" t="s">
        <v>57</v>
      </c>
      <c r="P130" s="737" t="s">
        <v>86</v>
      </c>
      <c r="Q130" s="54">
        <v>45912</v>
      </c>
      <c r="R130" s="106">
        <v>865</v>
      </c>
      <c r="S130" s="628">
        <v>851</v>
      </c>
      <c r="T130" s="106">
        <v>0</v>
      </c>
      <c r="U130" s="655">
        <v>0.98</v>
      </c>
      <c r="V130" s="937">
        <v>45924</v>
      </c>
      <c r="W130" s="1002">
        <v>1</v>
      </c>
      <c r="X130" s="1002">
        <v>1</v>
      </c>
      <c r="Y130" s="602">
        <v>1</v>
      </c>
      <c r="Z130" s="597">
        <v>45972</v>
      </c>
      <c r="AA130" s="837" t="s">
        <v>983</v>
      </c>
    </row>
    <row r="131" spans="1:27" ht="39.75" customHeight="1">
      <c r="A131" s="373" t="s">
        <v>984</v>
      </c>
      <c r="B131" s="50" t="s">
        <v>109</v>
      </c>
      <c r="C131" s="51">
        <v>45899</v>
      </c>
      <c r="D131" s="381" t="s">
        <v>129</v>
      </c>
      <c r="E131" s="51">
        <v>45853</v>
      </c>
      <c r="F131" s="50" t="s">
        <v>110</v>
      </c>
      <c r="G131" s="50" t="s">
        <v>985</v>
      </c>
      <c r="H131" s="52">
        <v>0</v>
      </c>
      <c r="I131" s="52" t="s">
        <v>219</v>
      </c>
      <c r="J131" s="52" t="s">
        <v>63</v>
      </c>
      <c r="K131" s="375">
        <v>45853</v>
      </c>
      <c r="L131" s="380" t="s">
        <v>57</v>
      </c>
      <c r="M131" s="429">
        <v>60849.9</v>
      </c>
      <c r="N131" s="96"/>
      <c r="O131" s="380" t="s">
        <v>57</v>
      </c>
      <c r="P131" s="737" t="s">
        <v>86</v>
      </c>
      <c r="Q131" s="124">
        <v>45853</v>
      </c>
      <c r="R131" s="106">
        <v>5276</v>
      </c>
      <c r="S131" s="628">
        <v>5289</v>
      </c>
      <c r="T131" s="30">
        <v>0</v>
      </c>
      <c r="U131" s="22">
        <v>1</v>
      </c>
      <c r="V131" s="937">
        <v>45874</v>
      </c>
      <c r="W131" s="602">
        <v>1</v>
      </c>
      <c r="X131" s="602">
        <v>1</v>
      </c>
      <c r="Y131" s="599">
        <v>1</v>
      </c>
      <c r="Z131" s="597">
        <v>45916</v>
      </c>
      <c r="AA131" s="600" t="s">
        <v>986</v>
      </c>
    </row>
    <row r="132" spans="1:27" ht="39.75" customHeight="1">
      <c r="A132" s="1011" t="s">
        <v>987</v>
      </c>
      <c r="B132" s="465" t="s">
        <v>109</v>
      </c>
      <c r="C132" s="467">
        <v>45868</v>
      </c>
      <c r="D132" s="467" t="s">
        <v>84</v>
      </c>
      <c r="E132" s="467">
        <v>45793</v>
      </c>
      <c r="F132" s="488" t="s">
        <v>110</v>
      </c>
      <c r="G132" s="991" t="s">
        <v>988</v>
      </c>
      <c r="H132" s="469">
        <v>0</v>
      </c>
      <c r="I132" s="469" t="s">
        <v>219</v>
      </c>
      <c r="J132" s="469" t="s">
        <v>63</v>
      </c>
      <c r="K132" s="467">
        <v>45793</v>
      </c>
      <c r="L132" s="469" t="s">
        <v>57</v>
      </c>
      <c r="M132" s="993">
        <v>53589.8</v>
      </c>
      <c r="N132" s="96"/>
      <c r="O132" s="469" t="s">
        <v>57</v>
      </c>
      <c r="P132" s="746" t="s">
        <v>86</v>
      </c>
      <c r="Q132" s="471">
        <v>45793</v>
      </c>
      <c r="R132" s="472">
        <v>8305</v>
      </c>
      <c r="S132" s="497">
        <v>8810</v>
      </c>
      <c r="T132" s="30">
        <v>0</v>
      </c>
      <c r="U132" s="22">
        <f>IFERROR(Table5[[#This Row],[Actual Redline Completed Footage UG]]/Table5[[#This Row],[Footage UG]], 0)</f>
        <v>1.0608067429259482</v>
      </c>
      <c r="V132" s="650">
        <v>45810</v>
      </c>
      <c r="W132" s="355">
        <v>1</v>
      </c>
      <c r="X132" s="355">
        <v>1</v>
      </c>
      <c r="Y132" s="599">
        <v>1</v>
      </c>
      <c r="Z132" s="471">
        <v>45917</v>
      </c>
      <c r="AA132" s="413" t="s">
        <v>989</v>
      </c>
    </row>
    <row r="133" spans="1:27" ht="39.75" customHeight="1">
      <c r="A133" s="373" t="s">
        <v>990</v>
      </c>
      <c r="B133" s="50" t="s">
        <v>109</v>
      </c>
      <c r="C133" s="51">
        <v>45930</v>
      </c>
      <c r="D133" s="51" t="s">
        <v>129</v>
      </c>
      <c r="E133" s="51">
        <v>45884</v>
      </c>
      <c r="F133" s="50" t="s">
        <v>163</v>
      </c>
      <c r="G133" s="379"/>
      <c r="H133" s="52">
        <v>69</v>
      </c>
      <c r="I133" s="380" t="s">
        <v>219</v>
      </c>
      <c r="J133" s="52" t="s">
        <v>63</v>
      </c>
      <c r="K133" s="375">
        <v>45884</v>
      </c>
      <c r="L133" s="376" t="s">
        <v>57</v>
      </c>
      <c r="M133" s="429">
        <v>67441</v>
      </c>
      <c r="N133" s="96"/>
      <c r="O133" s="376" t="s">
        <v>57</v>
      </c>
      <c r="P133" s="737" t="s">
        <v>86</v>
      </c>
      <c r="Q133" s="124">
        <v>45884</v>
      </c>
      <c r="R133" s="106">
        <v>4348</v>
      </c>
      <c r="S133" s="628">
        <v>4122</v>
      </c>
      <c r="T133" s="146">
        <v>0</v>
      </c>
      <c r="U133" s="871">
        <f>IFERROR(Table5[[#This Row],[Actual Redline Completed Footage UG]]/Table5[[#This Row],[Footage UG]], 0)</f>
        <v>0.94802207911683534</v>
      </c>
      <c r="V133" s="873">
        <v>45895</v>
      </c>
      <c r="W133" s="599">
        <v>1</v>
      </c>
      <c r="X133" s="599">
        <v>1</v>
      </c>
      <c r="Y133" s="599">
        <v>1</v>
      </c>
      <c r="Z133" s="597">
        <v>45917</v>
      </c>
      <c r="AA133" s="882" t="s">
        <v>991</v>
      </c>
    </row>
    <row r="134" spans="1:27" ht="39.75" customHeight="1" thickBot="1">
      <c r="A134" s="373" t="s">
        <v>992</v>
      </c>
      <c r="B134" s="374" t="s">
        <v>109</v>
      </c>
      <c r="C134" s="51">
        <v>45868</v>
      </c>
      <c r="D134" s="587" t="s">
        <v>129</v>
      </c>
      <c r="E134" s="375">
        <v>45796</v>
      </c>
      <c r="F134" s="587" t="s">
        <v>163</v>
      </c>
      <c r="G134" s="374" t="s">
        <v>993</v>
      </c>
      <c r="H134" s="376">
        <v>58</v>
      </c>
      <c r="I134" s="376" t="s">
        <v>219</v>
      </c>
      <c r="J134" s="376" t="s">
        <v>63</v>
      </c>
      <c r="K134" s="375">
        <v>45797</v>
      </c>
      <c r="L134" s="376" t="s">
        <v>57</v>
      </c>
      <c r="M134" s="429">
        <v>43097.65</v>
      </c>
      <c r="N134" s="733"/>
      <c r="O134" s="376" t="s">
        <v>57</v>
      </c>
      <c r="P134" s="737" t="s">
        <v>86</v>
      </c>
      <c r="Q134" s="124">
        <v>45810</v>
      </c>
      <c r="R134" s="106">
        <v>3309</v>
      </c>
      <c r="S134" s="628">
        <v>3194</v>
      </c>
      <c r="T134" s="30">
        <v>0</v>
      </c>
      <c r="U134" s="871">
        <f>IFERROR(Table5[[#This Row],[Actual Redline Completed Footage UG]]/Table5[[#This Row],[Footage UG]], 0)</f>
        <v>0.9652462979752191</v>
      </c>
      <c r="V134" s="873">
        <v>45832</v>
      </c>
      <c r="W134" s="599">
        <v>1</v>
      </c>
      <c r="X134" s="599">
        <v>1</v>
      </c>
      <c r="Y134" s="599">
        <v>1</v>
      </c>
      <c r="Z134" s="597">
        <v>45898</v>
      </c>
      <c r="AA134" s="600" t="s">
        <v>994</v>
      </c>
    </row>
    <row r="135" spans="1:27" ht="39.75" customHeight="1" thickBot="1">
      <c r="A135" s="992" t="s">
        <v>995</v>
      </c>
      <c r="B135" s="475" t="s">
        <v>109</v>
      </c>
      <c r="C135" s="476">
        <v>45930</v>
      </c>
      <c r="D135" s="476" t="s">
        <v>129</v>
      </c>
      <c r="E135" s="823">
        <v>45880</v>
      </c>
      <c r="F135" s="428" t="s">
        <v>163</v>
      </c>
      <c r="G135" s="475" t="s">
        <v>996</v>
      </c>
      <c r="H135" s="478">
        <v>62</v>
      </c>
      <c r="I135" s="478" t="s">
        <v>219</v>
      </c>
      <c r="J135" s="478" t="s">
        <v>63</v>
      </c>
      <c r="K135" s="467">
        <v>45880</v>
      </c>
      <c r="L135" s="469" t="s">
        <v>57</v>
      </c>
      <c r="M135" s="993">
        <v>56807.95</v>
      </c>
      <c r="N135" s="733"/>
      <c r="O135" s="469" t="s">
        <v>57</v>
      </c>
      <c r="P135" s="746" t="s">
        <v>86</v>
      </c>
      <c r="Q135" s="471">
        <v>45880</v>
      </c>
      <c r="R135" s="472">
        <v>3787</v>
      </c>
      <c r="S135" s="497">
        <v>4670</v>
      </c>
      <c r="T135" s="30">
        <v>0</v>
      </c>
      <c r="U135" s="655">
        <f>IFERROR(Table5[[#This Row],[Actual Redline Completed Footage UG]]/Table5[[#This Row],[Footage UG]], 0)</f>
        <v>1.2331660945339318</v>
      </c>
      <c r="V135" s="676">
        <v>45888</v>
      </c>
      <c r="W135" s="355">
        <v>1</v>
      </c>
      <c r="X135" s="355">
        <v>1</v>
      </c>
      <c r="Y135" s="599">
        <v>1</v>
      </c>
      <c r="Z135" s="596">
        <v>45917</v>
      </c>
      <c r="AA135" s="413" t="s">
        <v>997</v>
      </c>
    </row>
    <row r="136" spans="1:27" ht="39.75" customHeight="1" thickBot="1">
      <c r="A136" s="373" t="s">
        <v>998</v>
      </c>
      <c r="B136" s="374" t="s">
        <v>109</v>
      </c>
      <c r="C136" s="51">
        <v>45930</v>
      </c>
      <c r="D136" s="375" t="s">
        <v>129</v>
      </c>
      <c r="E136" s="647">
        <v>45882</v>
      </c>
      <c r="F136" s="647" t="s">
        <v>163</v>
      </c>
      <c r="G136" s="374" t="s">
        <v>999</v>
      </c>
      <c r="H136" s="376">
        <v>85</v>
      </c>
      <c r="I136" s="376" t="s">
        <v>219</v>
      </c>
      <c r="J136" s="376" t="s">
        <v>63</v>
      </c>
      <c r="K136" s="375">
        <v>45882</v>
      </c>
      <c r="L136" s="376" t="s">
        <v>57</v>
      </c>
      <c r="M136" s="429">
        <v>59869.5</v>
      </c>
      <c r="N136" s="733"/>
      <c r="O136" s="376" t="s">
        <v>57</v>
      </c>
      <c r="P136" s="585" t="s">
        <v>86</v>
      </c>
      <c r="Q136" s="639">
        <v>45882</v>
      </c>
      <c r="R136" s="897">
        <v>4537</v>
      </c>
      <c r="S136" s="497">
        <v>4604</v>
      </c>
      <c r="T136" s="30">
        <v>0</v>
      </c>
      <c r="U136" s="655">
        <f>IFERROR(Table5[[#This Row],[Actual Redline Completed Footage UG]]/Table5[[#This Row],[Footage UG]], 0)</f>
        <v>1.0147674674895306</v>
      </c>
      <c r="V136" s="196">
        <v>45894</v>
      </c>
      <c r="W136" s="343">
        <v>1</v>
      </c>
      <c r="X136" s="343">
        <v>1</v>
      </c>
      <c r="Y136" s="343">
        <v>1</v>
      </c>
      <c r="Z136" s="347">
        <v>45917</v>
      </c>
      <c r="AA136" s="174" t="s">
        <v>1000</v>
      </c>
    </row>
    <row r="137" spans="1:27" ht="39.75" customHeight="1" thickBot="1">
      <c r="A137" s="373" t="s">
        <v>1001</v>
      </c>
      <c r="B137" s="374" t="s">
        <v>109</v>
      </c>
      <c r="C137" s="51">
        <v>45930</v>
      </c>
      <c r="D137" s="375" t="s">
        <v>129</v>
      </c>
      <c r="E137" s="375">
        <v>45896</v>
      </c>
      <c r="F137" s="587" t="s">
        <v>163</v>
      </c>
      <c r="G137" s="374" t="s">
        <v>728</v>
      </c>
      <c r="H137" s="376">
        <v>72</v>
      </c>
      <c r="I137" s="376" t="s">
        <v>219</v>
      </c>
      <c r="J137" s="376" t="s">
        <v>63</v>
      </c>
      <c r="K137" s="375">
        <v>45897</v>
      </c>
      <c r="L137" s="376" t="s">
        <v>57</v>
      </c>
      <c r="M137" s="429">
        <v>50874.95</v>
      </c>
      <c r="N137" s="733"/>
      <c r="O137" s="376" t="s">
        <v>57</v>
      </c>
      <c r="P137" s="593" t="s">
        <v>86</v>
      </c>
      <c r="Q137" s="193">
        <v>45897</v>
      </c>
      <c r="R137" s="106">
        <v>3012</v>
      </c>
      <c r="S137" s="872">
        <v>3012</v>
      </c>
      <c r="T137" s="106">
        <v>0</v>
      </c>
      <c r="U137" s="655">
        <v>1</v>
      </c>
      <c r="V137" s="196">
        <v>45916</v>
      </c>
      <c r="W137" s="439">
        <v>1</v>
      </c>
      <c r="X137" s="343">
        <v>1</v>
      </c>
      <c r="Y137" s="144">
        <v>1</v>
      </c>
      <c r="Z137" s="166">
        <v>45972</v>
      </c>
      <c r="AA137" s="149" t="s">
        <v>1002</v>
      </c>
    </row>
    <row r="138" spans="1:27" ht="39.75" customHeight="1" thickBot="1">
      <c r="A138" s="373" t="s">
        <v>1003</v>
      </c>
      <c r="B138" s="374" t="s">
        <v>109</v>
      </c>
      <c r="C138" s="51">
        <v>45930</v>
      </c>
      <c r="D138" s="375" t="s">
        <v>129</v>
      </c>
      <c r="E138" s="647">
        <v>45910</v>
      </c>
      <c r="F138" s="374" t="s">
        <v>110</v>
      </c>
      <c r="G138" s="669"/>
      <c r="H138" s="376">
        <v>54</v>
      </c>
      <c r="I138" s="665" t="s">
        <v>219</v>
      </c>
      <c r="J138" s="376" t="s">
        <v>63</v>
      </c>
      <c r="K138" s="375">
        <v>45903</v>
      </c>
      <c r="L138" s="376" t="s">
        <v>57</v>
      </c>
      <c r="M138" s="429">
        <v>27186</v>
      </c>
      <c r="N138" s="733"/>
      <c r="O138" s="376" t="s">
        <v>57</v>
      </c>
      <c r="P138" s="737" t="s">
        <v>86</v>
      </c>
      <c r="Q138" s="124">
        <v>45903</v>
      </c>
      <c r="R138" s="106">
        <v>2084</v>
      </c>
      <c r="S138" s="628">
        <v>2039</v>
      </c>
      <c r="T138" s="106">
        <v>0</v>
      </c>
      <c r="U138" s="655">
        <v>0.98</v>
      </c>
      <c r="V138" s="873">
        <v>45918</v>
      </c>
      <c r="W138" s="599">
        <v>1</v>
      </c>
      <c r="X138" s="599">
        <v>1</v>
      </c>
      <c r="Y138" s="602">
        <v>1</v>
      </c>
      <c r="Z138" s="54">
        <v>45972</v>
      </c>
      <c r="AA138" s="837" t="s">
        <v>1004</v>
      </c>
    </row>
    <row r="139" spans="1:27" ht="39.75" customHeight="1" thickBot="1">
      <c r="A139" s="373" t="s">
        <v>1005</v>
      </c>
      <c r="B139" s="50" t="s">
        <v>109</v>
      </c>
      <c r="C139" s="51">
        <v>45899</v>
      </c>
      <c r="D139" s="381" t="s">
        <v>141</v>
      </c>
      <c r="E139" s="51">
        <v>45887</v>
      </c>
      <c r="F139" s="381" t="s">
        <v>163</v>
      </c>
      <c r="G139" s="379" t="s">
        <v>1006</v>
      </c>
      <c r="H139" s="52">
        <v>70</v>
      </c>
      <c r="I139" s="380" t="s">
        <v>219</v>
      </c>
      <c r="J139" s="52" t="s">
        <v>63</v>
      </c>
      <c r="K139" s="375">
        <v>45887</v>
      </c>
      <c r="L139" s="376" t="s">
        <v>57</v>
      </c>
      <c r="M139" s="429">
        <v>69889</v>
      </c>
      <c r="N139" s="96"/>
      <c r="O139" s="376" t="s">
        <v>57</v>
      </c>
      <c r="P139" s="585" t="s">
        <v>86</v>
      </c>
      <c r="Q139" s="471">
        <v>45887</v>
      </c>
      <c r="R139" s="472">
        <v>3836</v>
      </c>
      <c r="S139" s="497">
        <v>3836</v>
      </c>
      <c r="T139" s="30">
        <v>0</v>
      </c>
      <c r="U139" s="655">
        <v>1</v>
      </c>
      <c r="V139" s="676">
        <v>45896</v>
      </c>
      <c r="W139" s="355">
        <v>1</v>
      </c>
      <c r="X139" s="355">
        <v>1</v>
      </c>
      <c r="Y139" s="355">
        <v>1</v>
      </c>
      <c r="Z139" s="54">
        <v>45917</v>
      </c>
      <c r="AA139" s="869" t="s">
        <v>1007</v>
      </c>
    </row>
    <row r="140" spans="1:27" ht="39.75" customHeight="1" thickBot="1">
      <c r="A140" s="373" t="s">
        <v>1008</v>
      </c>
      <c r="B140" s="50" t="s">
        <v>109</v>
      </c>
      <c r="C140" s="51">
        <v>45899</v>
      </c>
      <c r="D140" s="51" t="s">
        <v>129</v>
      </c>
      <c r="E140" s="51">
        <v>45887</v>
      </c>
      <c r="F140" s="50" t="s">
        <v>110</v>
      </c>
      <c r="G140" s="379" t="s">
        <v>1009</v>
      </c>
      <c r="H140" s="52">
        <v>84</v>
      </c>
      <c r="I140" s="380" t="s">
        <v>219</v>
      </c>
      <c r="J140" s="52" t="s">
        <v>63</v>
      </c>
      <c r="K140" s="375">
        <v>45887</v>
      </c>
      <c r="L140" s="376" t="s">
        <v>57</v>
      </c>
      <c r="M140" s="429">
        <v>52110</v>
      </c>
      <c r="N140" s="733"/>
      <c r="O140" s="376" t="s">
        <v>57</v>
      </c>
      <c r="P140" s="585" t="s">
        <v>86</v>
      </c>
      <c r="Q140" s="124">
        <v>45887</v>
      </c>
      <c r="R140" s="106">
        <v>4071</v>
      </c>
      <c r="S140" s="627">
        <v>4043</v>
      </c>
      <c r="T140" s="30">
        <v>0</v>
      </c>
      <c r="U140" s="655">
        <f>IFERROR(Table5[[#This Row],[Actual Redline Completed Footage UG]]/Table5[[#This Row],[Footage UG]], 0)</f>
        <v>0.99312208302628346</v>
      </c>
      <c r="V140" s="676">
        <v>45895</v>
      </c>
      <c r="W140" s="355">
        <v>1</v>
      </c>
      <c r="X140" s="355">
        <v>1</v>
      </c>
      <c r="Y140" s="355">
        <v>1</v>
      </c>
      <c r="Z140" s="54">
        <v>45917</v>
      </c>
      <c r="AA140" s="436" t="s">
        <v>1010</v>
      </c>
    </row>
    <row r="141" spans="1:27" ht="39.75" customHeight="1" thickBot="1">
      <c r="A141" s="373" t="s">
        <v>1011</v>
      </c>
      <c r="B141" s="50" t="s">
        <v>109</v>
      </c>
      <c r="C141" s="51">
        <v>45930</v>
      </c>
      <c r="D141" s="51" t="s">
        <v>129</v>
      </c>
      <c r="E141" s="51">
        <v>45896</v>
      </c>
      <c r="F141" s="381" t="s">
        <v>163</v>
      </c>
      <c r="G141" s="379"/>
      <c r="H141" s="52">
        <v>87</v>
      </c>
      <c r="I141" s="380" t="s">
        <v>219</v>
      </c>
      <c r="J141" s="52" t="s">
        <v>63</v>
      </c>
      <c r="K141" s="375">
        <v>45897</v>
      </c>
      <c r="L141" s="376" t="s">
        <v>57</v>
      </c>
      <c r="M141" s="429">
        <v>52204</v>
      </c>
      <c r="N141" s="733"/>
      <c r="O141" s="376" t="s">
        <v>57</v>
      </c>
      <c r="P141" s="737" t="s">
        <v>86</v>
      </c>
      <c r="Q141" s="347">
        <v>45896</v>
      </c>
      <c r="R141" s="893">
        <v>4048</v>
      </c>
      <c r="S141" s="628">
        <v>5120</v>
      </c>
      <c r="T141" s="106">
        <v>0</v>
      </c>
      <c r="U141" s="22">
        <v>1.26</v>
      </c>
      <c r="V141" s="873">
        <v>45910</v>
      </c>
      <c r="W141" s="599">
        <v>1</v>
      </c>
      <c r="X141" s="599">
        <v>1</v>
      </c>
      <c r="Y141" s="602">
        <v>1</v>
      </c>
      <c r="Z141" s="54">
        <v>45972</v>
      </c>
      <c r="AA141" s="882" t="s">
        <v>1012</v>
      </c>
    </row>
    <row r="142" spans="1:27" ht="39.75" customHeight="1" thickBot="1">
      <c r="A142" s="373" t="s">
        <v>1013</v>
      </c>
      <c r="B142" s="50" t="s">
        <v>109</v>
      </c>
      <c r="C142" s="51">
        <v>45930</v>
      </c>
      <c r="D142" s="51" t="s">
        <v>129</v>
      </c>
      <c r="E142" s="51">
        <v>45915</v>
      </c>
      <c r="F142" s="656" t="s">
        <v>163</v>
      </c>
      <c r="G142" s="668"/>
      <c r="H142" s="52">
        <v>53</v>
      </c>
      <c r="I142" s="658" t="s">
        <v>219</v>
      </c>
      <c r="J142" s="52" t="s">
        <v>63</v>
      </c>
      <c r="K142" s="375">
        <v>45912</v>
      </c>
      <c r="L142" s="376" t="s">
        <v>57</v>
      </c>
      <c r="M142" s="429">
        <v>47676</v>
      </c>
      <c r="N142" s="733"/>
      <c r="O142" s="376" t="s">
        <v>57</v>
      </c>
      <c r="P142" s="737" t="s">
        <v>86</v>
      </c>
      <c r="Q142" s="124">
        <v>45912</v>
      </c>
      <c r="R142" s="106">
        <v>4022</v>
      </c>
      <c r="S142" s="628">
        <v>3933</v>
      </c>
      <c r="T142" s="106">
        <v>0</v>
      </c>
      <c r="U142" s="655">
        <v>0.98</v>
      </c>
      <c r="V142" s="873">
        <v>45931</v>
      </c>
      <c r="W142" s="599">
        <v>1</v>
      </c>
      <c r="X142" s="599">
        <v>1</v>
      </c>
      <c r="Y142" s="602">
        <v>1</v>
      </c>
      <c r="Z142" s="54">
        <v>45972</v>
      </c>
      <c r="AA142" s="837" t="s">
        <v>1014</v>
      </c>
    </row>
    <row r="143" spans="1:27" ht="39.75" customHeight="1" thickBot="1">
      <c r="A143" s="373" t="s">
        <v>1015</v>
      </c>
      <c r="B143" s="50" t="s">
        <v>109</v>
      </c>
      <c r="C143" s="51">
        <v>45945</v>
      </c>
      <c r="D143" s="51" t="s">
        <v>129</v>
      </c>
      <c r="E143" s="51">
        <v>45945</v>
      </c>
      <c r="F143" s="50" t="s">
        <v>142</v>
      </c>
      <c r="G143" s="668"/>
      <c r="H143" s="52">
        <v>59</v>
      </c>
      <c r="I143" s="658" t="s">
        <v>219</v>
      </c>
      <c r="J143" s="52" t="s">
        <v>63</v>
      </c>
      <c r="K143" s="375">
        <v>45933</v>
      </c>
      <c r="L143" s="376" t="s">
        <v>57</v>
      </c>
      <c r="M143" s="429">
        <v>44697.599999999999</v>
      </c>
      <c r="N143" s="733"/>
      <c r="O143" s="376" t="s">
        <v>57</v>
      </c>
      <c r="P143" s="737" t="s">
        <v>86</v>
      </c>
      <c r="Q143" s="124">
        <v>45933</v>
      </c>
      <c r="R143" s="106">
        <v>3495</v>
      </c>
      <c r="S143" s="628">
        <v>3448</v>
      </c>
      <c r="T143" s="106">
        <v>0</v>
      </c>
      <c r="U143" s="655">
        <v>0.99</v>
      </c>
      <c r="V143" s="873">
        <v>45945</v>
      </c>
      <c r="W143" s="599">
        <v>1</v>
      </c>
      <c r="X143" s="599">
        <v>1</v>
      </c>
      <c r="Y143" s="602">
        <v>1</v>
      </c>
      <c r="Z143" s="54">
        <v>45972</v>
      </c>
      <c r="AA143" s="1028" t="s">
        <v>1016</v>
      </c>
    </row>
    <row r="144" spans="1:27" ht="39.75" customHeight="1" thickBot="1">
      <c r="A144" s="373" t="s">
        <v>1017</v>
      </c>
      <c r="B144" s="50" t="s">
        <v>109</v>
      </c>
      <c r="C144" s="51">
        <v>45960</v>
      </c>
      <c r="D144" s="51" t="s">
        <v>202</v>
      </c>
      <c r="E144" s="51">
        <v>45950</v>
      </c>
      <c r="F144" s="50" t="s">
        <v>142</v>
      </c>
      <c r="G144" s="668"/>
      <c r="H144" s="52">
        <v>82</v>
      </c>
      <c r="I144" s="658" t="s">
        <v>219</v>
      </c>
      <c r="J144" s="52" t="s">
        <v>63</v>
      </c>
      <c r="K144" s="375">
        <v>45933</v>
      </c>
      <c r="L144" s="376" t="s">
        <v>57</v>
      </c>
      <c r="M144" s="429">
        <v>58864</v>
      </c>
      <c r="N144" s="733"/>
      <c r="O144" s="376" t="s">
        <v>57</v>
      </c>
      <c r="P144" s="737" t="s">
        <v>86</v>
      </c>
      <c r="Q144" s="124">
        <v>45933</v>
      </c>
      <c r="R144" s="106">
        <v>4747</v>
      </c>
      <c r="S144" s="628">
        <v>4925</v>
      </c>
      <c r="T144" s="106">
        <v>0</v>
      </c>
      <c r="U144" s="655">
        <v>1.04</v>
      </c>
      <c r="V144" s="873">
        <v>45951</v>
      </c>
      <c r="W144" s="599">
        <v>1</v>
      </c>
      <c r="X144" s="599">
        <v>1</v>
      </c>
      <c r="Y144" s="602">
        <v>1</v>
      </c>
      <c r="Z144" s="54">
        <v>45972</v>
      </c>
      <c r="AA144" s="882" t="s">
        <v>1018</v>
      </c>
    </row>
    <row r="145" spans="1:30" ht="39.75" customHeight="1">
      <c r="A145" s="373" t="s">
        <v>1019</v>
      </c>
      <c r="B145" s="667" t="s">
        <v>109</v>
      </c>
      <c r="C145" s="51">
        <v>45930</v>
      </c>
      <c r="D145" s="656" t="s">
        <v>84</v>
      </c>
      <c r="E145" s="51">
        <v>45902</v>
      </c>
      <c r="F145" s="50" t="s">
        <v>110</v>
      </c>
      <c r="G145" s="50"/>
      <c r="H145" s="52">
        <v>0</v>
      </c>
      <c r="I145" s="52" t="s">
        <v>219</v>
      </c>
      <c r="J145" s="52" t="s">
        <v>63</v>
      </c>
      <c r="K145" s="375">
        <v>45902</v>
      </c>
      <c r="L145" s="376" t="s">
        <v>57</v>
      </c>
      <c r="M145" s="429">
        <v>12695</v>
      </c>
      <c r="N145" s="733"/>
      <c r="O145" s="376" t="s">
        <v>57</v>
      </c>
      <c r="P145" s="737" t="s">
        <v>86</v>
      </c>
      <c r="Q145" s="124">
        <v>45902</v>
      </c>
      <c r="R145" s="1026">
        <v>1010</v>
      </c>
      <c r="S145" s="1027">
        <v>978</v>
      </c>
      <c r="T145" s="106">
        <v>0</v>
      </c>
      <c r="U145" s="655">
        <v>0.97</v>
      </c>
      <c r="V145" s="873">
        <v>45911</v>
      </c>
      <c r="W145" s="599">
        <v>1</v>
      </c>
      <c r="X145" s="599">
        <v>1</v>
      </c>
      <c r="Y145" s="602">
        <v>1</v>
      </c>
      <c r="Z145" s="54">
        <v>45972</v>
      </c>
      <c r="AA145" s="837" t="s">
        <v>1020</v>
      </c>
    </row>
    <row r="146" spans="1:30" ht="39.75" customHeight="1">
      <c r="A146" s="762" t="s">
        <v>784</v>
      </c>
      <c r="B146" s="1156" t="s">
        <v>109</v>
      </c>
      <c r="C146" s="936">
        <v>45838</v>
      </c>
      <c r="D146" s="1157" t="s">
        <v>129</v>
      </c>
      <c r="E146" s="936">
        <v>45817</v>
      </c>
      <c r="F146" s="1157" t="s">
        <v>110</v>
      </c>
      <c r="G146" s="1170" t="s">
        <v>1021</v>
      </c>
      <c r="H146" s="953">
        <v>0</v>
      </c>
      <c r="I146" s="1025" t="s">
        <v>219</v>
      </c>
      <c r="J146" s="953" t="s">
        <v>63</v>
      </c>
      <c r="K146" s="1171">
        <v>45821</v>
      </c>
      <c r="L146" s="1025" t="s">
        <v>57</v>
      </c>
      <c r="M146" s="955">
        <v>23436.55</v>
      </c>
      <c r="N146" s="733"/>
      <c r="O146" s="1025" t="s">
        <v>57</v>
      </c>
      <c r="P146" s="764" t="s">
        <v>86</v>
      </c>
      <c r="Q146" s="596">
        <v>45817</v>
      </c>
      <c r="R146" s="598">
        <v>1769</v>
      </c>
      <c r="S146" s="1163">
        <v>1044</v>
      </c>
      <c r="T146" s="654">
        <v>0</v>
      </c>
      <c r="U146" s="871">
        <f>IFERROR(Table5[[#This Row],[Actual Redline Completed Footage UG]]/Table5[[#This Row],[Footage UG]], 0)</f>
        <v>0.5901639344262295</v>
      </c>
      <c r="V146" s="873">
        <v>45831</v>
      </c>
      <c r="W146" s="599">
        <v>1</v>
      </c>
      <c r="X146" s="599">
        <v>1</v>
      </c>
      <c r="Y146" s="599">
        <v>1</v>
      </c>
      <c r="Z146" s="54">
        <v>45897</v>
      </c>
      <c r="AA146" s="1172" t="s">
        <v>1022</v>
      </c>
    </row>
    <row r="147" spans="1:30" ht="39.75" customHeight="1" thickBot="1">
      <c r="A147" s="762" t="s">
        <v>1023</v>
      </c>
      <c r="B147" s="1021" t="s">
        <v>109</v>
      </c>
      <c r="C147" s="963">
        <v>45899</v>
      </c>
      <c r="D147" s="936" t="s">
        <v>84</v>
      </c>
      <c r="E147" s="936">
        <v>45876</v>
      </c>
      <c r="F147" s="936" t="s">
        <v>110</v>
      </c>
      <c r="G147" s="1024" t="s">
        <v>1024</v>
      </c>
      <c r="H147" s="953">
        <v>0</v>
      </c>
      <c r="I147" s="1025" t="s">
        <v>219</v>
      </c>
      <c r="J147" s="953" t="s">
        <v>63</v>
      </c>
      <c r="K147" s="936">
        <v>45876</v>
      </c>
      <c r="L147" s="953" t="s">
        <v>57</v>
      </c>
      <c r="M147" s="955">
        <v>1462.85</v>
      </c>
      <c r="N147" s="96"/>
      <c r="O147" s="953" t="s">
        <v>57</v>
      </c>
      <c r="P147" s="764" t="s">
        <v>86</v>
      </c>
      <c r="Q147" s="347">
        <v>45876</v>
      </c>
      <c r="R147" s="965">
        <v>116</v>
      </c>
      <c r="S147" s="894">
        <v>130</v>
      </c>
      <c r="T147" s="30">
        <v>0</v>
      </c>
      <c r="U147" s="871">
        <f>IFERROR(Table5[[#This Row],[Actual Redline Completed Footage UG]]/Table5[[#This Row],[Footage UG]], 0)</f>
        <v>1.1206896551724137</v>
      </c>
      <c r="V147" s="873">
        <v>45896</v>
      </c>
      <c r="W147" s="964">
        <v>1</v>
      </c>
      <c r="X147" s="964">
        <v>1</v>
      </c>
      <c r="Y147" s="964">
        <v>1</v>
      </c>
      <c r="Z147" s="124">
        <v>45926</v>
      </c>
      <c r="AA147" s="966" t="s">
        <v>1025</v>
      </c>
    </row>
    <row r="148" spans="1:30" ht="39.75" customHeight="1" thickBot="1">
      <c r="A148" s="765" t="s">
        <v>770</v>
      </c>
      <c r="B148" s="889" t="s">
        <v>109</v>
      </c>
      <c r="C148" s="57">
        <v>45899</v>
      </c>
      <c r="D148" s="883" t="s">
        <v>129</v>
      </c>
      <c r="E148" s="883">
        <v>45882</v>
      </c>
      <c r="F148" s="1013" t="s">
        <v>163</v>
      </c>
      <c r="G148" s="1019" t="s">
        <v>771</v>
      </c>
      <c r="H148" s="788">
        <v>0</v>
      </c>
      <c r="I148" s="800" t="s">
        <v>219</v>
      </c>
      <c r="J148" s="788" t="s">
        <v>63</v>
      </c>
      <c r="K148" s="375">
        <v>45882</v>
      </c>
      <c r="L148" s="376" t="s">
        <v>57</v>
      </c>
      <c r="M148" s="429">
        <v>13056.5</v>
      </c>
      <c r="N148" s="781"/>
      <c r="O148" s="376" t="s">
        <v>57</v>
      </c>
      <c r="P148" s="585" t="s">
        <v>86</v>
      </c>
      <c r="Q148" s="471">
        <v>45882</v>
      </c>
      <c r="R148" s="416">
        <v>1100</v>
      </c>
      <c r="S148" s="745">
        <v>1110</v>
      </c>
      <c r="T148" s="30">
        <v>0</v>
      </c>
      <c r="U148" s="871">
        <f>IFERROR(Table5[[#This Row],[Actual Redline Completed Footage UG]]/Table5[[#This Row],[Footage UG]], 0)</f>
        <v>1.009090909090909</v>
      </c>
      <c r="V148" s="676">
        <v>45887</v>
      </c>
      <c r="W148" s="355">
        <v>1</v>
      </c>
      <c r="X148" s="355">
        <v>1</v>
      </c>
      <c r="Y148" s="355">
        <v>1</v>
      </c>
      <c r="Z148" s="124">
        <v>45926</v>
      </c>
      <c r="AA148" s="170" t="s">
        <v>772</v>
      </c>
    </row>
    <row r="149" spans="1:30" ht="39.75" customHeight="1" thickBot="1">
      <c r="A149" s="765" t="s">
        <v>1026</v>
      </c>
      <c r="B149" s="889" t="s">
        <v>109</v>
      </c>
      <c r="C149" s="57">
        <v>45868</v>
      </c>
      <c r="D149" s="768" t="s">
        <v>84</v>
      </c>
      <c r="E149" s="883">
        <v>45853</v>
      </c>
      <c r="F149" s="1012" t="s">
        <v>110</v>
      </c>
      <c r="G149" s="1022" t="s">
        <v>1027</v>
      </c>
      <c r="H149" s="788">
        <v>0</v>
      </c>
      <c r="I149" s="788" t="s">
        <v>219</v>
      </c>
      <c r="J149" s="788" t="s">
        <v>63</v>
      </c>
      <c r="K149" s="467">
        <v>45853</v>
      </c>
      <c r="L149" s="469" t="s">
        <v>57</v>
      </c>
      <c r="M149" s="993">
        <v>68216.5</v>
      </c>
      <c r="N149" s="775"/>
      <c r="O149" s="469" t="s">
        <v>57</v>
      </c>
      <c r="P149" s="746" t="s">
        <v>86</v>
      </c>
      <c r="Q149" s="471">
        <v>45853</v>
      </c>
      <c r="R149" s="957">
        <v>581</v>
      </c>
      <c r="S149" s="958">
        <v>581</v>
      </c>
      <c r="T149" s="30">
        <v>0</v>
      </c>
      <c r="U149" s="871">
        <f>IFERROR(Table5[[#This Row],[Actual Redline Completed Footage UG]]/Table5[[#This Row],[Footage UG]], 0)</f>
        <v>1</v>
      </c>
      <c r="V149" s="676">
        <v>45868</v>
      </c>
      <c r="W149" s="355">
        <v>1</v>
      </c>
      <c r="X149" s="355">
        <v>1</v>
      </c>
      <c r="Y149" s="355">
        <v>1</v>
      </c>
      <c r="Z149" s="479">
        <v>45916</v>
      </c>
      <c r="AA149" s="868" t="s">
        <v>1028</v>
      </c>
    </row>
    <row r="150" spans="1:30" ht="39.75" customHeight="1" thickBot="1">
      <c r="A150" s="373" t="s">
        <v>1029</v>
      </c>
      <c r="B150" s="1010" t="s">
        <v>109</v>
      </c>
      <c r="C150" s="51">
        <v>45960</v>
      </c>
      <c r="D150" s="51" t="s">
        <v>84</v>
      </c>
      <c r="E150" s="51">
        <v>45945</v>
      </c>
      <c r="F150" s="50" t="s">
        <v>110</v>
      </c>
      <c r="G150" s="668" t="s">
        <v>1030</v>
      </c>
      <c r="H150" s="52">
        <v>0</v>
      </c>
      <c r="I150" s="52" t="s">
        <v>219</v>
      </c>
      <c r="J150" s="52" t="s">
        <v>63</v>
      </c>
      <c r="K150" s="375">
        <v>45936</v>
      </c>
      <c r="L150" s="376" t="s">
        <v>57</v>
      </c>
      <c r="M150" s="429">
        <v>4235.8</v>
      </c>
      <c r="N150" s="733"/>
      <c r="O150" s="376" t="s">
        <v>57</v>
      </c>
      <c r="P150" s="585" t="s">
        <v>86</v>
      </c>
      <c r="Q150" s="471">
        <v>45939</v>
      </c>
      <c r="R150" s="416">
        <v>228</v>
      </c>
      <c r="S150" s="745">
        <v>240</v>
      </c>
      <c r="T150" s="893">
        <v>0</v>
      </c>
      <c r="U150" s="806">
        <v>1.05</v>
      </c>
      <c r="V150" s="676">
        <v>45926</v>
      </c>
      <c r="W150" s="355">
        <v>1</v>
      </c>
      <c r="X150" s="355">
        <v>1</v>
      </c>
      <c r="Y150" s="473">
        <v>1</v>
      </c>
      <c r="Z150" s="166">
        <v>45972</v>
      </c>
      <c r="AA150" s="515" t="s">
        <v>1031</v>
      </c>
    </row>
    <row r="151" spans="1:30" ht="39.75" customHeight="1" thickBot="1">
      <c r="A151" s="765" t="s">
        <v>1032</v>
      </c>
      <c r="B151" s="768" t="s">
        <v>109</v>
      </c>
      <c r="C151" s="57">
        <v>45930</v>
      </c>
      <c r="D151" s="57" t="s">
        <v>129</v>
      </c>
      <c r="E151" s="57">
        <v>45874</v>
      </c>
      <c r="F151" s="769" t="s">
        <v>163</v>
      </c>
      <c r="G151" s="771"/>
      <c r="H151" s="772">
        <v>208</v>
      </c>
      <c r="I151" s="778" t="s">
        <v>219</v>
      </c>
      <c r="J151" s="772" t="s">
        <v>56</v>
      </c>
      <c r="K151" s="467">
        <v>45876</v>
      </c>
      <c r="L151" s="469" t="s">
        <v>57</v>
      </c>
      <c r="M151" s="993">
        <v>124980</v>
      </c>
      <c r="N151" s="781"/>
      <c r="O151" s="469" t="s">
        <v>57</v>
      </c>
      <c r="P151" s="746" t="s">
        <v>86</v>
      </c>
      <c r="Q151" s="471">
        <v>45876</v>
      </c>
      <c r="R151" s="416">
        <v>11700</v>
      </c>
      <c r="S151" s="745">
        <v>11820</v>
      </c>
      <c r="T151" s="114">
        <v>0</v>
      </c>
      <c r="U151" s="22">
        <v>1.01</v>
      </c>
      <c r="V151" s="676">
        <v>45890</v>
      </c>
      <c r="W151" s="355">
        <v>1</v>
      </c>
      <c r="X151" s="355">
        <v>1</v>
      </c>
      <c r="Y151" s="660">
        <v>1</v>
      </c>
      <c r="Z151" s="124">
        <v>45926</v>
      </c>
      <c r="AA151" s="515" t="s">
        <v>1033</v>
      </c>
    </row>
    <row r="152" spans="1:30" ht="39.75" customHeight="1" thickBot="1">
      <c r="A152" s="765" t="s">
        <v>1034</v>
      </c>
      <c r="B152" s="767" t="s">
        <v>50</v>
      </c>
      <c r="C152" s="57">
        <v>45772</v>
      </c>
      <c r="D152" s="768" t="s">
        <v>813</v>
      </c>
      <c r="E152" s="57">
        <v>45716</v>
      </c>
      <c r="F152" s="768" t="s">
        <v>817</v>
      </c>
      <c r="G152" s="884" t="s">
        <v>1035</v>
      </c>
      <c r="H152" s="772">
        <v>56</v>
      </c>
      <c r="I152" s="772" t="s">
        <v>219</v>
      </c>
      <c r="J152" s="772" t="s">
        <v>63</v>
      </c>
      <c r="K152" s="503">
        <v>45716</v>
      </c>
      <c r="L152" s="116" t="s">
        <v>57</v>
      </c>
      <c r="M152" s="773">
        <v>45321.5</v>
      </c>
      <c r="N152" s="781"/>
      <c r="O152" s="116" t="s">
        <v>57</v>
      </c>
      <c r="P152" s="763" t="s">
        <v>86</v>
      </c>
      <c r="Q152" s="479">
        <v>45722</v>
      </c>
      <c r="R152" s="41">
        <v>3642</v>
      </c>
      <c r="S152" s="497">
        <v>3666</v>
      </c>
      <c r="T152" s="42">
        <v>0</v>
      </c>
      <c r="U152" s="879">
        <f>IFERROR(Table5[[#This Row],[Actual Redline Completed Footage UG]]/Table5[[#This Row],[Footage UG]], 0)</f>
        <v>1.0065897858319606</v>
      </c>
      <c r="V152" s="676">
        <v>45734</v>
      </c>
      <c r="W152" s="473">
        <v>1</v>
      </c>
      <c r="X152" s="473">
        <v>1</v>
      </c>
      <c r="Y152" s="473">
        <v>1</v>
      </c>
      <c r="Z152" s="479">
        <v>45917</v>
      </c>
      <c r="AA152" s="201"/>
    </row>
    <row r="153" spans="1:30" ht="39.75" customHeight="1">
      <c r="A153" s="765" t="s">
        <v>1036</v>
      </c>
      <c r="B153" s="767" t="s">
        <v>50</v>
      </c>
      <c r="C153" s="57">
        <v>45772</v>
      </c>
      <c r="D153" s="768" t="s">
        <v>842</v>
      </c>
      <c r="E153" s="57">
        <v>45743</v>
      </c>
      <c r="F153" s="768" t="s">
        <v>817</v>
      </c>
      <c r="G153" s="771" t="s">
        <v>1037</v>
      </c>
      <c r="H153" s="772">
        <v>63</v>
      </c>
      <c r="I153" s="778" t="s">
        <v>219</v>
      </c>
      <c r="J153" s="788" t="s">
        <v>63</v>
      </c>
      <c r="K153" s="1015">
        <v>45741</v>
      </c>
      <c r="L153" s="854" t="s">
        <v>57</v>
      </c>
      <c r="M153" s="1016">
        <v>41813</v>
      </c>
      <c r="N153" s="781"/>
      <c r="O153" s="854" t="s">
        <v>57</v>
      </c>
      <c r="P153" s="1008" t="s">
        <v>86</v>
      </c>
      <c r="Q153" s="356">
        <v>45745</v>
      </c>
      <c r="R153" s="32">
        <v>3243</v>
      </c>
      <c r="S153" s="895">
        <v>3290</v>
      </c>
      <c r="T153" s="32">
        <v>0</v>
      </c>
      <c r="U153" s="871">
        <f>IFERROR(Table5[[#This Row],[Actual Redline Completed Footage UG]]/Table5[[#This Row],[Footage UG]], 0)</f>
        <v>1.0144927536231885</v>
      </c>
      <c r="V153" s="356">
        <v>45761</v>
      </c>
      <c r="W153" s="330">
        <v>1</v>
      </c>
      <c r="X153" s="330">
        <v>1</v>
      </c>
      <c r="Y153" s="330">
        <v>1</v>
      </c>
      <c r="Z153" s="479">
        <v>45917</v>
      </c>
      <c r="AA153" s="1018" t="s">
        <v>1038</v>
      </c>
    </row>
    <row r="154" spans="1:30" ht="39.75" customHeight="1">
      <c r="A154" s="765" t="s">
        <v>1039</v>
      </c>
      <c r="B154" s="767" t="s">
        <v>50</v>
      </c>
      <c r="C154" s="57">
        <v>45772</v>
      </c>
      <c r="D154" s="769" t="s">
        <v>141</v>
      </c>
      <c r="E154" s="57">
        <v>45708</v>
      </c>
      <c r="F154" s="769" t="s">
        <v>801</v>
      </c>
      <c r="G154" s="776" t="s">
        <v>1040</v>
      </c>
      <c r="H154" s="772">
        <v>82</v>
      </c>
      <c r="I154" s="778" t="s">
        <v>219</v>
      </c>
      <c r="J154" s="772" t="s">
        <v>63</v>
      </c>
      <c r="K154" s="496">
        <v>45698</v>
      </c>
      <c r="L154" s="504" t="s">
        <v>57</v>
      </c>
      <c r="M154" s="773">
        <v>71979</v>
      </c>
      <c r="N154" s="775"/>
      <c r="O154" s="504" t="s">
        <v>57</v>
      </c>
      <c r="P154" s="780" t="s">
        <v>86</v>
      </c>
      <c r="Q154" s="471">
        <v>45694</v>
      </c>
      <c r="R154" s="41">
        <v>5628</v>
      </c>
      <c r="S154" s="497">
        <v>3927</v>
      </c>
      <c r="T154" s="79">
        <v>0</v>
      </c>
      <c r="U154" s="871">
        <f>IFERROR(Table5[[#This Row],[Actual Redline Completed Footage UG]]/Table5[[#This Row],[Footage UG]], 0)</f>
        <v>0.69776119402985071</v>
      </c>
      <c r="V154" s="676">
        <v>45742</v>
      </c>
      <c r="W154" s="473">
        <v>1</v>
      </c>
      <c r="X154" s="473">
        <v>1</v>
      </c>
      <c r="Y154" s="473">
        <v>1</v>
      </c>
      <c r="Z154" s="513">
        <v>45894</v>
      </c>
      <c r="AA154" s="201"/>
    </row>
    <row r="155" spans="1:30" ht="39.75" customHeight="1">
      <c r="A155" s="992" t="s">
        <v>1041</v>
      </c>
      <c r="B155" s="466" t="s">
        <v>50</v>
      </c>
      <c r="C155" s="476">
        <v>45742</v>
      </c>
      <c r="D155" s="475" t="s">
        <v>141</v>
      </c>
      <c r="E155" s="476">
        <v>45708</v>
      </c>
      <c r="F155" s="428" t="s">
        <v>801</v>
      </c>
      <c r="G155" s="477" t="s">
        <v>1042</v>
      </c>
      <c r="H155" s="478">
        <v>0</v>
      </c>
      <c r="I155" s="469" t="s">
        <v>86</v>
      </c>
      <c r="J155" s="478" t="s">
        <v>63</v>
      </c>
      <c r="K155" s="476">
        <v>45712</v>
      </c>
      <c r="L155" s="478" t="s">
        <v>57</v>
      </c>
      <c r="M155" s="774">
        <v>14262</v>
      </c>
      <c r="N155" s="733"/>
      <c r="O155" s="478" t="s">
        <v>57</v>
      </c>
      <c r="P155" s="746" t="s">
        <v>86</v>
      </c>
      <c r="Q155" s="479">
        <v>45712</v>
      </c>
      <c r="R155" s="493">
        <v>826</v>
      </c>
      <c r="S155" s="505">
        <v>810</v>
      </c>
      <c r="T155" s="79">
        <v>0</v>
      </c>
      <c r="U155" s="871">
        <f>IFERROR(Table5[[#This Row],[Actual Redline Completed Footage UG]]/Table5[[#This Row],[Footage UG]], 0)</f>
        <v>0.98062953995157387</v>
      </c>
      <c r="V155" s="676">
        <v>45741</v>
      </c>
      <c r="W155" s="355">
        <v>1</v>
      </c>
      <c r="X155" s="355">
        <v>1</v>
      </c>
      <c r="Y155" s="355">
        <v>1</v>
      </c>
      <c r="Z155" s="479">
        <v>45867</v>
      </c>
      <c r="AA155" s="201"/>
    </row>
    <row r="156" spans="1:30" ht="39.75" customHeight="1">
      <c r="A156" s="765" t="s">
        <v>1043</v>
      </c>
      <c r="B156" s="767" t="s">
        <v>50</v>
      </c>
      <c r="C156" s="57">
        <v>45742</v>
      </c>
      <c r="D156" s="768" t="s">
        <v>914</v>
      </c>
      <c r="E156" s="57">
        <v>45708</v>
      </c>
      <c r="F156" s="769" t="s">
        <v>208</v>
      </c>
      <c r="G156" s="771" t="s">
        <v>1044</v>
      </c>
      <c r="H156" s="772">
        <v>0</v>
      </c>
      <c r="I156" s="772" t="s">
        <v>219</v>
      </c>
      <c r="J156" s="772" t="s">
        <v>63</v>
      </c>
      <c r="K156" s="476">
        <v>45714</v>
      </c>
      <c r="L156" s="478" t="s">
        <v>57</v>
      </c>
      <c r="M156" s="774">
        <v>93462.85</v>
      </c>
      <c r="N156" s="775"/>
      <c r="O156" s="478" t="s">
        <v>57</v>
      </c>
      <c r="P156" s="746" t="s">
        <v>86</v>
      </c>
      <c r="Q156" s="513">
        <v>45709</v>
      </c>
      <c r="R156" s="493">
        <v>7497</v>
      </c>
      <c r="S156" s="505">
        <v>7251</v>
      </c>
      <c r="T156" s="79">
        <v>0</v>
      </c>
      <c r="U156" s="871">
        <f>IFERROR(Table5[[#This Row],[Actual Redline Completed Footage UG]]/Table5[[#This Row],[Footage UG]], 0)</f>
        <v>0.96718687474989995</v>
      </c>
      <c r="V156" s="676">
        <v>45728</v>
      </c>
      <c r="W156" s="473">
        <v>1</v>
      </c>
      <c r="X156" s="473">
        <v>1</v>
      </c>
      <c r="Y156" s="473">
        <v>1</v>
      </c>
      <c r="Z156" s="479">
        <v>45916</v>
      </c>
      <c r="AA156" s="115"/>
      <c r="AB156" s="145"/>
      <c r="AC156" s="145"/>
      <c r="AD156" s="149"/>
    </row>
    <row r="157" spans="1:30" ht="39.75" customHeight="1">
      <c r="A157" s="765" t="s">
        <v>1045</v>
      </c>
      <c r="B157" s="785" t="s">
        <v>50</v>
      </c>
      <c r="C157" s="57">
        <v>45924</v>
      </c>
      <c r="D157" s="789" t="s">
        <v>129</v>
      </c>
      <c r="E157" s="57">
        <v>45772</v>
      </c>
      <c r="F157" s="768" t="s">
        <v>68</v>
      </c>
      <c r="G157" s="768" t="s">
        <v>1046</v>
      </c>
      <c r="H157" s="772">
        <v>0</v>
      </c>
      <c r="I157" s="772" t="s">
        <v>219</v>
      </c>
      <c r="J157" s="772" t="s">
        <v>63</v>
      </c>
      <c r="K157" s="475" t="s">
        <v>52</v>
      </c>
      <c r="L157" s="469" t="s">
        <v>57</v>
      </c>
      <c r="M157" s="993">
        <v>4397.6499999999996</v>
      </c>
      <c r="N157" s="775"/>
      <c r="O157" s="469" t="s">
        <v>57</v>
      </c>
      <c r="P157" s="746" t="s">
        <v>86</v>
      </c>
      <c r="Q157" s="471">
        <v>45852</v>
      </c>
      <c r="R157" s="472">
        <v>129</v>
      </c>
      <c r="S157" s="1009">
        <v>129</v>
      </c>
      <c r="T157" s="472">
        <f>SUM(R157-S157)</f>
        <v>0</v>
      </c>
      <c r="U157" s="806">
        <v>1</v>
      </c>
      <c r="V157" s="676">
        <v>45856</v>
      </c>
      <c r="W157" s="355">
        <v>0</v>
      </c>
      <c r="X157" s="355">
        <v>0</v>
      </c>
      <c r="Y157" s="643">
        <v>0</v>
      </c>
      <c r="Z157" s="479">
        <v>45972</v>
      </c>
      <c r="AA157" s="174" t="s">
        <v>1047</v>
      </c>
      <c r="AB157" s="425" t="s">
        <v>46</v>
      </c>
      <c r="AC157" s="425" t="s">
        <v>47</v>
      </c>
      <c r="AD157" s="870" t="s">
        <v>48</v>
      </c>
    </row>
    <row r="158" spans="1:30" ht="39.75" customHeight="1">
      <c r="A158" s="1327" t="s">
        <v>1048</v>
      </c>
      <c r="B158" s="390" t="s">
        <v>318</v>
      </c>
      <c r="C158" s="51">
        <v>46045</v>
      </c>
      <c r="D158" s="656" t="s">
        <v>129</v>
      </c>
      <c r="E158" s="51"/>
      <c r="F158" s="50" t="s">
        <v>319</v>
      </c>
      <c r="G158" s="379"/>
      <c r="H158" s="1323">
        <v>80</v>
      </c>
      <c r="I158" s="658" t="s">
        <v>219</v>
      </c>
      <c r="J158" s="52" t="s">
        <v>63</v>
      </c>
      <c r="K158" s="51" t="s">
        <v>52</v>
      </c>
      <c r="L158" s="478" t="s">
        <v>57</v>
      </c>
      <c r="M158" s="1451">
        <v>170</v>
      </c>
      <c r="N158" s="733"/>
      <c r="O158" s="478" t="s">
        <v>57</v>
      </c>
      <c r="P158" s="1326" t="s">
        <v>86</v>
      </c>
      <c r="Q158" s="471" t="s">
        <v>52</v>
      </c>
      <c r="R158" s="1073">
        <v>7137</v>
      </c>
      <c r="S158" s="497">
        <v>7141</v>
      </c>
      <c r="T158" s="1003">
        <v>0</v>
      </c>
      <c r="U158" s="71">
        <v>1</v>
      </c>
      <c r="V158" s="124">
        <v>45964</v>
      </c>
      <c r="W158" s="34">
        <v>1</v>
      </c>
      <c r="X158" s="1444">
        <v>1</v>
      </c>
      <c r="Y158" s="355">
        <v>1</v>
      </c>
      <c r="Z158" s="471">
        <v>45999</v>
      </c>
      <c r="AA158" s="1083" t="s">
        <v>1049</v>
      </c>
      <c r="AB158" s="425"/>
      <c r="AC158" s="425"/>
      <c r="AD158" s="870"/>
    </row>
    <row r="159" spans="1:30" ht="39.75" customHeight="1">
      <c r="A159" s="1328" t="s">
        <v>1050</v>
      </c>
      <c r="B159" s="1324" t="s">
        <v>318</v>
      </c>
      <c r="C159" s="57">
        <v>46045</v>
      </c>
      <c r="D159" s="789" t="s">
        <v>129</v>
      </c>
      <c r="E159" s="57"/>
      <c r="F159" s="768" t="s">
        <v>319</v>
      </c>
      <c r="G159" s="771"/>
      <c r="H159" s="1325">
        <v>89</v>
      </c>
      <c r="I159" s="787" t="s">
        <v>219</v>
      </c>
      <c r="J159" s="772" t="s">
        <v>63</v>
      </c>
      <c r="K159" s="57" t="s">
        <v>52</v>
      </c>
      <c r="L159" s="478" t="s">
        <v>57</v>
      </c>
      <c r="M159" s="1451">
        <v>26696</v>
      </c>
      <c r="N159" s="775"/>
      <c r="O159" s="478" t="s">
        <v>57</v>
      </c>
      <c r="P159" s="746" t="s">
        <v>86</v>
      </c>
      <c r="Q159" s="471" t="s">
        <v>52</v>
      </c>
      <c r="R159" s="1073">
        <v>8153</v>
      </c>
      <c r="S159" s="497">
        <v>8114</v>
      </c>
      <c r="T159" s="1003">
        <v>0</v>
      </c>
      <c r="U159" s="71">
        <v>1</v>
      </c>
      <c r="V159" s="124">
        <v>45964</v>
      </c>
      <c r="W159" s="34">
        <v>1</v>
      </c>
      <c r="X159" s="1444">
        <v>1</v>
      </c>
      <c r="Y159" s="355">
        <v>1</v>
      </c>
      <c r="Z159" s="471">
        <v>45999</v>
      </c>
      <c r="AA159" s="869" t="s">
        <v>1051</v>
      </c>
      <c r="AB159" s="425"/>
      <c r="AC159" s="425"/>
      <c r="AD159" s="870"/>
    </row>
    <row r="160" spans="1:30" ht="39.75" customHeight="1">
      <c r="A160" s="1328" t="s">
        <v>1052</v>
      </c>
      <c r="B160" s="1324" t="s">
        <v>318</v>
      </c>
      <c r="C160" s="57">
        <v>46045</v>
      </c>
      <c r="D160" s="789" t="s">
        <v>129</v>
      </c>
      <c r="E160" s="57"/>
      <c r="F160" s="768" t="s">
        <v>319</v>
      </c>
      <c r="G160" s="771"/>
      <c r="H160" s="1325">
        <v>85</v>
      </c>
      <c r="I160" s="787" t="s">
        <v>219</v>
      </c>
      <c r="J160" s="772" t="s">
        <v>63</v>
      </c>
      <c r="K160" s="476" t="s">
        <v>52</v>
      </c>
      <c r="L160" s="478" t="s">
        <v>57</v>
      </c>
      <c r="M160" s="1451">
        <v>29180.45</v>
      </c>
      <c r="N160" s="775"/>
      <c r="O160" s="478" t="s">
        <v>57</v>
      </c>
      <c r="P160" s="746" t="s">
        <v>86</v>
      </c>
      <c r="Q160" s="124" t="s">
        <v>52</v>
      </c>
      <c r="R160" s="1003">
        <v>6249</v>
      </c>
      <c r="S160" s="1454">
        <v>6183</v>
      </c>
      <c r="T160" s="1477">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65" t="s">
        <v>1054</v>
      </c>
      <c r="B161" s="973" t="s">
        <v>318</v>
      </c>
      <c r="C161" s="467">
        <v>46045</v>
      </c>
      <c r="D161" s="640" t="s">
        <v>129</v>
      </c>
      <c r="E161" s="467"/>
      <c r="F161" s="768" t="s">
        <v>319</v>
      </c>
      <c r="G161" s="468"/>
      <c r="H161" s="1067">
        <v>62</v>
      </c>
      <c r="I161" s="825" t="s">
        <v>219</v>
      </c>
      <c r="J161" s="478" t="s">
        <v>63</v>
      </c>
      <c r="K161" s="476" t="s">
        <v>52</v>
      </c>
      <c r="L161" s="478" t="s">
        <v>57</v>
      </c>
      <c r="M161" s="1451">
        <v>170</v>
      </c>
      <c r="N161" s="733"/>
      <c r="O161" s="478" t="s">
        <v>57</v>
      </c>
      <c r="P161" s="1466" t="s">
        <v>86</v>
      </c>
      <c r="Q161" s="124" t="s">
        <v>52</v>
      </c>
      <c r="R161" s="1003">
        <v>4095</v>
      </c>
      <c r="S161" s="1454">
        <v>4088</v>
      </c>
      <c r="T161" s="1477">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76" t="s">
        <v>1055</v>
      </c>
      <c r="B162" s="450" t="s">
        <v>318</v>
      </c>
      <c r="C162" s="375">
        <v>46045</v>
      </c>
      <c r="D162" s="969" t="s">
        <v>129</v>
      </c>
      <c r="E162" s="375"/>
      <c r="F162" s="768" t="s">
        <v>319</v>
      </c>
      <c r="G162" s="635"/>
      <c r="H162" s="1059">
        <v>80</v>
      </c>
      <c r="I162" s="970" t="s">
        <v>219</v>
      </c>
      <c r="J162" s="971" t="s">
        <v>63</v>
      </c>
      <c r="K162" s="476" t="s">
        <v>52</v>
      </c>
      <c r="L162" s="971" t="s">
        <v>57</v>
      </c>
      <c r="M162" s="1452">
        <v>25891</v>
      </c>
      <c r="N162" s="1474"/>
      <c r="O162" s="52" t="s">
        <v>57</v>
      </c>
      <c r="P162" s="1453" t="s">
        <v>86</v>
      </c>
      <c r="Q162" s="124" t="s">
        <v>52</v>
      </c>
      <c r="R162" s="1003">
        <v>5254</v>
      </c>
      <c r="S162" s="895">
        <v>5254</v>
      </c>
      <c r="T162" s="1478">
        <v>0</v>
      </c>
      <c r="U162" s="1475">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8" t="s">
        <v>1056</v>
      </c>
      <c r="B163" s="1324" t="s">
        <v>318</v>
      </c>
      <c r="C163" s="57">
        <v>46045</v>
      </c>
      <c r="D163" s="789" t="s">
        <v>129</v>
      </c>
      <c r="E163" s="57"/>
      <c r="F163" s="768" t="s">
        <v>319</v>
      </c>
      <c r="G163" s="771"/>
      <c r="H163" s="1325">
        <v>83</v>
      </c>
      <c r="I163" s="787" t="s">
        <v>219</v>
      </c>
      <c r="J163" s="772" t="s">
        <v>63</v>
      </c>
      <c r="K163" s="476" t="s">
        <v>52</v>
      </c>
      <c r="L163" s="971" t="s">
        <v>57</v>
      </c>
      <c r="M163" s="1452">
        <v>170</v>
      </c>
      <c r="N163" s="775"/>
      <c r="O163" s="52" t="s">
        <v>57</v>
      </c>
      <c r="P163" s="1453" t="s">
        <v>86</v>
      </c>
      <c r="Q163" s="995" t="s">
        <v>52</v>
      </c>
      <c r="R163" s="1426">
        <v>5947</v>
      </c>
      <c r="S163" s="1479">
        <v>5947</v>
      </c>
      <c r="T163" s="1449">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8" t="s">
        <v>1058</v>
      </c>
      <c r="B164" s="1324" t="s">
        <v>318</v>
      </c>
      <c r="C164" s="57">
        <v>46045</v>
      </c>
      <c r="D164" s="789" t="s">
        <v>129</v>
      </c>
      <c r="E164" s="57"/>
      <c r="F164" s="768" t="s">
        <v>319</v>
      </c>
      <c r="G164" s="771"/>
      <c r="H164" s="1325">
        <v>85</v>
      </c>
      <c r="I164" s="787" t="s">
        <v>219</v>
      </c>
      <c r="J164" s="772" t="s">
        <v>63</v>
      </c>
      <c r="K164" s="476" t="s">
        <v>52</v>
      </c>
      <c r="L164" s="971" t="s">
        <v>57</v>
      </c>
      <c r="M164" s="1452">
        <v>30788</v>
      </c>
      <c r="N164" s="775"/>
      <c r="O164" s="52" t="s">
        <v>57</v>
      </c>
      <c r="P164" s="1453" t="s">
        <v>86</v>
      </c>
      <c r="Q164" s="471" t="s">
        <v>52</v>
      </c>
      <c r="R164" s="1003">
        <v>5599</v>
      </c>
      <c r="S164" s="1454">
        <v>5599</v>
      </c>
      <c r="T164" s="1450">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8"/>
      <c r="B165" s="1324"/>
      <c r="C165" s="57"/>
      <c r="D165" s="789"/>
      <c r="E165" s="57"/>
      <c r="F165" s="768"/>
      <c r="G165" s="771"/>
      <c r="H165" s="1325"/>
      <c r="I165" s="787"/>
      <c r="J165" s="772"/>
      <c r="K165" s="476"/>
      <c r="L165" s="478"/>
      <c r="M165" s="1452"/>
      <c r="N165" s="775"/>
      <c r="O165" s="73"/>
      <c r="P165" s="1453"/>
      <c r="Q165" s="471"/>
      <c r="R165" s="1003"/>
      <c r="S165" s="895"/>
      <c r="T165" s="1449"/>
      <c r="U165" s="22"/>
      <c r="V165" s="124"/>
      <c r="W165" s="355"/>
      <c r="X165" s="1444"/>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383</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207</v>
      </c>
      <c r="C170" s="476">
        <v>45807</v>
      </c>
      <c r="D170" s="465" t="s">
        <v>51</v>
      </c>
      <c r="E170" s="475" t="s">
        <v>52</v>
      </c>
      <c r="F170" s="465" t="s">
        <v>850</v>
      </c>
      <c r="G170" s="680" t="s">
        <v>662</v>
      </c>
      <c r="H170" s="469">
        <v>60</v>
      </c>
      <c r="I170" s="825" t="s">
        <v>219</v>
      </c>
      <c r="J170" s="478" t="s">
        <v>56</v>
      </c>
      <c r="K170" s="840"/>
      <c r="L170" s="467">
        <v>45716</v>
      </c>
      <c r="M170" s="478" t="s">
        <v>57</v>
      </c>
      <c r="N170" s="542">
        <v>2075.6999999999998</v>
      </c>
      <c r="O170" s="478" t="s">
        <v>57</v>
      </c>
      <c r="P170" s="915" t="s">
        <v>86</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207</v>
      </c>
      <c r="C171" s="476">
        <v>45807</v>
      </c>
      <c r="D171" s="475" t="s">
        <v>51</v>
      </c>
      <c r="E171" s="475" t="s">
        <v>52</v>
      </c>
      <c r="F171" s="475" t="s">
        <v>850</v>
      </c>
      <c r="G171" s="821" t="s">
        <v>1064</v>
      </c>
      <c r="H171" s="478">
        <v>79</v>
      </c>
      <c r="I171" s="825" t="s">
        <v>219</v>
      </c>
      <c r="J171" s="478" t="s">
        <v>56</v>
      </c>
      <c r="K171" s="487"/>
      <c r="L171" s="467">
        <v>45716</v>
      </c>
      <c r="M171" s="478" t="s">
        <v>57</v>
      </c>
      <c r="N171" s="543">
        <v>2947.5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207</v>
      </c>
      <c r="C172" s="476">
        <v>45807</v>
      </c>
      <c r="D172" s="475" t="s">
        <v>51</v>
      </c>
      <c r="E172" s="475" t="s">
        <v>52</v>
      </c>
      <c r="F172" s="475" t="s">
        <v>850</v>
      </c>
      <c r="G172" s="821" t="s">
        <v>1066</v>
      </c>
      <c r="H172" s="478">
        <v>83</v>
      </c>
      <c r="I172" s="825" t="s">
        <v>219</v>
      </c>
      <c r="J172" s="478" t="s">
        <v>56</v>
      </c>
      <c r="K172" s="487"/>
      <c r="L172" s="467">
        <v>45716</v>
      </c>
      <c r="M172" s="478" t="s">
        <v>57</v>
      </c>
      <c r="N172" s="543">
        <v>2908.95</v>
      </c>
      <c r="O172" s="478" t="s">
        <v>57</v>
      </c>
      <c r="P172" s="916" t="s">
        <v>86</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86</v>
      </c>
      <c r="J173" s="478" t="s">
        <v>56</v>
      </c>
      <c r="K173" s="478"/>
      <c r="L173" s="826">
        <v>45716</v>
      </c>
      <c r="M173" s="478" t="s">
        <v>57</v>
      </c>
      <c r="N173" s="543">
        <v>1134</v>
      </c>
      <c r="O173" s="478" t="s">
        <v>57</v>
      </c>
      <c r="P173" s="917" t="s">
        <v>86</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86</v>
      </c>
      <c r="J174" s="478" t="s">
        <v>56</v>
      </c>
      <c r="K174" s="487"/>
      <c r="L174" s="467">
        <v>45716</v>
      </c>
      <c r="M174" s="478" t="s">
        <v>57</v>
      </c>
      <c r="N174" s="543">
        <v>870</v>
      </c>
      <c r="O174" s="478" t="s">
        <v>57</v>
      </c>
      <c r="P174" s="917" t="s">
        <v>86</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219</v>
      </c>
      <c r="J175" s="478" t="s">
        <v>63</v>
      </c>
      <c r="K175" s="478"/>
      <c r="L175" s="826">
        <v>45716</v>
      </c>
      <c r="M175" s="825" t="s">
        <v>57</v>
      </c>
      <c r="N175" s="543">
        <v>2025.6</v>
      </c>
      <c r="O175" s="825" t="s">
        <v>57</v>
      </c>
      <c r="P175" s="917" t="s">
        <v>86</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86</v>
      </c>
      <c r="J176" s="478" t="s">
        <v>56</v>
      </c>
      <c r="K176" s="478"/>
      <c r="L176" s="476">
        <v>45715</v>
      </c>
      <c r="M176" s="478" t="s">
        <v>57</v>
      </c>
      <c r="N176" s="543">
        <v>3801.75</v>
      </c>
      <c r="O176" s="478" t="s">
        <v>57</v>
      </c>
      <c r="P176" s="917" t="s">
        <v>86</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109</v>
      </c>
      <c r="C179" s="902"/>
      <c r="D179" s="903" t="s">
        <v>84</v>
      </c>
      <c r="E179" s="903">
        <v>45768</v>
      </c>
      <c r="F179" s="904" t="s">
        <v>163</v>
      </c>
      <c r="G179" s="901"/>
      <c r="H179" s="905">
        <v>0</v>
      </c>
      <c r="I179" s="906" t="s">
        <v>86</v>
      </c>
      <c r="J179" s="905" t="s">
        <v>56</v>
      </c>
      <c r="K179" s="902"/>
      <c r="L179" s="907" t="s">
        <v>56</v>
      </c>
      <c r="M179" s="905" t="s">
        <v>92</v>
      </c>
      <c r="N179" s="908">
        <v>0</v>
      </c>
      <c r="O179" s="905" t="s">
        <v>92</v>
      </c>
      <c r="P179" s="909" t="s">
        <v>86</v>
      </c>
      <c r="Q179" s="910" t="s">
        <v>56</v>
      </c>
      <c r="R179" s="911" t="s">
        <v>158</v>
      </c>
      <c r="S179" s="911" t="s">
        <v>158</v>
      </c>
      <c r="T179" s="911" t="s">
        <v>158</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109</v>
      </c>
      <c r="C180" s="859"/>
      <c r="D180" s="852" t="s">
        <v>84</v>
      </c>
      <c r="E180" s="852">
        <v>45768</v>
      </c>
      <c r="F180" s="851" t="s">
        <v>163</v>
      </c>
      <c r="G180" s="853"/>
      <c r="H180" s="854">
        <v>0</v>
      </c>
      <c r="I180" s="860" t="s">
        <v>86</v>
      </c>
      <c r="J180" s="854" t="s">
        <v>56</v>
      </c>
      <c r="K180" s="859"/>
      <c r="L180" s="861" t="s">
        <v>56</v>
      </c>
      <c r="M180" s="854" t="s">
        <v>92</v>
      </c>
      <c r="N180" s="855">
        <v>0</v>
      </c>
      <c r="O180" s="854" t="s">
        <v>92</v>
      </c>
      <c r="P180" s="856" t="s">
        <v>86</v>
      </c>
      <c r="Q180" s="79" t="s">
        <v>56</v>
      </c>
      <c r="R180" s="328" t="s">
        <v>158</v>
      </c>
      <c r="S180" s="328" t="s">
        <v>158</v>
      </c>
      <c r="T180" s="328" t="s">
        <v>158</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7 I135 I132:I133 I62 I140 I143 I119 I148 I114 I170 I174 I145 I150:I152 I129 I92 I101 I6:I7 I53 I47:I48 I50 I42 I66 I69 I160 I116 I111:I112 I155:I157" xr:uid="{8EBE9BB6-6BD2-46C1-9207-22004A752DD6}">
      <formula1>"On Track, In Jeopardy, Completed on Track, Completed, Completed -Missed TSD, On Hold Per Tillman"</formula1>
    </dataValidation>
    <dataValidation type="list" allowBlank="1" showInputMessage="1" showErrorMessage="1" sqref="I1 I125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2 E143 Z109 E135 D114:E114 Q117:Q122 E152 L172 E174 L168:L169 Q168:U176 L174:L176 Q180:U180 L179:L180 D153 Z117 Z4 Z74 Z149 K144:K145 K148:K150 Q55 D42:E42 Z40 Q74:Q77 D66:E66 Q79 K80 Q87:Q102 K1:K4 D162:D165 K6:K7 E56:E57 E59 Z32 Z125:Z136 E8:E9 Z10 K10 K125:K127 E29 Q1:Q53 Z158:Z159 K37:K45 K47:K54 Z48:Z50 E50 Q147:Q153 K12:K33 E63 E35 K35 K129:K140 Q125:Q145 E138:E140 K65:K78 E61 D115 Q107:Q115 K82:K122 K152:K165 Q155:Q165" xr:uid="{69BA9396-C6BF-4BF7-ADE5-B0A99637D974}"/>
    <dataValidation type="list" allowBlank="1" showInputMessage="1" showErrorMessage="1" sqref="J130:J136 J103:J104 J179:J180 J170:J176 J101 J128 J126 J2:J5 J138:J144 J7:J99 J106:J119 J146:J165" xr:uid="{FD7C7CD5-6442-444B-AC8D-9E87EABB0D4D}">
      <formula1>"Received, Pending, Not Required"</formula1>
    </dataValidation>
    <dataValidation type="list" allowBlank="1" showInputMessage="1" showErrorMessage="1" sqref="I70:I80 I13:I22 I96 I117:I118 I98 I8:I9 I130:I131 I141:I142 I144 I93 I113 I171:I173 I168 I175:I176 I179:I180 I134 I136 I2:I5 I43:I46 I153:I154 I149 I120:I122 I102:I110 I83:I91 I100 I138:I139 I146:I147 I54:I59 I126:I128 I51:I52 I63:I65 I49 I27:I41 I158:I159 I67:I68 I61 I115 I161:I165" xr:uid="{961FBB26-6236-46B9-BD22-4000D8D733CF}">
      <formula1>"On Track, In Jeopardy, Completed on Track, Completed, Completed -Missed TSD"</formula1>
    </dataValidation>
    <dataValidation type="list" allowBlank="1" showInputMessage="1" showErrorMessage="1" sqref="P179:P180 P168:P176 P1:P59 P61:P122 P125: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F4">
        <v>1049</v>
      </c>
      <c r="G4">
        <v>1049</v>
      </c>
      <c r="J4" s="44" t="s">
        <v>1086</v>
      </c>
      <c r="K4" t="s">
        <v>1087</v>
      </c>
      <c r="N4" s="44" t="s">
        <v>1086</v>
      </c>
      <c r="O4" t="s">
        <v>1088</v>
      </c>
      <c r="P4" t="s">
        <v>1089</v>
      </c>
      <c r="Q4" t="s">
        <v>1090</v>
      </c>
      <c r="R4" t="s">
        <v>1084</v>
      </c>
    </row>
    <row r="5" spans="1:18">
      <c r="A5" t="s">
        <v>838</v>
      </c>
      <c r="D5">
        <v>1426</v>
      </c>
      <c r="E5">
        <v>1190</v>
      </c>
      <c r="F5">
        <v>23</v>
      </c>
      <c r="G5">
        <v>2639</v>
      </c>
      <c r="J5" t="s">
        <v>813</v>
      </c>
      <c r="K5">
        <v>6147</v>
      </c>
      <c r="N5" t="s">
        <v>813</v>
      </c>
      <c r="O5">
        <v>7120</v>
      </c>
      <c r="P5">
        <v>22896</v>
      </c>
      <c r="Q5">
        <v>7447</v>
      </c>
      <c r="R5">
        <v>37463</v>
      </c>
    </row>
    <row r="6" spans="1:18">
      <c r="A6" t="s">
        <v>848</v>
      </c>
      <c r="C6">
        <v>202</v>
      </c>
      <c r="G6">
        <v>202</v>
      </c>
      <c r="J6" t="s">
        <v>129</v>
      </c>
      <c r="K6">
        <v>22274</v>
      </c>
      <c r="N6" t="s">
        <v>129</v>
      </c>
      <c r="O6">
        <v>11735</v>
      </c>
      <c r="P6">
        <v>42799</v>
      </c>
      <c r="Q6">
        <v>33743</v>
      </c>
      <c r="R6">
        <v>88277</v>
      </c>
    </row>
    <row r="7" spans="1:18">
      <c r="A7" t="s">
        <v>852</v>
      </c>
      <c r="B7">
        <v>2677</v>
      </c>
      <c r="G7">
        <v>2677</v>
      </c>
      <c r="J7" t="s">
        <v>1091</v>
      </c>
      <c r="K7">
        <v>0</v>
      </c>
      <c r="N7" t="s">
        <v>866</v>
      </c>
      <c r="O7">
        <v>3158</v>
      </c>
      <c r="P7">
        <v>21322</v>
      </c>
      <c r="Q7">
        <v>3629</v>
      </c>
      <c r="R7">
        <v>28109</v>
      </c>
    </row>
    <row r="8" spans="1:18">
      <c r="A8" t="s">
        <v>858</v>
      </c>
      <c r="C8">
        <v>241</v>
      </c>
      <c r="D8">
        <v>366</v>
      </c>
      <c r="E8">
        <v>202</v>
      </c>
      <c r="F8">
        <v>120</v>
      </c>
      <c r="G8">
        <v>929</v>
      </c>
      <c r="J8" t="s">
        <v>866</v>
      </c>
      <c r="K8">
        <v>3629</v>
      </c>
      <c r="N8" t="s">
        <v>891</v>
      </c>
      <c r="P8">
        <v>4135</v>
      </c>
      <c r="Q8">
        <v>7641</v>
      </c>
      <c r="R8">
        <v>11776</v>
      </c>
    </row>
    <row r="9" spans="1:18">
      <c r="A9" t="s">
        <v>699</v>
      </c>
      <c r="E9">
        <v>106</v>
      </c>
      <c r="G9">
        <v>106</v>
      </c>
      <c r="J9" t="s">
        <v>891</v>
      </c>
      <c r="K9">
        <v>0</v>
      </c>
      <c r="N9" t="s">
        <v>1092</v>
      </c>
      <c r="P9">
        <v>2546</v>
      </c>
      <c r="Q9">
        <v>627</v>
      </c>
      <c r="R9">
        <v>3173</v>
      </c>
    </row>
    <row r="10" spans="1:18">
      <c r="A10" t="s">
        <v>703</v>
      </c>
      <c r="C10">
        <v>534</v>
      </c>
      <c r="D10">
        <v>460</v>
      </c>
      <c r="E10">
        <v>886</v>
      </c>
      <c r="F10">
        <v>202</v>
      </c>
      <c r="G10">
        <v>2082</v>
      </c>
      <c r="J10" t="s">
        <v>914</v>
      </c>
      <c r="K10">
        <v>933</v>
      </c>
      <c r="N10" t="s">
        <v>1093</v>
      </c>
      <c r="O10">
        <v>3226</v>
      </c>
      <c r="P10">
        <v>17340</v>
      </c>
      <c r="Q10">
        <v>7593</v>
      </c>
      <c r="R10">
        <v>28159</v>
      </c>
    </row>
    <row r="11" spans="1:18">
      <c r="A11" t="s">
        <v>959</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657</v>
      </c>
      <c r="P12">
        <v>5968</v>
      </c>
      <c r="Q12">
        <v>20002</v>
      </c>
      <c r="R12">
        <v>25970</v>
      </c>
    </row>
    <row r="13" spans="1:18">
      <c r="J13" t="s">
        <v>141</v>
      </c>
      <c r="K13">
        <v>7128</v>
      </c>
      <c r="N13" t="s">
        <v>842</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657</v>
      </c>
      <c r="K15">
        <v>13034</v>
      </c>
    </row>
    <row r="16" spans="1:18">
      <c r="A16" s="44" t="s">
        <v>1083</v>
      </c>
      <c r="B16" s="111">
        <v>45705</v>
      </c>
      <c r="C16" s="111">
        <v>45706</v>
      </c>
      <c r="D16" s="111">
        <v>45707</v>
      </c>
      <c r="E16" s="111">
        <v>45708</v>
      </c>
      <c r="F16" s="111">
        <v>45709</v>
      </c>
      <c r="G16" t="s">
        <v>1084</v>
      </c>
      <c r="J16" t="s">
        <v>822</v>
      </c>
      <c r="K16">
        <v>4828</v>
      </c>
    </row>
    <row r="17" spans="1:11">
      <c r="A17" t="s">
        <v>835</v>
      </c>
      <c r="E17">
        <v>547</v>
      </c>
      <c r="F17">
        <v>792</v>
      </c>
      <c r="G17">
        <v>1339</v>
      </c>
      <c r="J17" t="s">
        <v>842</v>
      </c>
      <c r="K17">
        <v>6718</v>
      </c>
    </row>
    <row r="18" spans="1:11">
      <c r="A18" t="s">
        <v>838</v>
      </c>
      <c r="F18">
        <v>823</v>
      </c>
      <c r="G18">
        <v>823</v>
      </c>
      <c r="J18" t="s">
        <v>530</v>
      </c>
    </row>
    <row r="19" spans="1:11">
      <c r="A19" t="s">
        <v>848</v>
      </c>
      <c r="E19">
        <v>23</v>
      </c>
      <c r="F19">
        <v>24</v>
      </c>
      <c r="G19">
        <v>47</v>
      </c>
      <c r="J19" t="s">
        <v>1084</v>
      </c>
      <c r="K19">
        <v>71118</v>
      </c>
    </row>
    <row r="20" spans="1:11">
      <c r="A20" t="s">
        <v>852</v>
      </c>
      <c r="D20">
        <v>1319</v>
      </c>
      <c r="G20">
        <v>1319</v>
      </c>
    </row>
    <row r="21" spans="1:11">
      <c r="A21" t="s">
        <v>858</v>
      </c>
      <c r="B21">
        <v>283</v>
      </c>
      <c r="D21">
        <v>732</v>
      </c>
      <c r="E21">
        <v>309</v>
      </c>
      <c r="G21">
        <v>1324</v>
      </c>
    </row>
    <row r="22" spans="1:11">
      <c r="A22" t="s">
        <v>871</v>
      </c>
      <c r="C22">
        <v>1240</v>
      </c>
      <c r="D22">
        <v>1978</v>
      </c>
      <c r="E22">
        <v>851</v>
      </c>
      <c r="G22">
        <v>4069</v>
      </c>
    </row>
    <row r="23" spans="1:11">
      <c r="A23" t="s">
        <v>904</v>
      </c>
    </row>
    <row r="24" spans="1:11">
      <c r="A24" t="s">
        <v>917</v>
      </c>
      <c r="D24">
        <v>1606</v>
      </c>
      <c r="E24">
        <v>1334</v>
      </c>
      <c r="G24">
        <v>2940</v>
      </c>
    </row>
    <row r="25" spans="1:11">
      <c r="A25" t="s">
        <v>924</v>
      </c>
      <c r="C25">
        <v>300</v>
      </c>
      <c r="D25">
        <v>696</v>
      </c>
      <c r="E25">
        <v>227</v>
      </c>
      <c r="F25">
        <v>333</v>
      </c>
      <c r="G25">
        <v>1556</v>
      </c>
    </row>
    <row r="26" spans="1:11">
      <c r="A26" t="s">
        <v>699</v>
      </c>
      <c r="F26">
        <v>21</v>
      </c>
      <c r="G26">
        <v>21</v>
      </c>
    </row>
    <row r="27" spans="1:11">
      <c r="A27" t="s">
        <v>703</v>
      </c>
      <c r="B27">
        <v>383</v>
      </c>
      <c r="C27">
        <v>1017</v>
      </c>
      <c r="D27">
        <v>242</v>
      </c>
      <c r="E27">
        <v>424</v>
      </c>
      <c r="F27">
        <v>19</v>
      </c>
      <c r="G27">
        <v>2085</v>
      </c>
    </row>
    <row r="28" spans="1:11">
      <c r="A28" t="s">
        <v>720</v>
      </c>
      <c r="C28">
        <v>1050</v>
      </c>
      <c r="G28">
        <v>1050</v>
      </c>
    </row>
    <row r="29" spans="1:11">
      <c r="A29" t="s">
        <v>831</v>
      </c>
      <c r="E29">
        <v>1400</v>
      </c>
      <c r="F29">
        <v>1462</v>
      </c>
      <c r="G29">
        <v>2862</v>
      </c>
    </row>
    <row r="30" spans="1:11">
      <c r="A30" t="s">
        <v>832</v>
      </c>
      <c r="E30">
        <v>1806</v>
      </c>
      <c r="F30">
        <v>345</v>
      </c>
      <c r="G30">
        <v>2151</v>
      </c>
    </row>
    <row r="31" spans="1:11">
      <c r="A31" t="s">
        <v>684</v>
      </c>
      <c r="E31">
        <v>47</v>
      </c>
      <c r="F31">
        <v>1494</v>
      </c>
      <c r="G31">
        <v>1541</v>
      </c>
    </row>
    <row r="32" spans="1:11">
      <c r="A32" t="s">
        <v>633</v>
      </c>
    </row>
    <row r="33" spans="1:7">
      <c r="A33" t="s">
        <v>825</v>
      </c>
      <c r="F33">
        <v>1095</v>
      </c>
      <c r="G33">
        <v>1095</v>
      </c>
    </row>
    <row r="34" spans="1:7">
      <c r="A34" t="s">
        <v>828</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C40">
        <v>1277</v>
      </c>
      <c r="D40">
        <v>1721</v>
      </c>
      <c r="E40">
        <v>670</v>
      </c>
      <c r="F40">
        <v>0</v>
      </c>
      <c r="G40">
        <v>3668</v>
      </c>
    </row>
    <row r="41" spans="1:7">
      <c r="A41" t="s">
        <v>838</v>
      </c>
      <c r="E41">
        <v>1422</v>
      </c>
      <c r="F41">
        <v>946</v>
      </c>
      <c r="G41">
        <v>2368</v>
      </c>
    </row>
    <row r="42" spans="1:7">
      <c r="A42" t="s">
        <v>848</v>
      </c>
      <c r="F42">
        <v>9</v>
      </c>
      <c r="G42">
        <v>9</v>
      </c>
    </row>
    <row r="43" spans="1:7">
      <c r="A43" t="s">
        <v>852</v>
      </c>
      <c r="F43">
        <v>0</v>
      </c>
      <c r="G43">
        <v>0</v>
      </c>
    </row>
    <row r="44" spans="1:7">
      <c r="A44" t="s">
        <v>858</v>
      </c>
      <c r="B44">
        <v>73</v>
      </c>
      <c r="D44">
        <v>25</v>
      </c>
      <c r="G44">
        <v>98</v>
      </c>
    </row>
    <row r="45" spans="1:7">
      <c r="A45" t="s">
        <v>871</v>
      </c>
      <c r="F45">
        <v>54</v>
      </c>
      <c r="G45">
        <v>54</v>
      </c>
    </row>
    <row r="46" spans="1:7">
      <c r="A46" t="s">
        <v>904</v>
      </c>
      <c r="E46">
        <v>437</v>
      </c>
      <c r="F46">
        <v>0</v>
      </c>
      <c r="G46">
        <v>437</v>
      </c>
    </row>
    <row r="47" spans="1:7">
      <c r="A47" t="s">
        <v>917</v>
      </c>
      <c r="D47">
        <v>992</v>
      </c>
      <c r="E47">
        <v>513</v>
      </c>
      <c r="F47">
        <v>0</v>
      </c>
      <c r="G47">
        <v>1505</v>
      </c>
    </row>
    <row r="48" spans="1:7">
      <c r="A48" t="s">
        <v>924</v>
      </c>
      <c r="C48">
        <v>800</v>
      </c>
      <c r="D48">
        <v>208</v>
      </c>
      <c r="E48">
        <v>529</v>
      </c>
      <c r="F48">
        <v>327</v>
      </c>
      <c r="G48">
        <v>1864</v>
      </c>
    </row>
    <row r="49" spans="1:7">
      <c r="A49" t="s">
        <v>699</v>
      </c>
      <c r="F49">
        <v>3</v>
      </c>
      <c r="G49">
        <v>3</v>
      </c>
    </row>
    <row r="50" spans="1:7">
      <c r="A50" t="s">
        <v>703</v>
      </c>
      <c r="C50">
        <v>236</v>
      </c>
      <c r="F50">
        <v>0</v>
      </c>
      <c r="G50">
        <v>236</v>
      </c>
    </row>
    <row r="51" spans="1:7">
      <c r="A51" t="s">
        <v>720</v>
      </c>
      <c r="F51">
        <v>0</v>
      </c>
      <c r="G51">
        <v>0</v>
      </c>
    </row>
    <row r="52" spans="1:7">
      <c r="A52" t="s">
        <v>959</v>
      </c>
      <c r="C52">
        <v>74</v>
      </c>
      <c r="D52">
        <v>671</v>
      </c>
      <c r="F52">
        <v>0</v>
      </c>
      <c r="G52">
        <v>745</v>
      </c>
    </row>
    <row r="53" spans="1:7">
      <c r="A53" t="s">
        <v>831</v>
      </c>
      <c r="F53">
        <v>886</v>
      </c>
      <c r="G53">
        <v>886</v>
      </c>
    </row>
    <row r="54" spans="1:7">
      <c r="A54" t="s">
        <v>832</v>
      </c>
      <c r="D54">
        <v>400</v>
      </c>
      <c r="F54">
        <v>384</v>
      </c>
      <c r="G54">
        <v>784</v>
      </c>
    </row>
    <row r="55" spans="1:7">
      <c r="A55" t="s">
        <v>684</v>
      </c>
      <c r="B55">
        <v>2087</v>
      </c>
      <c r="F55">
        <v>0</v>
      </c>
      <c r="G55">
        <v>2087</v>
      </c>
    </row>
    <row r="56" spans="1:7">
      <c r="A56" t="s">
        <v>633</v>
      </c>
      <c r="F56">
        <v>0</v>
      </c>
      <c r="G56">
        <v>0</v>
      </c>
    </row>
    <row r="57" spans="1:7">
      <c r="A57" t="s">
        <v>825</v>
      </c>
      <c r="C57">
        <v>860</v>
      </c>
      <c r="D57">
        <v>1540</v>
      </c>
      <c r="E57">
        <v>1360</v>
      </c>
      <c r="F57">
        <v>0</v>
      </c>
      <c r="G57">
        <v>3760</v>
      </c>
    </row>
    <row r="58" spans="1:7">
      <c r="A58" t="s">
        <v>828</v>
      </c>
      <c r="C58">
        <v>967</v>
      </c>
      <c r="D58">
        <v>1708</v>
      </c>
      <c r="F58">
        <v>229</v>
      </c>
      <c r="G58">
        <v>2904</v>
      </c>
    </row>
    <row r="59" spans="1:7">
      <c r="A59" t="s">
        <v>913</v>
      </c>
      <c r="B59">
        <v>555</v>
      </c>
      <c r="E59">
        <v>577</v>
      </c>
      <c r="F59">
        <v>239</v>
      </c>
      <c r="G59">
        <v>1371</v>
      </c>
    </row>
    <row r="60" spans="1:7">
      <c r="A60" t="s">
        <v>798</v>
      </c>
      <c r="F60">
        <v>0</v>
      </c>
      <c r="G60">
        <v>0</v>
      </c>
    </row>
    <row r="61" spans="1:7">
      <c r="A61" t="s">
        <v>696</v>
      </c>
      <c r="F61">
        <v>0</v>
      </c>
      <c r="G61">
        <v>0</v>
      </c>
    </row>
    <row r="62" spans="1:7">
      <c r="A62" t="s">
        <v>701</v>
      </c>
      <c r="F62">
        <v>0</v>
      </c>
      <c r="G62">
        <v>0</v>
      </c>
    </row>
    <row r="63" spans="1:7">
      <c r="A63" t="s">
        <v>706</v>
      </c>
      <c r="F63">
        <v>0</v>
      </c>
      <c r="G63">
        <v>0</v>
      </c>
    </row>
    <row r="64" spans="1:7">
      <c r="A64" t="s">
        <v>751</v>
      </c>
      <c r="C64">
        <v>214</v>
      </c>
      <c r="F64">
        <v>0</v>
      </c>
      <c r="G64">
        <v>214</v>
      </c>
    </row>
    <row r="65" spans="1:7">
      <c r="A65" t="s">
        <v>821</v>
      </c>
      <c r="C65">
        <v>956</v>
      </c>
      <c r="E65">
        <v>1168</v>
      </c>
      <c r="F65">
        <v>0</v>
      </c>
      <c r="G65">
        <v>2124</v>
      </c>
    </row>
    <row r="66" spans="1:7">
      <c r="A66" t="s">
        <v>1095</v>
      </c>
      <c r="F66">
        <v>0</v>
      </c>
      <c r="G66">
        <v>0</v>
      </c>
    </row>
    <row r="67" spans="1:7">
      <c r="A67" t="s">
        <v>841</v>
      </c>
      <c r="D67">
        <v>1090</v>
      </c>
      <c r="E67">
        <v>840</v>
      </c>
      <c r="F67">
        <v>530</v>
      </c>
      <c r="G67">
        <v>2460</v>
      </c>
    </row>
    <row r="68" spans="1:7">
      <c r="A68" t="s">
        <v>1096</v>
      </c>
      <c r="D68">
        <v>120</v>
      </c>
      <c r="G68">
        <v>120</v>
      </c>
    </row>
    <row r="69" spans="1:7">
      <c r="A69" t="s">
        <v>908</v>
      </c>
      <c r="D69">
        <v>399</v>
      </c>
      <c r="E69">
        <v>335</v>
      </c>
      <c r="F69">
        <v>1339</v>
      </c>
      <c r="G69">
        <v>2073</v>
      </c>
    </row>
    <row r="70" spans="1:7">
      <c r="A70" t="s">
        <v>942</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v>0</v>
      </c>
      <c r="D76">
        <v>0</v>
      </c>
      <c r="E76">
        <v>0</v>
      </c>
      <c r="F76">
        <v>0</v>
      </c>
      <c r="G76">
        <v>0</v>
      </c>
    </row>
    <row r="77" spans="1:7">
      <c r="A77" t="s">
        <v>838</v>
      </c>
      <c r="B77">
        <v>0</v>
      </c>
      <c r="D77">
        <v>0</v>
      </c>
      <c r="E77">
        <v>0</v>
      </c>
      <c r="F77">
        <v>0</v>
      </c>
      <c r="G77">
        <v>0</v>
      </c>
    </row>
    <row r="78" spans="1:7">
      <c r="A78" t="s">
        <v>848</v>
      </c>
      <c r="B78">
        <v>0</v>
      </c>
      <c r="C78">
        <v>0</v>
      </c>
      <c r="D78">
        <v>0</v>
      </c>
      <c r="E78">
        <v>0</v>
      </c>
      <c r="F78">
        <v>0</v>
      </c>
      <c r="G78">
        <v>0</v>
      </c>
    </row>
    <row r="79" spans="1:7">
      <c r="A79" t="s">
        <v>852</v>
      </c>
      <c r="B79">
        <v>0</v>
      </c>
      <c r="D79">
        <v>0</v>
      </c>
      <c r="E79">
        <v>0</v>
      </c>
      <c r="F79">
        <v>0</v>
      </c>
      <c r="G79">
        <v>0</v>
      </c>
    </row>
    <row r="80" spans="1:7">
      <c r="A80" t="s">
        <v>858</v>
      </c>
      <c r="B80">
        <v>0</v>
      </c>
      <c r="C80">
        <v>414</v>
      </c>
      <c r="D80">
        <v>367</v>
      </c>
      <c r="E80">
        <v>245</v>
      </c>
      <c r="F80">
        <v>0</v>
      </c>
      <c r="G80">
        <v>1026</v>
      </c>
    </row>
    <row r="81" spans="1:7">
      <c r="A81" t="s">
        <v>871</v>
      </c>
      <c r="B81">
        <v>0</v>
      </c>
      <c r="D81">
        <v>0</v>
      </c>
      <c r="E81">
        <v>0</v>
      </c>
      <c r="F81">
        <v>0</v>
      </c>
      <c r="G81">
        <v>0</v>
      </c>
    </row>
    <row r="82" spans="1:7">
      <c r="A82" t="s">
        <v>904</v>
      </c>
      <c r="B82">
        <v>0</v>
      </c>
      <c r="D82">
        <v>0</v>
      </c>
      <c r="E82">
        <v>0</v>
      </c>
      <c r="F82">
        <v>0</v>
      </c>
      <c r="G82">
        <v>0</v>
      </c>
    </row>
    <row r="83" spans="1:7">
      <c r="A83" t="s">
        <v>917</v>
      </c>
      <c r="B83">
        <v>0</v>
      </c>
      <c r="D83">
        <v>0</v>
      </c>
      <c r="E83">
        <v>0</v>
      </c>
      <c r="F83">
        <v>201</v>
      </c>
      <c r="G83">
        <v>201</v>
      </c>
    </row>
    <row r="84" spans="1:7">
      <c r="A84" t="s">
        <v>924</v>
      </c>
      <c r="B84">
        <v>286</v>
      </c>
      <c r="C84">
        <v>358</v>
      </c>
      <c r="D84">
        <v>0</v>
      </c>
      <c r="E84">
        <v>32</v>
      </c>
      <c r="F84">
        <v>9</v>
      </c>
      <c r="G84">
        <v>685</v>
      </c>
    </row>
    <row r="85" spans="1:7">
      <c r="A85" t="s">
        <v>699</v>
      </c>
      <c r="B85">
        <v>0</v>
      </c>
      <c r="D85">
        <v>0</v>
      </c>
      <c r="E85">
        <v>0</v>
      </c>
      <c r="F85">
        <v>0</v>
      </c>
      <c r="G85">
        <v>0</v>
      </c>
    </row>
    <row r="86" spans="1:7">
      <c r="A86" t="s">
        <v>703</v>
      </c>
      <c r="B86">
        <v>0</v>
      </c>
      <c r="D86">
        <v>0</v>
      </c>
      <c r="E86">
        <v>0</v>
      </c>
      <c r="F86">
        <v>0</v>
      </c>
      <c r="G86">
        <v>0</v>
      </c>
    </row>
    <row r="87" spans="1:7">
      <c r="A87" t="s">
        <v>720</v>
      </c>
      <c r="B87">
        <v>0</v>
      </c>
      <c r="D87">
        <v>0</v>
      </c>
      <c r="E87">
        <v>0</v>
      </c>
      <c r="F87">
        <v>0</v>
      </c>
      <c r="G87">
        <v>0</v>
      </c>
    </row>
    <row r="88" spans="1:7">
      <c r="A88" t="s">
        <v>959</v>
      </c>
      <c r="B88">
        <v>363</v>
      </c>
      <c r="C88">
        <v>171</v>
      </c>
      <c r="D88">
        <v>0</v>
      </c>
      <c r="E88">
        <v>397</v>
      </c>
      <c r="F88">
        <v>88</v>
      </c>
      <c r="G88">
        <v>1019</v>
      </c>
    </row>
    <row r="89" spans="1:7">
      <c r="A89" t="s">
        <v>831</v>
      </c>
      <c r="B89">
        <v>134</v>
      </c>
      <c r="C89">
        <v>408</v>
      </c>
      <c r="D89">
        <v>452</v>
      </c>
      <c r="E89">
        <v>0</v>
      </c>
      <c r="F89">
        <v>875</v>
      </c>
      <c r="G89">
        <v>1869</v>
      </c>
    </row>
    <row r="90" spans="1:7">
      <c r="A90" t="s">
        <v>832</v>
      </c>
      <c r="C90">
        <v>840</v>
      </c>
      <c r="D90">
        <v>0</v>
      </c>
      <c r="E90">
        <v>0</v>
      </c>
      <c r="F90">
        <v>0</v>
      </c>
      <c r="G90">
        <v>840</v>
      </c>
    </row>
    <row r="91" spans="1:7">
      <c r="A91" t="s">
        <v>684</v>
      </c>
      <c r="B91">
        <v>0</v>
      </c>
      <c r="D91">
        <v>0</v>
      </c>
      <c r="E91">
        <v>0</v>
      </c>
      <c r="F91">
        <v>0</v>
      </c>
      <c r="G91">
        <v>0</v>
      </c>
    </row>
    <row r="92" spans="1:7">
      <c r="A92" t="s">
        <v>633</v>
      </c>
      <c r="B92">
        <v>0</v>
      </c>
      <c r="D92">
        <v>0</v>
      </c>
      <c r="E92">
        <v>0</v>
      </c>
      <c r="F92">
        <v>0</v>
      </c>
      <c r="G92">
        <v>0</v>
      </c>
    </row>
    <row r="93" spans="1:7">
      <c r="A93" t="s">
        <v>825</v>
      </c>
      <c r="B93">
        <v>1460</v>
      </c>
      <c r="C93">
        <v>970</v>
      </c>
      <c r="D93">
        <v>430</v>
      </c>
      <c r="E93">
        <v>0</v>
      </c>
      <c r="F93">
        <v>0</v>
      </c>
      <c r="G93">
        <v>2860</v>
      </c>
    </row>
    <row r="94" spans="1:7">
      <c r="A94" t="s">
        <v>828</v>
      </c>
      <c r="B94">
        <v>182</v>
      </c>
      <c r="D94">
        <v>0</v>
      </c>
      <c r="E94">
        <v>0</v>
      </c>
      <c r="F94">
        <v>0</v>
      </c>
      <c r="G94">
        <v>182</v>
      </c>
    </row>
    <row r="95" spans="1:7">
      <c r="A95" t="s">
        <v>913</v>
      </c>
      <c r="B95">
        <v>0</v>
      </c>
      <c r="D95">
        <v>0</v>
      </c>
      <c r="E95">
        <v>0</v>
      </c>
      <c r="F95">
        <v>0</v>
      </c>
      <c r="G95">
        <v>0</v>
      </c>
    </row>
    <row r="96" spans="1:7">
      <c r="A96" t="s">
        <v>798</v>
      </c>
      <c r="B96">
        <v>0</v>
      </c>
      <c r="D96">
        <v>0</v>
      </c>
      <c r="F96">
        <v>0</v>
      </c>
      <c r="G96">
        <v>0</v>
      </c>
    </row>
    <row r="97" spans="1:7">
      <c r="A97" t="s">
        <v>696</v>
      </c>
      <c r="B97">
        <v>0</v>
      </c>
      <c r="D97">
        <v>0</v>
      </c>
      <c r="E97">
        <v>0</v>
      </c>
      <c r="F97">
        <v>0</v>
      </c>
      <c r="G97">
        <v>0</v>
      </c>
    </row>
    <row r="98" spans="1:7">
      <c r="A98" t="s">
        <v>701</v>
      </c>
      <c r="B98">
        <v>0</v>
      </c>
      <c r="D98">
        <v>0</v>
      </c>
      <c r="E98">
        <v>35</v>
      </c>
      <c r="F98">
        <v>0</v>
      </c>
      <c r="G98">
        <v>35</v>
      </c>
    </row>
    <row r="99" spans="1:7">
      <c r="A99" t="s">
        <v>706</v>
      </c>
      <c r="B99">
        <v>0</v>
      </c>
      <c r="D99">
        <v>0</v>
      </c>
      <c r="E99">
        <v>0</v>
      </c>
      <c r="F99">
        <v>0</v>
      </c>
      <c r="G99">
        <v>0</v>
      </c>
    </row>
    <row r="100" spans="1:7">
      <c r="A100" t="s">
        <v>751</v>
      </c>
      <c r="B100">
        <v>0</v>
      </c>
      <c r="D100">
        <v>32</v>
      </c>
      <c r="E100">
        <v>85</v>
      </c>
      <c r="F100">
        <v>0</v>
      </c>
      <c r="G100">
        <v>117</v>
      </c>
    </row>
    <row r="101" spans="1:7">
      <c r="A101" t="s">
        <v>821</v>
      </c>
      <c r="B101">
        <v>0</v>
      </c>
      <c r="D101">
        <v>0</v>
      </c>
      <c r="E101">
        <v>0</v>
      </c>
      <c r="F101">
        <v>0</v>
      </c>
      <c r="G101">
        <v>0</v>
      </c>
    </row>
    <row r="102" spans="1:7">
      <c r="A102" t="s">
        <v>1095</v>
      </c>
      <c r="B102">
        <v>0</v>
      </c>
      <c r="D102">
        <v>0</v>
      </c>
      <c r="E102">
        <v>0</v>
      </c>
      <c r="F102">
        <v>0</v>
      </c>
      <c r="G102">
        <v>0</v>
      </c>
    </row>
    <row r="103" spans="1:7">
      <c r="A103" t="s">
        <v>841</v>
      </c>
      <c r="B103">
        <v>0</v>
      </c>
      <c r="D103">
        <v>372</v>
      </c>
      <c r="E103">
        <v>0</v>
      </c>
      <c r="F103">
        <v>0</v>
      </c>
      <c r="G103">
        <v>372</v>
      </c>
    </row>
    <row r="104" spans="1:7">
      <c r="A104" t="s">
        <v>1096</v>
      </c>
      <c r="B104">
        <v>0</v>
      </c>
      <c r="D104">
        <v>0</v>
      </c>
      <c r="E104">
        <v>0</v>
      </c>
      <c r="F104">
        <v>0</v>
      </c>
      <c r="G104">
        <v>0</v>
      </c>
    </row>
    <row r="105" spans="1:7">
      <c r="A105" t="s">
        <v>908</v>
      </c>
      <c r="B105">
        <v>1292</v>
      </c>
      <c r="C105">
        <v>1022</v>
      </c>
      <c r="D105">
        <v>1246</v>
      </c>
      <c r="E105">
        <v>0</v>
      </c>
      <c r="F105">
        <v>288</v>
      </c>
      <c r="G105">
        <v>3848</v>
      </c>
    </row>
    <row r="106" spans="1:7">
      <c r="A106" t="s">
        <v>942</v>
      </c>
      <c r="B106">
        <v>0</v>
      </c>
      <c r="C106">
        <v>0</v>
      </c>
      <c r="D106">
        <v>0</v>
      </c>
      <c r="E106">
        <v>0</v>
      </c>
      <c r="F106">
        <v>0</v>
      </c>
      <c r="G106">
        <v>0</v>
      </c>
    </row>
    <row r="107" spans="1:7">
      <c r="A107" t="s">
        <v>940</v>
      </c>
      <c r="B107">
        <v>0</v>
      </c>
      <c r="C107">
        <v>1570</v>
      </c>
      <c r="D107">
        <v>461</v>
      </c>
      <c r="E107">
        <v>1109</v>
      </c>
      <c r="F107">
        <v>980</v>
      </c>
      <c r="G107">
        <v>4120</v>
      </c>
    </row>
    <row r="108" spans="1:7">
      <c r="A108" t="s">
        <v>688</v>
      </c>
      <c r="B108">
        <v>1454</v>
      </c>
      <c r="C108">
        <v>1360</v>
      </c>
      <c r="D108">
        <v>1263</v>
      </c>
      <c r="E108">
        <v>0</v>
      </c>
      <c r="F108">
        <v>0</v>
      </c>
      <c r="G108">
        <v>4077</v>
      </c>
    </row>
    <row r="109" spans="1:7">
      <c r="A109" t="s">
        <v>937</v>
      </c>
      <c r="B109">
        <v>2215</v>
      </c>
      <c r="C109">
        <v>0</v>
      </c>
      <c r="D109">
        <v>0</v>
      </c>
      <c r="E109">
        <v>0</v>
      </c>
      <c r="F109">
        <v>0</v>
      </c>
      <c r="G109">
        <v>2215</v>
      </c>
    </row>
    <row r="110" spans="1:7">
      <c r="A110" t="s">
        <v>1098</v>
      </c>
      <c r="C110">
        <v>285</v>
      </c>
      <c r="G110">
        <v>285</v>
      </c>
    </row>
    <row r="111" spans="1:7">
      <c r="A111" t="s">
        <v>667</v>
      </c>
      <c r="D111">
        <v>617</v>
      </c>
      <c r="E111">
        <v>286</v>
      </c>
      <c r="F111">
        <v>0</v>
      </c>
      <c r="G111">
        <v>903</v>
      </c>
    </row>
    <row r="112" spans="1:7">
      <c r="A112" t="s">
        <v>946</v>
      </c>
      <c r="D112">
        <v>700</v>
      </c>
      <c r="E112">
        <v>1590</v>
      </c>
      <c r="F112">
        <v>1370</v>
      </c>
      <c r="G112">
        <v>3660</v>
      </c>
    </row>
    <row r="113" spans="1:7">
      <c r="A113" t="s">
        <v>764</v>
      </c>
      <c r="D113">
        <v>200</v>
      </c>
      <c r="E113">
        <v>489</v>
      </c>
      <c r="F113">
        <v>0</v>
      </c>
      <c r="G113">
        <v>689</v>
      </c>
    </row>
    <row r="114" spans="1:7">
      <c r="A114" t="s">
        <v>919</v>
      </c>
      <c r="E114">
        <v>884</v>
      </c>
      <c r="F114">
        <v>738</v>
      </c>
      <c r="G114">
        <v>1622</v>
      </c>
    </row>
    <row r="115" spans="1:7">
      <c r="A115" t="s">
        <v>686</v>
      </c>
      <c r="E115">
        <v>1357</v>
      </c>
      <c r="F115">
        <v>0</v>
      </c>
      <c r="G115">
        <v>1357</v>
      </c>
    </row>
    <row r="116" spans="1:7">
      <c r="A116" t="s">
        <v>874</v>
      </c>
      <c r="E116">
        <v>874</v>
      </c>
      <c r="F116">
        <v>1602</v>
      </c>
      <c r="G116">
        <v>2476</v>
      </c>
    </row>
    <row r="117" spans="1:7">
      <c r="A117" t="s">
        <v>794</v>
      </c>
      <c r="F117">
        <v>20</v>
      </c>
      <c r="G117">
        <v>20</v>
      </c>
    </row>
    <row r="118" spans="1:7">
      <c r="A118" t="s">
        <v>708</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v>0</v>
      </c>
      <c r="C123">
        <v>0</v>
      </c>
      <c r="D123">
        <v>0</v>
      </c>
      <c r="G123">
        <v>0</v>
      </c>
    </row>
    <row r="124" spans="1:7">
      <c r="A124" t="s">
        <v>838</v>
      </c>
      <c r="B124">
        <v>0</v>
      </c>
      <c r="C124">
        <v>0</v>
      </c>
      <c r="D124">
        <v>0</v>
      </c>
      <c r="G124">
        <v>0</v>
      </c>
    </row>
    <row r="125" spans="1:7">
      <c r="A125" t="s">
        <v>848</v>
      </c>
      <c r="B125">
        <v>0</v>
      </c>
      <c r="C125">
        <v>3</v>
      </c>
      <c r="G125">
        <v>3</v>
      </c>
    </row>
    <row r="126" spans="1:7">
      <c r="A126" t="s">
        <v>852</v>
      </c>
      <c r="B126">
        <v>0</v>
      </c>
      <c r="C126">
        <v>0</v>
      </c>
      <c r="G126">
        <v>0</v>
      </c>
    </row>
    <row r="127" spans="1:7">
      <c r="A127" t="s">
        <v>858</v>
      </c>
      <c r="B127">
        <v>0</v>
      </c>
      <c r="C127">
        <v>0</v>
      </c>
      <c r="G127">
        <v>0</v>
      </c>
    </row>
    <row r="128" spans="1:7">
      <c r="A128" t="s">
        <v>871</v>
      </c>
      <c r="B128">
        <v>0</v>
      </c>
      <c r="C128">
        <v>0</v>
      </c>
      <c r="D128">
        <v>0</v>
      </c>
      <c r="E128">
        <v>0</v>
      </c>
      <c r="G128">
        <v>0</v>
      </c>
    </row>
    <row r="129" spans="1:7">
      <c r="A129" t="s">
        <v>904</v>
      </c>
      <c r="B129">
        <v>0</v>
      </c>
      <c r="C129">
        <v>0</v>
      </c>
      <c r="D129">
        <v>0</v>
      </c>
      <c r="G129">
        <v>0</v>
      </c>
    </row>
    <row r="130" spans="1:7">
      <c r="A130" t="s">
        <v>917</v>
      </c>
      <c r="B130">
        <v>0</v>
      </c>
      <c r="C130">
        <v>0</v>
      </c>
      <c r="D130">
        <v>0</v>
      </c>
      <c r="E130">
        <v>0</v>
      </c>
      <c r="G130">
        <v>0</v>
      </c>
    </row>
    <row r="131" spans="1:7">
      <c r="A131" t="s">
        <v>924</v>
      </c>
      <c r="B131">
        <v>0</v>
      </c>
      <c r="C131">
        <v>12</v>
      </c>
      <c r="D131">
        <v>9</v>
      </c>
      <c r="G131">
        <v>21</v>
      </c>
    </row>
    <row r="132" spans="1:7">
      <c r="A132" t="s">
        <v>699</v>
      </c>
      <c r="B132">
        <v>0</v>
      </c>
      <c r="C132">
        <v>0</v>
      </c>
      <c r="D132">
        <v>0</v>
      </c>
      <c r="G132">
        <v>0</v>
      </c>
    </row>
    <row r="133" spans="1:7">
      <c r="A133" t="s">
        <v>703</v>
      </c>
      <c r="B133">
        <v>0</v>
      </c>
      <c r="C133">
        <v>0</v>
      </c>
      <c r="D133">
        <v>0</v>
      </c>
      <c r="G133">
        <v>0</v>
      </c>
    </row>
    <row r="134" spans="1:7">
      <c r="A134" t="s">
        <v>720</v>
      </c>
      <c r="B134">
        <v>0</v>
      </c>
      <c r="C134">
        <v>0</v>
      </c>
      <c r="D134">
        <v>0</v>
      </c>
      <c r="E134">
        <v>0</v>
      </c>
      <c r="G134">
        <v>0</v>
      </c>
    </row>
    <row r="135" spans="1:7">
      <c r="A135" t="s">
        <v>959</v>
      </c>
      <c r="B135">
        <v>0</v>
      </c>
      <c r="C135">
        <v>0</v>
      </c>
      <c r="D135">
        <v>0</v>
      </c>
      <c r="G135">
        <v>0</v>
      </c>
    </row>
    <row r="136" spans="1:7">
      <c r="A136" t="s">
        <v>831</v>
      </c>
      <c r="B136">
        <v>0</v>
      </c>
      <c r="C136">
        <v>199</v>
      </c>
      <c r="D136">
        <v>0</v>
      </c>
      <c r="E136">
        <v>0</v>
      </c>
      <c r="G136">
        <v>199</v>
      </c>
    </row>
    <row r="137" spans="1:7">
      <c r="A137" t="s">
        <v>832</v>
      </c>
      <c r="B137">
        <v>0</v>
      </c>
      <c r="C137">
        <v>0</v>
      </c>
      <c r="D137">
        <v>0</v>
      </c>
      <c r="E137">
        <v>0</v>
      </c>
      <c r="G137">
        <v>0</v>
      </c>
    </row>
    <row r="138" spans="1:7">
      <c r="A138" t="s">
        <v>684</v>
      </c>
      <c r="B138">
        <v>0</v>
      </c>
      <c r="C138">
        <v>0</v>
      </c>
      <c r="D138">
        <v>0</v>
      </c>
      <c r="E138">
        <v>0</v>
      </c>
      <c r="G138">
        <v>0</v>
      </c>
    </row>
    <row r="139" spans="1:7">
      <c r="A139" t="s">
        <v>633</v>
      </c>
      <c r="B139">
        <v>0</v>
      </c>
      <c r="C139">
        <v>0</v>
      </c>
      <c r="D139">
        <v>0</v>
      </c>
      <c r="G139">
        <v>0</v>
      </c>
    </row>
    <row r="140" spans="1:7">
      <c r="A140" t="s">
        <v>825</v>
      </c>
      <c r="B140">
        <v>0</v>
      </c>
      <c r="C140">
        <v>0</v>
      </c>
      <c r="D140">
        <v>0</v>
      </c>
      <c r="E140">
        <v>0</v>
      </c>
      <c r="F140">
        <v>0</v>
      </c>
      <c r="G140">
        <v>0</v>
      </c>
    </row>
    <row r="141" spans="1:7">
      <c r="A141" t="s">
        <v>828</v>
      </c>
      <c r="B141">
        <v>0</v>
      </c>
      <c r="C141">
        <v>0</v>
      </c>
      <c r="D141">
        <v>0</v>
      </c>
      <c r="E141">
        <v>0</v>
      </c>
      <c r="F141">
        <v>0</v>
      </c>
      <c r="G141">
        <v>0</v>
      </c>
    </row>
    <row r="142" spans="1:7">
      <c r="A142" t="s">
        <v>913</v>
      </c>
      <c r="B142">
        <v>0</v>
      </c>
      <c r="C142">
        <v>0</v>
      </c>
      <c r="D142">
        <v>0</v>
      </c>
      <c r="E142">
        <v>0</v>
      </c>
      <c r="F142">
        <v>0</v>
      </c>
      <c r="G142">
        <v>0</v>
      </c>
    </row>
    <row r="143" spans="1:7">
      <c r="A143" t="s">
        <v>798</v>
      </c>
      <c r="B143">
        <v>0</v>
      </c>
      <c r="C143">
        <v>0</v>
      </c>
      <c r="D143">
        <v>0</v>
      </c>
      <c r="G143">
        <v>0</v>
      </c>
    </row>
    <row r="144" spans="1:7">
      <c r="A144" t="s">
        <v>696</v>
      </c>
      <c r="B144">
        <v>0</v>
      </c>
      <c r="C144">
        <v>0</v>
      </c>
      <c r="D144">
        <v>0</v>
      </c>
      <c r="G144">
        <v>0</v>
      </c>
    </row>
    <row r="145" spans="1:7">
      <c r="A145" t="s">
        <v>701</v>
      </c>
      <c r="B145">
        <v>0</v>
      </c>
      <c r="C145">
        <v>0</v>
      </c>
      <c r="D145">
        <v>0</v>
      </c>
      <c r="G145">
        <v>0</v>
      </c>
    </row>
    <row r="146" spans="1:7">
      <c r="A146" t="s">
        <v>706</v>
      </c>
      <c r="B146">
        <v>0</v>
      </c>
      <c r="C146">
        <v>0</v>
      </c>
      <c r="D146">
        <v>0</v>
      </c>
      <c r="G146">
        <v>0</v>
      </c>
    </row>
    <row r="147" spans="1:7">
      <c r="A147" t="s">
        <v>751</v>
      </c>
      <c r="B147">
        <v>0</v>
      </c>
      <c r="C147">
        <v>0</v>
      </c>
      <c r="D147">
        <v>0</v>
      </c>
      <c r="G147">
        <v>0</v>
      </c>
    </row>
    <row r="148" spans="1:7">
      <c r="A148" t="s">
        <v>821</v>
      </c>
      <c r="B148">
        <v>0</v>
      </c>
      <c r="C148">
        <v>0</v>
      </c>
      <c r="D148">
        <v>201</v>
      </c>
      <c r="E148">
        <v>1207</v>
      </c>
      <c r="F148">
        <v>220</v>
      </c>
      <c r="G148">
        <v>1628</v>
      </c>
    </row>
    <row r="149" spans="1:7">
      <c r="A149" t="s">
        <v>1095</v>
      </c>
      <c r="B149">
        <v>0</v>
      </c>
      <c r="C149">
        <v>106</v>
      </c>
      <c r="D149">
        <v>0</v>
      </c>
      <c r="E149">
        <v>0</v>
      </c>
      <c r="F149">
        <v>0</v>
      </c>
      <c r="G149">
        <v>106</v>
      </c>
    </row>
    <row r="150" spans="1:7">
      <c r="A150" t="s">
        <v>841</v>
      </c>
      <c r="B150">
        <v>649</v>
      </c>
      <c r="C150">
        <v>528</v>
      </c>
      <c r="D150">
        <v>489</v>
      </c>
      <c r="E150">
        <v>534</v>
      </c>
      <c r="G150">
        <v>2200</v>
      </c>
    </row>
    <row r="151" spans="1:7">
      <c r="A151" t="s">
        <v>1096</v>
      </c>
      <c r="B151">
        <v>0</v>
      </c>
      <c r="C151">
        <v>0</v>
      </c>
      <c r="D151">
        <v>0</v>
      </c>
      <c r="G151">
        <v>0</v>
      </c>
    </row>
    <row r="152" spans="1:7">
      <c r="A152" t="s">
        <v>908</v>
      </c>
      <c r="B152">
        <v>0</v>
      </c>
      <c r="C152">
        <v>0</v>
      </c>
      <c r="D152">
        <v>0</v>
      </c>
      <c r="E152">
        <v>0</v>
      </c>
      <c r="F152">
        <v>0</v>
      </c>
      <c r="G152">
        <v>0</v>
      </c>
    </row>
    <row r="153" spans="1:7">
      <c r="A153" t="s">
        <v>942</v>
      </c>
      <c r="B153">
        <v>0</v>
      </c>
      <c r="C153">
        <v>0</v>
      </c>
      <c r="D153">
        <v>0</v>
      </c>
      <c r="E153">
        <v>0</v>
      </c>
      <c r="F153">
        <v>0</v>
      </c>
      <c r="G153">
        <v>0</v>
      </c>
    </row>
    <row r="154" spans="1:7">
      <c r="A154" t="s">
        <v>1097</v>
      </c>
      <c r="E154">
        <v>0</v>
      </c>
      <c r="F154">
        <v>0</v>
      </c>
      <c r="G154">
        <v>0</v>
      </c>
    </row>
    <row r="155" spans="1:7">
      <c r="A155" t="s">
        <v>940</v>
      </c>
      <c r="B155">
        <v>0</v>
      </c>
      <c r="C155">
        <v>0</v>
      </c>
      <c r="D155">
        <v>0</v>
      </c>
      <c r="E155">
        <v>0</v>
      </c>
      <c r="F155">
        <v>0</v>
      </c>
      <c r="G155">
        <v>0</v>
      </c>
    </row>
    <row r="156" spans="1:7">
      <c r="A156" t="s">
        <v>688</v>
      </c>
      <c r="B156">
        <v>0</v>
      </c>
      <c r="C156">
        <v>0</v>
      </c>
      <c r="D156">
        <v>0</v>
      </c>
      <c r="E156">
        <v>0</v>
      </c>
      <c r="F156">
        <v>0</v>
      </c>
      <c r="G156">
        <v>0</v>
      </c>
    </row>
    <row r="157" spans="1:7">
      <c r="A157" t="s">
        <v>937</v>
      </c>
      <c r="B157">
        <v>0</v>
      </c>
      <c r="C157">
        <v>0</v>
      </c>
      <c r="D157">
        <v>0</v>
      </c>
      <c r="E157">
        <v>0</v>
      </c>
      <c r="F157">
        <v>0</v>
      </c>
      <c r="G157">
        <v>0</v>
      </c>
    </row>
    <row r="158" spans="1:7">
      <c r="A158" t="s">
        <v>667</v>
      </c>
      <c r="B158">
        <v>0</v>
      </c>
      <c r="C158">
        <v>491</v>
      </c>
      <c r="D158">
        <v>291</v>
      </c>
      <c r="E158">
        <v>571</v>
      </c>
      <c r="F158">
        <v>0</v>
      </c>
      <c r="G158">
        <v>1353</v>
      </c>
    </row>
    <row r="159" spans="1:7">
      <c r="A159" t="s">
        <v>946</v>
      </c>
      <c r="B159">
        <v>0</v>
      </c>
      <c r="C159">
        <v>0</v>
      </c>
      <c r="D159">
        <v>0</v>
      </c>
      <c r="E159">
        <v>1170</v>
      </c>
      <c r="F159">
        <v>0</v>
      </c>
      <c r="G159">
        <v>1170</v>
      </c>
    </row>
    <row r="160" spans="1:7">
      <c r="A160" t="s">
        <v>764</v>
      </c>
      <c r="B160">
        <v>921</v>
      </c>
      <c r="C160">
        <v>614</v>
      </c>
      <c r="D160">
        <v>1004</v>
      </c>
      <c r="E160">
        <v>0</v>
      </c>
      <c r="G160">
        <v>2539</v>
      </c>
    </row>
    <row r="161" spans="1:7">
      <c r="A161" t="s">
        <v>919</v>
      </c>
      <c r="B161">
        <v>0</v>
      </c>
      <c r="C161">
        <v>0</v>
      </c>
      <c r="D161">
        <v>961</v>
      </c>
      <c r="E161">
        <v>914</v>
      </c>
      <c r="F161">
        <v>1903</v>
      </c>
      <c r="G161">
        <v>3778</v>
      </c>
    </row>
    <row r="162" spans="1:7">
      <c r="A162" t="s">
        <v>686</v>
      </c>
      <c r="B162">
        <v>1288</v>
      </c>
      <c r="C162">
        <v>685</v>
      </c>
      <c r="D162">
        <v>0</v>
      </c>
      <c r="E162">
        <v>0</v>
      </c>
      <c r="F162">
        <v>0</v>
      </c>
      <c r="G162">
        <v>1973</v>
      </c>
    </row>
    <row r="163" spans="1:7">
      <c r="A163" t="s">
        <v>874</v>
      </c>
      <c r="B163">
        <v>834</v>
      </c>
      <c r="C163">
        <v>1081</v>
      </c>
      <c r="D163">
        <v>688</v>
      </c>
      <c r="E163">
        <v>0</v>
      </c>
      <c r="F163">
        <v>0</v>
      </c>
      <c r="G163">
        <v>2603</v>
      </c>
    </row>
    <row r="164" spans="1:7">
      <c r="A164" t="s">
        <v>794</v>
      </c>
      <c r="B164">
        <v>0</v>
      </c>
      <c r="C164">
        <v>0</v>
      </c>
      <c r="D164">
        <v>0</v>
      </c>
      <c r="E164">
        <v>0</v>
      </c>
      <c r="F164">
        <v>0</v>
      </c>
      <c r="G164">
        <v>0</v>
      </c>
    </row>
    <row r="165" spans="1:7">
      <c r="A165" t="s">
        <v>714</v>
      </c>
      <c r="C165">
        <v>1710</v>
      </c>
      <c r="D165">
        <v>1700</v>
      </c>
      <c r="E165">
        <v>0</v>
      </c>
      <c r="F165">
        <v>0</v>
      </c>
      <c r="G165">
        <v>3410</v>
      </c>
    </row>
    <row r="166" spans="1:7">
      <c r="A166" t="s">
        <v>954</v>
      </c>
      <c r="C166">
        <v>304</v>
      </c>
      <c r="D166">
        <v>205</v>
      </c>
      <c r="E166">
        <v>451</v>
      </c>
      <c r="F166">
        <v>0</v>
      </c>
      <c r="G166">
        <v>960</v>
      </c>
    </row>
    <row r="167" spans="1:7">
      <c r="A167" t="s">
        <v>1099</v>
      </c>
      <c r="C167">
        <v>1617</v>
      </c>
      <c r="D167">
        <v>0</v>
      </c>
      <c r="E167">
        <v>101</v>
      </c>
      <c r="F167">
        <v>0</v>
      </c>
      <c r="G167">
        <v>1718</v>
      </c>
    </row>
    <row r="168" spans="1:7">
      <c r="A168" t="s">
        <v>944</v>
      </c>
      <c r="C168">
        <v>228</v>
      </c>
      <c r="D168">
        <v>0</v>
      </c>
      <c r="E168">
        <v>0</v>
      </c>
      <c r="F168">
        <v>0</v>
      </c>
      <c r="G168">
        <v>228</v>
      </c>
    </row>
    <row r="169" spans="1:7">
      <c r="A169" t="s">
        <v>927</v>
      </c>
      <c r="C169">
        <v>1257</v>
      </c>
      <c r="D169">
        <v>2121</v>
      </c>
      <c r="E169">
        <v>2742</v>
      </c>
      <c r="F169">
        <v>75</v>
      </c>
      <c r="G169">
        <v>6195</v>
      </c>
    </row>
    <row r="170" spans="1:7">
      <c r="A170" t="s">
        <v>906</v>
      </c>
      <c r="D170">
        <v>984</v>
      </c>
      <c r="E170">
        <v>1078</v>
      </c>
      <c r="F170">
        <v>2048</v>
      </c>
      <c r="G170">
        <v>4110</v>
      </c>
    </row>
    <row r="171" spans="1:7">
      <c r="A171" t="s">
        <v>1043</v>
      </c>
      <c r="D171">
        <v>2760</v>
      </c>
      <c r="E171">
        <v>945</v>
      </c>
      <c r="F171">
        <v>1073</v>
      </c>
      <c r="G171">
        <v>4778</v>
      </c>
    </row>
    <row r="172" spans="1:7">
      <c r="A172" t="s">
        <v>911</v>
      </c>
      <c r="D172">
        <v>1246</v>
      </c>
      <c r="E172">
        <v>664</v>
      </c>
      <c r="F172">
        <v>834</v>
      </c>
      <c r="G172">
        <v>2744</v>
      </c>
    </row>
    <row r="173" spans="1:7">
      <c r="A173" t="s">
        <v>708</v>
      </c>
      <c r="D173">
        <v>1353</v>
      </c>
      <c r="E173">
        <v>1123</v>
      </c>
      <c r="F173">
        <v>0</v>
      </c>
      <c r="G173">
        <v>2476</v>
      </c>
    </row>
    <row r="174" spans="1:7">
      <c r="A174" t="s">
        <v>845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row>
    <row r="180" spans="1:7">
      <c r="A180" t="s">
        <v>848</v>
      </c>
    </row>
    <row r="181" spans="1:7">
      <c r="A181" t="s">
        <v>858</v>
      </c>
    </row>
    <row r="182" spans="1:7">
      <c r="A182" t="s">
        <v>871</v>
      </c>
    </row>
    <row r="183" spans="1:7">
      <c r="A183" t="s">
        <v>917</v>
      </c>
    </row>
    <row r="184" spans="1:7">
      <c r="A184" t="s">
        <v>924</v>
      </c>
    </row>
    <row r="185" spans="1:7">
      <c r="A185" t="s">
        <v>959</v>
      </c>
    </row>
    <row r="186" spans="1:7">
      <c r="A186" t="s">
        <v>831</v>
      </c>
    </row>
    <row r="187" spans="1:7">
      <c r="A187" t="s">
        <v>684</v>
      </c>
    </row>
    <row r="188" spans="1:7">
      <c r="A188" t="s">
        <v>633</v>
      </c>
    </row>
    <row r="189" spans="1:7">
      <c r="A189" t="s">
        <v>751</v>
      </c>
    </row>
    <row r="190" spans="1:7">
      <c r="A190" t="s">
        <v>821</v>
      </c>
      <c r="B190">
        <v>195</v>
      </c>
      <c r="D190">
        <v>187</v>
      </c>
      <c r="E190">
        <v>340</v>
      </c>
      <c r="F190">
        <v>270</v>
      </c>
      <c r="G190">
        <v>992</v>
      </c>
    </row>
    <row r="191" spans="1:7">
      <c r="A191" t="s">
        <v>1095</v>
      </c>
    </row>
    <row r="192" spans="1:7">
      <c r="A192" t="s">
        <v>942</v>
      </c>
      <c r="D192">
        <v>1409</v>
      </c>
      <c r="E192">
        <v>1016</v>
      </c>
      <c r="G192">
        <v>2425</v>
      </c>
    </row>
    <row r="193" spans="1:7">
      <c r="A193" t="s">
        <v>1097</v>
      </c>
    </row>
    <row r="194" spans="1:7">
      <c r="A194" t="s">
        <v>940</v>
      </c>
      <c r="C194">
        <v>1342</v>
      </c>
      <c r="G194">
        <v>1342</v>
      </c>
    </row>
    <row r="195" spans="1:7">
      <c r="A195" t="s">
        <v>688</v>
      </c>
    </row>
    <row r="196" spans="1:7">
      <c r="A196" t="s">
        <v>937</v>
      </c>
    </row>
    <row r="197" spans="1:7">
      <c r="A197" t="s">
        <v>667</v>
      </c>
      <c r="B197">
        <v>436</v>
      </c>
      <c r="E197">
        <v>6275</v>
      </c>
      <c r="G197">
        <v>6711</v>
      </c>
    </row>
    <row r="198" spans="1:7">
      <c r="A198" t="s">
        <v>946</v>
      </c>
      <c r="C198">
        <v>315</v>
      </c>
      <c r="G198">
        <v>315</v>
      </c>
    </row>
    <row r="199" spans="1:7">
      <c r="A199" t="s">
        <v>764</v>
      </c>
      <c r="C199">
        <v>1230</v>
      </c>
      <c r="D199">
        <v>200</v>
      </c>
      <c r="G199">
        <v>1430</v>
      </c>
    </row>
    <row r="200" spans="1:7">
      <c r="A200" t="s">
        <v>686</v>
      </c>
    </row>
    <row r="201" spans="1:7">
      <c r="A201" t="s">
        <v>874</v>
      </c>
      <c r="B201">
        <v>15</v>
      </c>
      <c r="G201">
        <v>15</v>
      </c>
    </row>
    <row r="202" spans="1:7">
      <c r="A202" t="s">
        <v>794</v>
      </c>
    </row>
    <row r="203" spans="1:7">
      <c r="A203" t="s">
        <v>714</v>
      </c>
    </row>
    <row r="204" spans="1:7">
      <c r="A204" t="s">
        <v>954</v>
      </c>
    </row>
    <row r="205" spans="1:7">
      <c r="A205" t="s">
        <v>1099</v>
      </c>
    </row>
    <row r="206" spans="1:7">
      <c r="A206" t="s">
        <v>944</v>
      </c>
      <c r="D206">
        <v>1460</v>
      </c>
      <c r="E206">
        <v>0</v>
      </c>
      <c r="F206">
        <v>420</v>
      </c>
      <c r="G206">
        <v>1880</v>
      </c>
    </row>
    <row r="207" spans="1:7">
      <c r="A207" t="s">
        <v>906</v>
      </c>
      <c r="B207">
        <v>919</v>
      </c>
      <c r="E207">
        <v>1672</v>
      </c>
      <c r="F207">
        <v>0</v>
      </c>
      <c r="G207">
        <v>2591</v>
      </c>
    </row>
    <row r="208" spans="1:7">
      <c r="A208" t="s">
        <v>1043</v>
      </c>
      <c r="B208">
        <v>2387</v>
      </c>
      <c r="C208">
        <v>841</v>
      </c>
      <c r="D208">
        <v>18</v>
      </c>
      <c r="E208">
        <v>0</v>
      </c>
      <c r="G208">
        <v>3246</v>
      </c>
    </row>
    <row r="209" spans="1:7">
      <c r="A209" t="s">
        <v>911</v>
      </c>
      <c r="B209">
        <v>1095</v>
      </c>
      <c r="C209">
        <v>65</v>
      </c>
      <c r="G209">
        <v>1160</v>
      </c>
    </row>
    <row r="210" spans="1:7">
      <c r="A210" t="s">
        <v>708</v>
      </c>
      <c r="B210">
        <v>1105</v>
      </c>
      <c r="G210">
        <v>1105</v>
      </c>
    </row>
    <row r="211" spans="1:7">
      <c r="A211" t="s">
        <v>845</v>
      </c>
      <c r="F211">
        <v>360</v>
      </c>
      <c r="G211">
        <v>360</v>
      </c>
    </row>
    <row r="212" spans="1:7">
      <c r="A212" t="s">
        <v>679</v>
      </c>
      <c r="B212">
        <v>920</v>
      </c>
      <c r="G212">
        <v>920</v>
      </c>
    </row>
    <row r="213" spans="1:7">
      <c r="A213" t="s">
        <v>816</v>
      </c>
      <c r="B213">
        <v>656</v>
      </c>
      <c r="D213">
        <v>728</v>
      </c>
      <c r="E213">
        <v>1400</v>
      </c>
      <c r="F213">
        <v>709</v>
      </c>
      <c r="G213">
        <v>3493</v>
      </c>
    </row>
    <row r="214" spans="1:7">
      <c r="A214" t="s">
        <v>1034</v>
      </c>
      <c r="C214">
        <v>977</v>
      </c>
      <c r="D214">
        <v>953</v>
      </c>
      <c r="E214">
        <v>2472</v>
      </c>
      <c r="F214">
        <v>399</v>
      </c>
      <c r="G214">
        <v>4801</v>
      </c>
    </row>
    <row r="215" spans="1:7">
      <c r="A215" t="s">
        <v>951</v>
      </c>
      <c r="C215">
        <v>803</v>
      </c>
      <c r="D215">
        <v>551</v>
      </c>
      <c r="E215">
        <v>0</v>
      </c>
      <c r="G215">
        <v>1354</v>
      </c>
    </row>
    <row r="216" spans="1:7">
      <c r="A216" t="s">
        <v>1100</v>
      </c>
    </row>
    <row r="217" spans="1:7">
      <c r="A217" t="s">
        <v>922</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row>
    <row r="227" spans="1:7">
      <c r="A227" t="s">
        <v>858</v>
      </c>
    </row>
    <row r="228" spans="1:7">
      <c r="A228" t="s">
        <v>924</v>
      </c>
    </row>
    <row r="229" spans="1:7">
      <c r="A229" t="s">
        <v>959</v>
      </c>
      <c r="B229">
        <v>762</v>
      </c>
      <c r="C229">
        <v>0</v>
      </c>
      <c r="D229">
        <v>0</v>
      </c>
      <c r="E229">
        <v>76</v>
      </c>
      <c r="G229">
        <v>838</v>
      </c>
    </row>
    <row r="230" spans="1:7">
      <c r="A230" t="s">
        <v>831</v>
      </c>
    </row>
    <row r="231" spans="1:7">
      <c r="A231" t="s">
        <v>832</v>
      </c>
    </row>
    <row r="232" spans="1:7">
      <c r="A232" t="s">
        <v>821</v>
      </c>
      <c r="B232">
        <v>58</v>
      </c>
      <c r="C232">
        <v>574</v>
      </c>
      <c r="D232">
        <v>704</v>
      </c>
      <c r="E232">
        <v>1009</v>
      </c>
      <c r="F232">
        <v>200</v>
      </c>
      <c r="G232">
        <v>2545</v>
      </c>
    </row>
    <row r="233" spans="1:7">
      <c r="A233" t="s">
        <v>667</v>
      </c>
      <c r="C233">
        <v>380</v>
      </c>
      <c r="D233">
        <v>300</v>
      </c>
      <c r="E233">
        <v>150</v>
      </c>
      <c r="G233">
        <v>830</v>
      </c>
    </row>
    <row r="234" spans="1:7">
      <c r="A234" t="s">
        <v>919</v>
      </c>
    </row>
    <row r="235" spans="1:7">
      <c r="A235" t="s">
        <v>874</v>
      </c>
      <c r="C235">
        <v>0</v>
      </c>
      <c r="D235">
        <v>0</v>
      </c>
      <c r="E235">
        <v>137</v>
      </c>
      <c r="G235">
        <v>137</v>
      </c>
    </row>
    <row r="236" spans="1:7">
      <c r="A236" t="s">
        <v>954</v>
      </c>
      <c r="E236">
        <v>310</v>
      </c>
      <c r="G236">
        <v>310</v>
      </c>
    </row>
    <row r="237" spans="1:7">
      <c r="A237" t="s">
        <v>944</v>
      </c>
      <c r="B237">
        <v>982</v>
      </c>
      <c r="C237">
        <v>749</v>
      </c>
      <c r="D237">
        <v>713</v>
      </c>
      <c r="G237">
        <v>2444</v>
      </c>
    </row>
    <row r="238" spans="1:7">
      <c r="A238" t="s">
        <v>1043</v>
      </c>
      <c r="C238">
        <v>0</v>
      </c>
      <c r="D238">
        <v>0</v>
      </c>
      <c r="E238">
        <v>0</v>
      </c>
      <c r="G238">
        <v>0</v>
      </c>
    </row>
    <row r="239" spans="1:7">
      <c r="A239" t="s">
        <v>816</v>
      </c>
      <c r="B239">
        <v>905</v>
      </c>
      <c r="C239">
        <v>630</v>
      </c>
      <c r="D239">
        <v>894</v>
      </c>
      <c r="G239">
        <v>2429</v>
      </c>
    </row>
    <row r="240" spans="1:7">
      <c r="A240" t="s">
        <v>1103</v>
      </c>
    </row>
    <row r="241" spans="1:7">
      <c r="A241" t="s">
        <v>806</v>
      </c>
      <c r="B241">
        <v>691</v>
      </c>
      <c r="G241">
        <v>691</v>
      </c>
    </row>
    <row r="242" spans="1:7">
      <c r="A242" t="s">
        <v>809</v>
      </c>
      <c r="B242">
        <v>1430</v>
      </c>
      <c r="C242">
        <v>1383</v>
      </c>
      <c r="D242">
        <v>1334</v>
      </c>
      <c r="E242">
        <v>1548</v>
      </c>
      <c r="G242">
        <v>5695</v>
      </c>
    </row>
    <row r="243" spans="1:7">
      <c r="A243" t="s">
        <v>819</v>
      </c>
      <c r="B243">
        <v>1460</v>
      </c>
      <c r="C243">
        <v>1350</v>
      </c>
      <c r="D243">
        <v>1507</v>
      </c>
      <c r="F243">
        <v>2287</v>
      </c>
      <c r="G243">
        <v>6604</v>
      </c>
    </row>
    <row r="244" spans="1:7">
      <c r="A244" t="s">
        <v>1104</v>
      </c>
    </row>
    <row r="245" spans="1:7">
      <c r="A245" t="s">
        <v>1105</v>
      </c>
    </row>
    <row r="246" spans="1:7">
      <c r="A246" t="s">
        <v>1041</v>
      </c>
      <c r="C246">
        <v>575</v>
      </c>
      <c r="G246">
        <v>575</v>
      </c>
    </row>
    <row r="247" spans="1:7">
      <c r="A247" t="s">
        <v>812</v>
      </c>
      <c r="C247">
        <v>1065</v>
      </c>
      <c r="D247">
        <v>825</v>
      </c>
      <c r="E247">
        <v>705</v>
      </c>
      <c r="G247">
        <v>2595</v>
      </c>
    </row>
    <row r="248" spans="1:7">
      <c r="A248" t="s">
        <v>956</v>
      </c>
    </row>
    <row r="249" spans="1:7">
      <c r="A249" t="s">
        <v>803</v>
      </c>
      <c r="C249">
        <v>442</v>
      </c>
      <c r="D249">
        <v>854</v>
      </c>
      <c r="E249">
        <v>290</v>
      </c>
      <c r="F249">
        <v>673</v>
      </c>
      <c r="G249">
        <v>2259</v>
      </c>
    </row>
    <row r="250" spans="1:7">
      <c r="A250" t="s">
        <v>973</v>
      </c>
      <c r="C250">
        <v>1740</v>
      </c>
      <c r="D250">
        <v>2934</v>
      </c>
      <c r="F250">
        <v>161</v>
      </c>
      <c r="G250">
        <v>4835</v>
      </c>
    </row>
    <row r="251" spans="1:7">
      <c r="A251" t="s">
        <v>401</v>
      </c>
      <c r="C251">
        <v>483</v>
      </c>
      <c r="D251">
        <v>1799</v>
      </c>
      <c r="F251">
        <v>0</v>
      </c>
      <c r="G251">
        <v>2282</v>
      </c>
    </row>
    <row r="252" spans="1:7">
      <c r="A252" t="s">
        <v>656</v>
      </c>
      <c r="C252">
        <v>1333</v>
      </c>
      <c r="D252">
        <v>1701</v>
      </c>
      <c r="F252">
        <v>546</v>
      </c>
      <c r="G252">
        <v>3580</v>
      </c>
    </row>
    <row r="253" spans="1:7">
      <c r="A253" t="s">
        <v>1039</v>
      </c>
      <c r="D253">
        <v>1972</v>
      </c>
      <c r="E253">
        <v>178</v>
      </c>
      <c r="F253">
        <v>266</v>
      </c>
      <c r="G253">
        <v>2416</v>
      </c>
    </row>
    <row r="254" spans="1:7">
      <c r="A254" t="s">
        <v>1106</v>
      </c>
      <c r="E254">
        <v>0</v>
      </c>
      <c r="G254">
        <v>0</v>
      </c>
    </row>
    <row r="255" spans="1:7">
      <c r="A255" t="s">
        <v>669</v>
      </c>
      <c r="E255">
        <v>195</v>
      </c>
      <c r="G255">
        <v>195</v>
      </c>
    </row>
    <row r="256" spans="1:7">
      <c r="A256" t="s">
        <v>800</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v>644</v>
      </c>
      <c r="G263">
        <v>644</v>
      </c>
    </row>
    <row r="264" spans="1:7">
      <c r="A264" t="s">
        <v>832</v>
      </c>
      <c r="B264">
        <v>0</v>
      </c>
      <c r="G264">
        <v>0</v>
      </c>
    </row>
    <row r="265" spans="1:7">
      <c r="A265" t="s">
        <v>825</v>
      </c>
      <c r="B265">
        <v>745</v>
      </c>
      <c r="G265">
        <v>745</v>
      </c>
    </row>
    <row r="266" spans="1:7">
      <c r="A266" t="s">
        <v>821</v>
      </c>
      <c r="B266">
        <v>265</v>
      </c>
      <c r="C266">
        <v>0</v>
      </c>
      <c r="D266">
        <v>0</v>
      </c>
      <c r="F266">
        <v>635</v>
      </c>
      <c r="G266">
        <v>900</v>
      </c>
    </row>
    <row r="267" spans="1:7">
      <c r="A267" t="s">
        <v>667</v>
      </c>
    </row>
    <row r="268" spans="1:7">
      <c r="A268" t="s">
        <v>919</v>
      </c>
      <c r="D268">
        <v>0</v>
      </c>
      <c r="G268">
        <v>0</v>
      </c>
    </row>
    <row r="269" spans="1:7">
      <c r="A269" t="s">
        <v>906</v>
      </c>
      <c r="B269">
        <v>0</v>
      </c>
      <c r="G269">
        <v>0</v>
      </c>
    </row>
    <row r="270" spans="1:7">
      <c r="A270" t="s">
        <v>845</v>
      </c>
    </row>
    <row r="271" spans="1:7">
      <c r="A271" t="s">
        <v>816</v>
      </c>
    </row>
    <row r="272" spans="1:7">
      <c r="A272" t="s">
        <v>1034</v>
      </c>
      <c r="D272">
        <v>0</v>
      </c>
      <c r="G272">
        <v>0</v>
      </c>
    </row>
    <row r="273" spans="1:7">
      <c r="A273" t="s">
        <v>951</v>
      </c>
      <c r="E273">
        <v>192</v>
      </c>
      <c r="G273">
        <v>192</v>
      </c>
    </row>
    <row r="274" spans="1:7">
      <c r="A274" t="s">
        <v>806</v>
      </c>
      <c r="E274">
        <v>3867</v>
      </c>
      <c r="F274">
        <v>594</v>
      </c>
      <c r="G274">
        <v>4461</v>
      </c>
    </row>
    <row r="275" spans="1:7">
      <c r="A275" t="s">
        <v>819</v>
      </c>
      <c r="B275">
        <v>695</v>
      </c>
      <c r="G275">
        <v>695</v>
      </c>
    </row>
    <row r="276" spans="1:7">
      <c r="A276" t="s">
        <v>973</v>
      </c>
      <c r="B276">
        <v>418</v>
      </c>
      <c r="C276">
        <v>0</v>
      </c>
      <c r="D276">
        <v>0</v>
      </c>
      <c r="G276">
        <v>418</v>
      </c>
    </row>
    <row r="277" spans="1:7">
      <c r="A277" t="s">
        <v>401</v>
      </c>
      <c r="B277">
        <v>499</v>
      </c>
      <c r="C277">
        <v>0</v>
      </c>
      <c r="D277">
        <v>0</v>
      </c>
      <c r="G277">
        <v>499</v>
      </c>
    </row>
    <row r="278" spans="1:7">
      <c r="A278" t="s">
        <v>1039</v>
      </c>
      <c r="B278">
        <v>1089</v>
      </c>
      <c r="C278">
        <v>0</v>
      </c>
      <c r="D278">
        <v>0</v>
      </c>
      <c r="G278">
        <v>1089</v>
      </c>
    </row>
    <row r="279" spans="1:7">
      <c r="A279" t="s">
        <v>669</v>
      </c>
      <c r="B279">
        <v>453</v>
      </c>
      <c r="C279">
        <v>166</v>
      </c>
      <c r="D279">
        <v>166</v>
      </c>
      <c r="E279">
        <v>302</v>
      </c>
      <c r="G279">
        <v>1087</v>
      </c>
    </row>
    <row r="280" spans="1:7">
      <c r="A280" t="s">
        <v>800</v>
      </c>
      <c r="B280">
        <v>1880</v>
      </c>
      <c r="C280">
        <v>0</v>
      </c>
      <c r="D280">
        <v>0</v>
      </c>
      <c r="G280">
        <v>1880</v>
      </c>
    </row>
    <row r="281" spans="1:7">
      <c r="A281" t="s">
        <v>1108</v>
      </c>
      <c r="B281">
        <v>349</v>
      </c>
      <c r="C281">
        <v>952</v>
      </c>
      <c r="D281">
        <v>952</v>
      </c>
      <c r="E281">
        <v>1328</v>
      </c>
      <c r="F281">
        <v>397</v>
      </c>
      <c r="G281">
        <v>3978</v>
      </c>
    </row>
    <row r="282" spans="1:7">
      <c r="A282" t="s">
        <v>716</v>
      </c>
      <c r="B282">
        <v>1413</v>
      </c>
      <c r="C282">
        <v>0</v>
      </c>
      <c r="D282">
        <v>1394</v>
      </c>
      <c r="G282">
        <v>2807</v>
      </c>
    </row>
    <row r="283" spans="1:7">
      <c r="A283" t="s">
        <v>664</v>
      </c>
      <c r="B283">
        <v>1355</v>
      </c>
      <c r="D283">
        <v>0</v>
      </c>
      <c r="G283">
        <v>1355</v>
      </c>
    </row>
    <row r="284" spans="1:7">
      <c r="A284" t="s">
        <v>535</v>
      </c>
      <c r="B284">
        <v>2227</v>
      </c>
      <c r="G284">
        <v>2227</v>
      </c>
    </row>
    <row r="285" spans="1:7">
      <c r="A285" t="s">
        <v>855</v>
      </c>
      <c r="C285">
        <v>0</v>
      </c>
      <c r="D285">
        <v>0</v>
      </c>
      <c r="E285">
        <v>344</v>
      </c>
      <c r="G285">
        <v>344</v>
      </c>
    </row>
    <row r="286" spans="1:7">
      <c r="A286" t="s">
        <v>529</v>
      </c>
      <c r="C286">
        <v>1149</v>
      </c>
      <c r="D286">
        <v>1149</v>
      </c>
      <c r="G286">
        <v>2298</v>
      </c>
    </row>
    <row r="287" spans="1:7">
      <c r="A287" t="s">
        <v>949</v>
      </c>
      <c r="E287">
        <v>313</v>
      </c>
      <c r="G287">
        <v>313</v>
      </c>
    </row>
    <row r="288" spans="1:7">
      <c r="A288" t="s">
        <v>933</v>
      </c>
      <c r="E288">
        <v>1265</v>
      </c>
      <c r="G288">
        <v>1265</v>
      </c>
    </row>
    <row r="289" spans="1:7">
      <c r="A289" t="s">
        <v>718</v>
      </c>
      <c r="E289">
        <v>1334</v>
      </c>
      <c r="G289">
        <v>1334</v>
      </c>
    </row>
    <row r="290" spans="1:7">
      <c r="A290" t="s">
        <v>710</v>
      </c>
      <c r="E290">
        <v>1970</v>
      </c>
      <c r="G290">
        <v>1970</v>
      </c>
    </row>
    <row r="291" spans="1:7">
      <c r="A291" t="s">
        <v>660</v>
      </c>
    </row>
    <row r="292" spans="1:7">
      <c r="A292" t="s">
        <v>930</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v>550</v>
      </c>
      <c r="E298">
        <v>426</v>
      </c>
      <c r="G298">
        <v>976</v>
      </c>
    </row>
    <row r="299" spans="1:7">
      <c r="A299" t="s">
        <v>667</v>
      </c>
      <c r="C299">
        <v>45</v>
      </c>
      <c r="G299">
        <v>45</v>
      </c>
    </row>
    <row r="300" spans="1:7">
      <c r="A300" t="s">
        <v>764</v>
      </c>
      <c r="C300">
        <v>150</v>
      </c>
      <c r="D300">
        <v>295</v>
      </c>
      <c r="E300">
        <v>504</v>
      </c>
      <c r="G300">
        <v>949</v>
      </c>
    </row>
    <row r="301" spans="1:7">
      <c r="A301" t="s">
        <v>944</v>
      </c>
    </row>
    <row r="302" spans="1:7">
      <c r="A302" t="s">
        <v>1043</v>
      </c>
    </row>
    <row r="303" spans="1:7">
      <c r="A303" t="s">
        <v>816</v>
      </c>
      <c r="B303">
        <v>132</v>
      </c>
      <c r="G303">
        <v>132</v>
      </c>
    </row>
    <row r="304" spans="1:7">
      <c r="A304" t="s">
        <v>806</v>
      </c>
      <c r="B304">
        <v>367</v>
      </c>
      <c r="G304">
        <v>367</v>
      </c>
    </row>
    <row r="305" spans="1:7">
      <c r="A305" t="s">
        <v>803</v>
      </c>
      <c r="F305">
        <v>314</v>
      </c>
      <c r="G305">
        <v>314</v>
      </c>
    </row>
    <row r="306" spans="1:7">
      <c r="A306" t="s">
        <v>973</v>
      </c>
    </row>
    <row r="307" spans="1:7">
      <c r="A307" t="s">
        <v>669</v>
      </c>
      <c r="B307">
        <v>43</v>
      </c>
      <c r="G307">
        <v>43</v>
      </c>
    </row>
    <row r="308" spans="1:7">
      <c r="A308" t="s">
        <v>664</v>
      </c>
    </row>
    <row r="309" spans="1:7">
      <c r="A309" t="s">
        <v>855</v>
      </c>
    </row>
    <row r="310" spans="1:7">
      <c r="A310" t="s">
        <v>529</v>
      </c>
    </row>
    <row r="311" spans="1:7">
      <c r="A311" t="s">
        <v>933</v>
      </c>
    </row>
    <row r="312" spans="1:7">
      <c r="A312" t="s">
        <v>718</v>
      </c>
      <c r="B312">
        <v>618</v>
      </c>
      <c r="C312">
        <v>700</v>
      </c>
      <c r="G312">
        <v>1318</v>
      </c>
    </row>
    <row r="313" spans="1:7">
      <c r="A313" t="s">
        <v>710</v>
      </c>
    </row>
    <row r="314" spans="1:7">
      <c r="A314" t="s">
        <v>660</v>
      </c>
    </row>
    <row r="315" spans="1:7">
      <c r="A315" t="s">
        <v>930</v>
      </c>
      <c r="B315">
        <v>990</v>
      </c>
      <c r="C315">
        <v>1871</v>
      </c>
      <c r="D315">
        <v>1307</v>
      </c>
      <c r="G315">
        <v>4168</v>
      </c>
    </row>
    <row r="316" spans="1:7">
      <c r="A316" t="s">
        <v>512</v>
      </c>
      <c r="B316">
        <v>590</v>
      </c>
      <c r="C316">
        <v>343</v>
      </c>
      <c r="G316">
        <v>933</v>
      </c>
    </row>
    <row r="317" spans="1:7">
      <c r="A317" t="s">
        <v>643</v>
      </c>
      <c r="B317">
        <v>198</v>
      </c>
      <c r="G317">
        <v>198</v>
      </c>
    </row>
    <row r="318" spans="1:7">
      <c r="A318" t="s">
        <v>712</v>
      </c>
      <c r="B318">
        <v>1840</v>
      </c>
      <c r="C318">
        <v>1520</v>
      </c>
      <c r="D318">
        <v>2060</v>
      </c>
      <c r="E318">
        <v>1330</v>
      </c>
      <c r="G318">
        <v>6750</v>
      </c>
    </row>
    <row r="319" spans="1:7">
      <c r="A319" t="s">
        <v>876</v>
      </c>
      <c r="D319">
        <v>1376</v>
      </c>
      <c r="E319">
        <v>875</v>
      </c>
      <c r="F319">
        <v>1301</v>
      </c>
      <c r="G319">
        <v>3552</v>
      </c>
    </row>
    <row r="320" spans="1:7">
      <c r="A320" t="s">
        <v>868</v>
      </c>
      <c r="D320">
        <v>617</v>
      </c>
      <c r="E320">
        <v>627</v>
      </c>
      <c r="F320">
        <v>431</v>
      </c>
      <c r="G320">
        <v>1675</v>
      </c>
    </row>
    <row r="321" spans="1:7">
      <c r="A321" t="s">
        <v>902</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row>
    <row r="328" spans="1:7">
      <c r="A328" t="s">
        <v>917</v>
      </c>
    </row>
    <row r="329" spans="1:7">
      <c r="A329" t="s">
        <v>959</v>
      </c>
      <c r="C329">
        <v>561</v>
      </c>
      <c r="D329">
        <v>260</v>
      </c>
      <c r="E329">
        <v>40</v>
      </c>
      <c r="F329">
        <v>408</v>
      </c>
      <c r="G329">
        <v>1269</v>
      </c>
    </row>
    <row r="330" spans="1:7">
      <c r="A330" t="s">
        <v>667</v>
      </c>
      <c r="C330">
        <v>37</v>
      </c>
      <c r="D330">
        <v>115</v>
      </c>
      <c r="G330">
        <v>152</v>
      </c>
    </row>
    <row r="331" spans="1:7">
      <c r="A331" t="s">
        <v>944</v>
      </c>
    </row>
    <row r="332" spans="1:7">
      <c r="A332" t="s">
        <v>906</v>
      </c>
    </row>
    <row r="333" spans="1:7">
      <c r="A333" t="s">
        <v>911</v>
      </c>
    </row>
    <row r="334" spans="1:7">
      <c r="A334" t="s">
        <v>922</v>
      </c>
      <c r="D334">
        <v>173</v>
      </c>
      <c r="G334">
        <v>173</v>
      </c>
    </row>
    <row r="335" spans="1:7">
      <c r="A335" t="s">
        <v>806</v>
      </c>
    </row>
    <row r="336" spans="1:7">
      <c r="A336" t="s">
        <v>1104</v>
      </c>
      <c r="E336">
        <v>96</v>
      </c>
      <c r="G336">
        <v>96</v>
      </c>
    </row>
    <row r="337" spans="1:7">
      <c r="A337" t="s">
        <v>1039</v>
      </c>
      <c r="E337">
        <v>433</v>
      </c>
      <c r="G337">
        <v>433</v>
      </c>
    </row>
    <row r="338" spans="1:7">
      <c r="A338" t="s">
        <v>669</v>
      </c>
    </row>
    <row r="339" spans="1:7">
      <c r="A339" t="s">
        <v>876</v>
      </c>
      <c r="C339">
        <v>1018</v>
      </c>
      <c r="E339">
        <v>569</v>
      </c>
      <c r="G339">
        <v>1587</v>
      </c>
    </row>
    <row r="340" spans="1:7">
      <c r="A340" t="s">
        <v>868</v>
      </c>
      <c r="B340">
        <v>276</v>
      </c>
      <c r="C340">
        <v>779</v>
      </c>
      <c r="D340">
        <v>868</v>
      </c>
      <c r="E340">
        <v>338</v>
      </c>
      <c r="F340">
        <v>26</v>
      </c>
      <c r="G340">
        <v>2287</v>
      </c>
    </row>
    <row r="341" spans="1:7">
      <c r="A341" t="s">
        <v>902</v>
      </c>
      <c r="B341">
        <v>796</v>
      </c>
      <c r="C341">
        <v>1929</v>
      </c>
      <c r="D341">
        <v>876</v>
      </c>
      <c r="E341">
        <v>651</v>
      </c>
      <c r="G341">
        <v>4252</v>
      </c>
    </row>
    <row r="342" spans="1:7">
      <c r="A342" t="s">
        <v>880</v>
      </c>
      <c r="B342">
        <v>1335</v>
      </c>
      <c r="C342">
        <v>1133</v>
      </c>
      <c r="D342">
        <v>1624</v>
      </c>
      <c r="F342">
        <v>350</v>
      </c>
      <c r="G342">
        <v>4442</v>
      </c>
    </row>
    <row r="343" spans="1:7">
      <c r="A343" t="s">
        <v>900</v>
      </c>
      <c r="C343">
        <v>1526</v>
      </c>
      <c r="D343">
        <v>1503</v>
      </c>
      <c r="E343">
        <v>1590</v>
      </c>
      <c r="F343">
        <v>370</v>
      </c>
      <c r="G343">
        <v>4989</v>
      </c>
    </row>
    <row r="344" spans="1:7">
      <c r="A344" t="s">
        <v>1036</v>
      </c>
      <c r="B344">
        <v>547</v>
      </c>
      <c r="C344">
        <v>845</v>
      </c>
      <c r="D344">
        <v>400</v>
      </c>
      <c r="E344">
        <v>906</v>
      </c>
      <c r="F344">
        <v>198</v>
      </c>
      <c r="G344">
        <v>2896</v>
      </c>
    </row>
    <row r="345" spans="1:7">
      <c r="A345" t="s">
        <v>692</v>
      </c>
      <c r="B345">
        <v>259</v>
      </c>
      <c r="C345">
        <v>243</v>
      </c>
      <c r="E345">
        <v>193</v>
      </c>
      <c r="G345">
        <v>695</v>
      </c>
    </row>
    <row r="346" spans="1:7">
      <c r="A346" t="s">
        <v>861</v>
      </c>
      <c r="C346">
        <v>1538</v>
      </c>
      <c r="D346">
        <v>2713</v>
      </c>
      <c r="E346">
        <v>862</v>
      </c>
      <c r="F346">
        <v>1507</v>
      </c>
      <c r="G346">
        <v>6620</v>
      </c>
    </row>
    <row r="347" spans="1:7">
      <c r="A347" t="s">
        <v>694</v>
      </c>
      <c r="E347">
        <v>647</v>
      </c>
      <c r="G347">
        <v>647</v>
      </c>
    </row>
    <row r="348" spans="1:7">
      <c r="A348" t="s">
        <v>878</v>
      </c>
      <c r="F348">
        <v>706</v>
      </c>
      <c r="G348">
        <v>706</v>
      </c>
    </row>
    <row r="349" spans="1:7">
      <c r="A349" t="s">
        <v>796</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C355">
        <v>205</v>
      </c>
      <c r="D355">
        <v>190</v>
      </c>
      <c r="E355">
        <v>48</v>
      </c>
      <c r="F355">
        <v>150</v>
      </c>
      <c r="G355">
        <v>593</v>
      </c>
    </row>
    <row r="356" spans="1:7">
      <c r="A356" t="s">
        <v>825</v>
      </c>
    </row>
    <row r="357" spans="1:7">
      <c r="A357" t="s">
        <v>667</v>
      </c>
    </row>
    <row r="358" spans="1:7">
      <c r="A358" t="s">
        <v>944</v>
      </c>
    </row>
    <row r="359" spans="1:7">
      <c r="A359" t="s">
        <v>906</v>
      </c>
    </row>
    <row r="360" spans="1:7">
      <c r="A360" t="s">
        <v>845</v>
      </c>
      <c r="D360">
        <v>113</v>
      </c>
      <c r="G360">
        <v>113</v>
      </c>
    </row>
    <row r="361" spans="1:7">
      <c r="A361" t="s">
        <v>922</v>
      </c>
    </row>
    <row r="362" spans="1:7">
      <c r="A362" t="s">
        <v>956</v>
      </c>
    </row>
    <row r="363" spans="1:7">
      <c r="A363" t="s">
        <v>868</v>
      </c>
    </row>
    <row r="364" spans="1:7">
      <c r="A364" t="s">
        <v>902</v>
      </c>
    </row>
    <row r="365" spans="1:7">
      <c r="A365" t="s">
        <v>880</v>
      </c>
      <c r="B365">
        <v>1050</v>
      </c>
      <c r="G365">
        <v>1050</v>
      </c>
    </row>
    <row r="366" spans="1:7">
      <c r="A366" t="s">
        <v>900</v>
      </c>
    </row>
    <row r="367" spans="1:7">
      <c r="A367" t="s">
        <v>1036</v>
      </c>
      <c r="E367">
        <v>64</v>
      </c>
      <c r="F367">
        <v>21</v>
      </c>
      <c r="G367">
        <v>85</v>
      </c>
    </row>
    <row r="368" spans="1:7">
      <c r="A368" t="s">
        <v>692</v>
      </c>
      <c r="C368">
        <v>510</v>
      </c>
      <c r="D368">
        <v>275</v>
      </c>
      <c r="G368">
        <v>785</v>
      </c>
    </row>
    <row r="369" spans="1:7">
      <c r="A369" t="s">
        <v>694</v>
      </c>
      <c r="C369">
        <v>932</v>
      </c>
      <c r="D369">
        <v>1190</v>
      </c>
      <c r="E369">
        <v>909</v>
      </c>
      <c r="G369">
        <v>3031</v>
      </c>
    </row>
    <row r="370" spans="1:7">
      <c r="A370" t="s">
        <v>878</v>
      </c>
      <c r="C370">
        <v>1701</v>
      </c>
      <c r="D370">
        <v>314</v>
      </c>
      <c r="E370">
        <v>662</v>
      </c>
      <c r="F370">
        <v>728</v>
      </c>
      <c r="G370">
        <v>3405</v>
      </c>
    </row>
    <row r="371" spans="1:7">
      <c r="A371" t="s">
        <v>796</v>
      </c>
      <c r="C371">
        <v>23</v>
      </c>
      <c r="G371">
        <v>23</v>
      </c>
    </row>
    <row r="372" spans="1:7">
      <c r="A372" t="s">
        <v>865</v>
      </c>
      <c r="D372">
        <v>2348</v>
      </c>
      <c r="E372">
        <v>1378</v>
      </c>
      <c r="F372">
        <v>726</v>
      </c>
      <c r="G372">
        <v>4452</v>
      </c>
    </row>
    <row r="373" spans="1:7">
      <c r="A373" t="s">
        <v>894</v>
      </c>
      <c r="B373">
        <v>621</v>
      </c>
      <c r="C373">
        <v>464</v>
      </c>
      <c r="G373">
        <v>1085</v>
      </c>
    </row>
    <row r="374" spans="1:7">
      <c r="A374" t="s">
        <v>896</v>
      </c>
      <c r="B374">
        <v>1285</v>
      </c>
      <c r="C374">
        <v>951</v>
      </c>
      <c r="D374">
        <v>1598</v>
      </c>
      <c r="E374">
        <v>1671</v>
      </c>
      <c r="G374">
        <v>5505</v>
      </c>
    </row>
    <row r="375" spans="1:7">
      <c r="A375" t="s">
        <v>898</v>
      </c>
      <c r="C375">
        <v>1864</v>
      </c>
      <c r="D375">
        <v>1514</v>
      </c>
      <c r="E375">
        <v>1095</v>
      </c>
      <c r="G375">
        <v>4473</v>
      </c>
    </row>
    <row r="376" spans="1:7">
      <c r="A376" t="s">
        <v>884</v>
      </c>
      <c r="E376">
        <v>988</v>
      </c>
      <c r="G376">
        <v>988</v>
      </c>
    </row>
    <row r="377" spans="1:7">
      <c r="A377" t="s">
        <v>890</v>
      </c>
      <c r="E377">
        <v>588</v>
      </c>
      <c r="F377">
        <v>431</v>
      </c>
      <c r="G377">
        <v>1019</v>
      </c>
    </row>
    <row r="378" spans="1:7">
      <c r="A378" t="s">
        <v>882</v>
      </c>
      <c r="F378">
        <v>1108</v>
      </c>
      <c r="G378">
        <v>1108</v>
      </c>
    </row>
    <row r="379" spans="1:7">
      <c r="A379" t="s">
        <v>888</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v>423</v>
      </c>
      <c r="G385">
        <v>423</v>
      </c>
    </row>
    <row r="386" spans="1:7">
      <c r="A386" t="s">
        <v>667</v>
      </c>
    </row>
    <row r="387" spans="1:7">
      <c r="A387" t="s">
        <v>949</v>
      </c>
      <c r="F387">
        <v>1367</v>
      </c>
      <c r="G387">
        <v>1367</v>
      </c>
    </row>
    <row r="388" spans="1:7">
      <c r="A388" t="s">
        <v>876</v>
      </c>
    </row>
    <row r="389" spans="1:7">
      <c r="A389" t="s">
        <v>1036</v>
      </c>
    </row>
    <row r="390" spans="1:7">
      <c r="A390" t="s">
        <v>692</v>
      </c>
      <c r="C390">
        <v>242</v>
      </c>
      <c r="D390">
        <v>310</v>
      </c>
      <c r="E390">
        <v>302</v>
      </c>
      <c r="G390">
        <v>854</v>
      </c>
    </row>
    <row r="391" spans="1:7">
      <c r="A391" t="s">
        <v>694</v>
      </c>
      <c r="C391">
        <v>470</v>
      </c>
      <c r="G391">
        <v>470</v>
      </c>
    </row>
    <row r="392" spans="1:7">
      <c r="A392" t="s">
        <v>878</v>
      </c>
      <c r="B392">
        <v>961</v>
      </c>
      <c r="C392">
        <v>370</v>
      </c>
      <c r="G392">
        <v>1331</v>
      </c>
    </row>
    <row r="393" spans="1:7">
      <c r="A393" t="s">
        <v>865</v>
      </c>
      <c r="B393">
        <v>1602</v>
      </c>
      <c r="G393">
        <v>1602</v>
      </c>
    </row>
    <row r="394" spans="1:7">
      <c r="A394" t="s">
        <v>898</v>
      </c>
      <c r="D394">
        <v>594</v>
      </c>
      <c r="G394">
        <v>594</v>
      </c>
    </row>
    <row r="395" spans="1:7">
      <c r="A395" t="s">
        <v>884</v>
      </c>
      <c r="C395">
        <v>608</v>
      </c>
      <c r="D395">
        <v>609</v>
      </c>
      <c r="E395">
        <v>614</v>
      </c>
      <c r="G395">
        <v>1831</v>
      </c>
    </row>
    <row r="396" spans="1:7">
      <c r="A396" t="s">
        <v>890</v>
      </c>
      <c r="B396">
        <v>1936</v>
      </c>
      <c r="C396">
        <v>2103</v>
      </c>
      <c r="D396">
        <v>1498</v>
      </c>
      <c r="E396">
        <v>229</v>
      </c>
      <c r="G396">
        <v>5766</v>
      </c>
    </row>
    <row r="397" spans="1:7">
      <c r="A397" t="s">
        <v>882</v>
      </c>
      <c r="C397">
        <v>440</v>
      </c>
      <c r="D397">
        <v>1175</v>
      </c>
      <c r="E397">
        <v>822</v>
      </c>
      <c r="F397">
        <v>1020</v>
      </c>
      <c r="G397">
        <v>3457</v>
      </c>
    </row>
    <row r="398" spans="1:7">
      <c r="A398" t="s">
        <v>888</v>
      </c>
      <c r="B398">
        <v>813</v>
      </c>
      <c r="C398">
        <v>1597</v>
      </c>
      <c r="D398">
        <v>1632</v>
      </c>
      <c r="E398">
        <v>692</v>
      </c>
      <c r="G398">
        <v>4734</v>
      </c>
    </row>
    <row r="399" spans="1:7">
      <c r="A399" t="s">
        <v>1109</v>
      </c>
      <c r="B399">
        <v>1216</v>
      </c>
      <c r="G399">
        <v>1216</v>
      </c>
    </row>
    <row r="400" spans="1:7">
      <c r="A400" t="s">
        <v>690</v>
      </c>
      <c r="C400">
        <v>1520</v>
      </c>
      <c r="D400">
        <v>1216</v>
      </c>
      <c r="E400">
        <v>1098</v>
      </c>
      <c r="G400">
        <v>3834</v>
      </c>
    </row>
    <row r="401" spans="1:7">
      <c r="A401" t="s">
        <v>744</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C407">
        <v>320</v>
      </c>
      <c r="G407">
        <v>320</v>
      </c>
    </row>
    <row r="408" spans="1:7">
      <c r="A408" t="s">
        <v>821</v>
      </c>
      <c r="D408">
        <v>131</v>
      </c>
      <c r="G408">
        <v>131</v>
      </c>
    </row>
    <row r="409" spans="1:7">
      <c r="A409" t="s">
        <v>951</v>
      </c>
    </row>
    <row r="410" spans="1:7">
      <c r="A410" t="s">
        <v>949</v>
      </c>
      <c r="C410">
        <v>424</v>
      </c>
      <c r="G410">
        <v>424</v>
      </c>
    </row>
    <row r="411" spans="1:7">
      <c r="A411" t="s">
        <v>512</v>
      </c>
      <c r="E411">
        <v>468</v>
      </c>
      <c r="F411">
        <v>940</v>
      </c>
      <c r="G411">
        <v>1408</v>
      </c>
    </row>
    <row r="412" spans="1:7">
      <c r="A412" t="s">
        <v>876</v>
      </c>
    </row>
    <row r="413" spans="1:7">
      <c r="A413" t="s">
        <v>880</v>
      </c>
    </row>
    <row r="414" spans="1:7">
      <c r="A414" t="s">
        <v>692</v>
      </c>
      <c r="B414">
        <v>610</v>
      </c>
      <c r="C414">
        <v>451</v>
      </c>
      <c r="D414">
        <v>802</v>
      </c>
      <c r="E414">
        <v>75</v>
      </c>
      <c r="G414">
        <v>1938</v>
      </c>
    </row>
    <row r="415" spans="1:7">
      <c r="A415" t="s">
        <v>694</v>
      </c>
    </row>
    <row r="416" spans="1:7">
      <c r="A416" t="s">
        <v>865</v>
      </c>
    </row>
    <row r="417" spans="1:7">
      <c r="A417" t="s">
        <v>884</v>
      </c>
      <c r="B417">
        <v>404</v>
      </c>
      <c r="C417">
        <v>158</v>
      </c>
      <c r="D417">
        <v>353</v>
      </c>
      <c r="E417">
        <v>40</v>
      </c>
      <c r="F417">
        <v>153</v>
      </c>
      <c r="G417">
        <v>1108</v>
      </c>
    </row>
    <row r="418" spans="1:7">
      <c r="A418" t="s">
        <v>890</v>
      </c>
    </row>
    <row r="419" spans="1:7">
      <c r="A419" t="s">
        <v>744</v>
      </c>
      <c r="B419">
        <v>1053</v>
      </c>
      <c r="C419">
        <v>812</v>
      </c>
      <c r="G419">
        <v>1865</v>
      </c>
    </row>
    <row r="420" spans="1:7">
      <c r="A420" t="s">
        <v>1110</v>
      </c>
      <c r="B420">
        <v>640</v>
      </c>
      <c r="C420">
        <v>490</v>
      </c>
      <c r="D420">
        <v>127</v>
      </c>
      <c r="G420">
        <v>1257</v>
      </c>
    </row>
    <row r="421" spans="1:7">
      <c r="A421" t="s">
        <v>516</v>
      </c>
    </row>
    <row r="422" spans="1:7">
      <c r="A422" t="s">
        <v>746</v>
      </c>
      <c r="B422">
        <v>575</v>
      </c>
      <c r="C422">
        <v>1847</v>
      </c>
      <c r="D422">
        <v>1052</v>
      </c>
      <c r="E422">
        <v>1846</v>
      </c>
      <c r="G422">
        <v>5320</v>
      </c>
    </row>
    <row r="423" spans="1:7">
      <c r="A423" t="s">
        <v>742</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row>
    <row r="434" spans="1:7">
      <c r="A434" t="s">
        <v>1114</v>
      </c>
    </row>
    <row r="435" spans="1:7">
      <c r="A435" t="s">
        <v>821</v>
      </c>
      <c r="C435">
        <v>55</v>
      </c>
      <c r="G435">
        <v>55</v>
      </c>
    </row>
    <row r="436" spans="1:7">
      <c r="A436" t="s">
        <v>764</v>
      </c>
      <c r="D436">
        <v>1190</v>
      </c>
      <c r="G436">
        <v>1190</v>
      </c>
    </row>
    <row r="437" spans="1:7">
      <c r="A437" t="s">
        <v>1104</v>
      </c>
      <c r="C437">
        <v>30</v>
      </c>
      <c r="G437">
        <v>30</v>
      </c>
    </row>
    <row r="438" spans="1:7">
      <c r="A438" t="s">
        <v>812</v>
      </c>
      <c r="F438">
        <v>887</v>
      </c>
      <c r="G438">
        <v>887</v>
      </c>
    </row>
    <row r="439" spans="1:7">
      <c r="A439" t="s">
        <v>664</v>
      </c>
      <c r="C439">
        <v>385</v>
      </c>
      <c r="D439">
        <v>678</v>
      </c>
      <c r="E439">
        <v>381</v>
      </c>
      <c r="G439">
        <v>1444</v>
      </c>
    </row>
    <row r="440" spans="1:7">
      <c r="A440" t="s">
        <v>692</v>
      </c>
      <c r="C440">
        <v>251</v>
      </c>
      <c r="D440">
        <v>424</v>
      </c>
      <c r="E440">
        <v>497</v>
      </c>
      <c r="G440">
        <v>1172</v>
      </c>
    </row>
    <row r="441" spans="1:7">
      <c r="A441" t="s">
        <v>894</v>
      </c>
      <c r="E441">
        <v>1342</v>
      </c>
      <c r="F441">
        <v>1484</v>
      </c>
      <c r="G441">
        <v>2826</v>
      </c>
    </row>
    <row r="442" spans="1:7">
      <c r="A442" t="s">
        <v>898</v>
      </c>
      <c r="E442">
        <v>85</v>
      </c>
      <c r="G442">
        <v>85</v>
      </c>
    </row>
    <row r="443" spans="1:7">
      <c r="A443" t="s">
        <v>742</v>
      </c>
      <c r="C443">
        <v>933</v>
      </c>
      <c r="G443">
        <v>933</v>
      </c>
    </row>
    <row r="444" spans="1:7">
      <c r="A444" t="s">
        <v>1112</v>
      </c>
    </row>
    <row r="445" spans="1:7">
      <c r="A445" t="s">
        <v>1113</v>
      </c>
      <c r="C445">
        <v>212</v>
      </c>
      <c r="E445">
        <v>1316</v>
      </c>
      <c r="F445">
        <v>1232</v>
      </c>
      <c r="G445">
        <v>2760</v>
      </c>
    </row>
    <row r="446" spans="1:7">
      <c r="A446" t="s">
        <v>519</v>
      </c>
      <c r="D446">
        <v>153</v>
      </c>
      <c r="G446">
        <v>153</v>
      </c>
    </row>
    <row r="447" spans="1:7">
      <c r="A447" t="s">
        <v>1115</v>
      </c>
    </row>
    <row r="448" spans="1:7">
      <c r="A448" t="s">
        <v>1116</v>
      </c>
    </row>
    <row r="449" spans="1:7">
      <c r="A449" t="s">
        <v>1117</v>
      </c>
      <c r="E449">
        <v>201</v>
      </c>
      <c r="F449">
        <v>30</v>
      </c>
      <c r="G449">
        <v>231</v>
      </c>
    </row>
    <row r="450" spans="1:7">
      <c r="A450" t="s">
        <v>676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v>301</v>
      </c>
      <c r="C457">
        <v>191</v>
      </c>
      <c r="G457">
        <v>492</v>
      </c>
    </row>
    <row r="458" spans="1:7">
      <c r="A458" t="s">
        <v>821</v>
      </c>
      <c r="F458">
        <v>175</v>
      </c>
      <c r="G458">
        <v>175</v>
      </c>
    </row>
    <row r="459" spans="1:7">
      <c r="A459" t="s">
        <v>937</v>
      </c>
      <c r="B459">
        <v>54</v>
      </c>
      <c r="C459">
        <v>101</v>
      </c>
      <c r="G459">
        <v>155</v>
      </c>
    </row>
    <row r="460" spans="1:7">
      <c r="A460" t="s">
        <v>764</v>
      </c>
      <c r="D460">
        <v>678</v>
      </c>
      <c r="G460">
        <v>678</v>
      </c>
    </row>
    <row r="461" spans="1:7">
      <c r="A461" t="s">
        <v>812</v>
      </c>
      <c r="F461">
        <v>236</v>
      </c>
      <c r="G461">
        <v>236</v>
      </c>
    </row>
    <row r="462" spans="1:7">
      <c r="A462" t="s">
        <v>803</v>
      </c>
      <c r="D462">
        <v>999</v>
      </c>
      <c r="F462">
        <v>719</v>
      </c>
      <c r="G462">
        <v>1718</v>
      </c>
    </row>
    <row r="463" spans="1:7">
      <c r="A463" t="s">
        <v>664</v>
      </c>
      <c r="B463">
        <v>605</v>
      </c>
      <c r="D463">
        <v>600</v>
      </c>
      <c r="E463">
        <v>772</v>
      </c>
      <c r="G463">
        <v>1977</v>
      </c>
    </row>
    <row r="464" spans="1:7">
      <c r="A464" t="s">
        <v>692</v>
      </c>
      <c r="B464">
        <v>286</v>
      </c>
      <c r="C464">
        <v>226</v>
      </c>
      <c r="G464">
        <v>512</v>
      </c>
    </row>
    <row r="465" spans="1:7">
      <c r="A465" t="s">
        <v>894</v>
      </c>
      <c r="B465">
        <v>1280</v>
      </c>
      <c r="C465">
        <v>1029</v>
      </c>
      <c r="G465">
        <v>2309</v>
      </c>
    </row>
    <row r="466" spans="1:7">
      <c r="A466" t="s">
        <v>898</v>
      </c>
      <c r="D466">
        <v>181</v>
      </c>
      <c r="G466">
        <v>181</v>
      </c>
    </row>
    <row r="467" spans="1:7">
      <c r="A467" t="s">
        <v>888</v>
      </c>
    </row>
    <row r="468" spans="1:7">
      <c r="A468" t="s">
        <v>1113</v>
      </c>
      <c r="B468">
        <v>1156</v>
      </c>
      <c r="C468">
        <v>947</v>
      </c>
      <c r="G468">
        <v>2103</v>
      </c>
    </row>
    <row r="469" spans="1:7">
      <c r="A469" t="s">
        <v>676</v>
      </c>
      <c r="B469">
        <v>270</v>
      </c>
      <c r="E469">
        <v>948</v>
      </c>
      <c r="G469">
        <v>1218</v>
      </c>
    </row>
    <row r="470" spans="1:7">
      <c r="A470" t="s">
        <v>773</v>
      </c>
      <c r="B470">
        <v>644</v>
      </c>
      <c r="C470">
        <v>1430</v>
      </c>
      <c r="D470">
        <v>970</v>
      </c>
      <c r="G470">
        <v>3044</v>
      </c>
    </row>
    <row r="471" spans="1:7">
      <c r="A471" t="s">
        <v>538</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v>100</v>
      </c>
      <c r="F479">
        <v>100</v>
      </c>
    </row>
    <row r="480" spans="1:7">
      <c r="A480" t="s">
        <v>812</v>
      </c>
      <c r="B480">
        <v>224</v>
      </c>
      <c r="C480">
        <v>200</v>
      </c>
      <c r="F480">
        <v>424</v>
      </c>
    </row>
    <row r="481" spans="1:7">
      <c r="A481" t="s">
        <v>664</v>
      </c>
      <c r="B481">
        <v>757</v>
      </c>
      <c r="C481">
        <v>610</v>
      </c>
      <c r="D481">
        <v>959</v>
      </c>
      <c r="E481">
        <v>493</v>
      </c>
      <c r="F481">
        <v>2819</v>
      </c>
    </row>
    <row r="482" spans="1:7">
      <c r="A482" t="s">
        <v>949</v>
      </c>
      <c r="E482">
        <v>218</v>
      </c>
      <c r="F482">
        <v>218</v>
      </c>
    </row>
    <row r="483" spans="1:7">
      <c r="A483" t="s">
        <v>692</v>
      </c>
    </row>
    <row r="484" spans="1:7">
      <c r="A484" t="s">
        <v>676</v>
      </c>
      <c r="B484">
        <v>954</v>
      </c>
      <c r="C484">
        <v>2783</v>
      </c>
      <c r="D484">
        <v>2248</v>
      </c>
      <c r="F484">
        <v>5985</v>
      </c>
    </row>
    <row r="485" spans="1:7">
      <c r="A485" t="s">
        <v>773</v>
      </c>
      <c r="B485">
        <v>948</v>
      </c>
      <c r="D485">
        <v>736</v>
      </c>
      <c r="F485">
        <v>1684</v>
      </c>
    </row>
    <row r="486" spans="1:7">
      <c r="A486" t="s">
        <v>987</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row>
    <row r="498" spans="1:7">
      <c r="A498" t="s">
        <v>708</v>
      </c>
    </row>
    <row r="499" spans="1:7">
      <c r="A499" t="s">
        <v>803</v>
      </c>
      <c r="C499">
        <v>1483</v>
      </c>
      <c r="D499">
        <v>83</v>
      </c>
      <c r="G499">
        <v>1566</v>
      </c>
    </row>
    <row r="500" spans="1:7">
      <c r="A500" t="s">
        <v>664</v>
      </c>
      <c r="B500">
        <v>720</v>
      </c>
      <c r="C500">
        <v>948</v>
      </c>
      <c r="E500">
        <v>1101</v>
      </c>
      <c r="F500">
        <v>437</v>
      </c>
      <c r="G500">
        <v>3206</v>
      </c>
    </row>
    <row r="501" spans="1:7">
      <c r="A501" t="s">
        <v>512</v>
      </c>
      <c r="E501">
        <v>341</v>
      </c>
      <c r="G501">
        <v>341</v>
      </c>
    </row>
    <row r="502" spans="1:7">
      <c r="A502" t="s">
        <v>1118</v>
      </c>
    </row>
    <row r="503" spans="1:7">
      <c r="A503" t="s">
        <v>773</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1126</v>
      </c>
      <c r="B506">
        <v>6</v>
      </c>
      <c r="G506">
        <v>6</v>
      </c>
    </row>
    <row r="507" spans="1:7">
      <c r="A507" t="s">
        <v>1127</v>
      </c>
    </row>
    <row r="508" spans="1:7">
      <c r="A508" t="s">
        <v>1128</v>
      </c>
    </row>
    <row r="509" spans="1:7">
      <c r="A509" t="s">
        <v>748</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row>
    <row r="517" spans="1:7">
      <c r="A517" t="s">
        <v>664</v>
      </c>
      <c r="B517">
        <v>730</v>
      </c>
      <c r="C517">
        <v>583</v>
      </c>
      <c r="G517">
        <v>1313</v>
      </c>
    </row>
    <row r="518" spans="1:7">
      <c r="A518" t="s">
        <v>796</v>
      </c>
      <c r="B518">
        <v>115</v>
      </c>
      <c r="G518">
        <v>115</v>
      </c>
    </row>
    <row r="519" spans="1:7">
      <c r="A519" t="s">
        <v>676</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748</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row>
    <row r="531" spans="1:7">
      <c r="A531" t="s">
        <v>1039</v>
      </c>
    </row>
    <row r="532" spans="1:7">
      <c r="A532" t="s">
        <v>800</v>
      </c>
      <c r="B532">
        <v>1394</v>
      </c>
      <c r="C532">
        <v>1756</v>
      </c>
      <c r="D532">
        <v>846</v>
      </c>
      <c r="G532">
        <v>3996</v>
      </c>
    </row>
    <row r="533" spans="1:7">
      <c r="A533" t="s">
        <v>664</v>
      </c>
      <c r="B533">
        <v>465</v>
      </c>
      <c r="C533">
        <v>218</v>
      </c>
      <c r="D533">
        <v>729</v>
      </c>
      <c r="E533">
        <v>464</v>
      </c>
      <c r="G533">
        <v>1876</v>
      </c>
    </row>
    <row r="534" spans="1:7">
      <c r="A534" t="s">
        <v>529</v>
      </c>
      <c r="E534">
        <v>977</v>
      </c>
      <c r="G534">
        <v>977</v>
      </c>
    </row>
    <row r="535" spans="1:7">
      <c r="A535" t="s">
        <v>1117</v>
      </c>
      <c r="D535">
        <v>81</v>
      </c>
      <c r="F535">
        <v>114</v>
      </c>
      <c r="G535">
        <v>195</v>
      </c>
    </row>
    <row r="536" spans="1:7">
      <c r="A536" t="s">
        <v>676</v>
      </c>
    </row>
    <row r="537" spans="1:7">
      <c r="A537" t="s">
        <v>773</v>
      </c>
    </row>
    <row r="538" spans="1:7">
      <c r="A538" t="s">
        <v>987</v>
      </c>
      <c r="B538">
        <v>280</v>
      </c>
      <c r="C538">
        <v>70</v>
      </c>
      <c r="D538">
        <v>594</v>
      </c>
      <c r="F538">
        <v>52</v>
      </c>
      <c r="G538">
        <v>996</v>
      </c>
    </row>
    <row r="539" spans="1:7">
      <c r="A539" t="s">
        <v>979</v>
      </c>
      <c r="B539">
        <v>450</v>
      </c>
      <c r="C539">
        <v>1246</v>
      </c>
      <c r="G539">
        <v>1696</v>
      </c>
    </row>
    <row r="540" spans="1:7">
      <c r="A540" t="s">
        <v>673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row>
    <row r="547" spans="1:7">
      <c r="A547" t="s">
        <v>800</v>
      </c>
      <c r="C547">
        <v>1946</v>
      </c>
      <c r="G547">
        <v>1946</v>
      </c>
    </row>
    <row r="548" spans="1:7">
      <c r="A548" t="s">
        <v>664</v>
      </c>
      <c r="E548">
        <v>112</v>
      </c>
      <c r="G548">
        <v>112</v>
      </c>
    </row>
    <row r="549" spans="1:7">
      <c r="A549" t="s">
        <v>529</v>
      </c>
      <c r="E549">
        <v>676</v>
      </c>
      <c r="F549">
        <v>430</v>
      </c>
      <c r="G549">
        <v>1106</v>
      </c>
    </row>
    <row r="550" spans="1:7">
      <c r="A550" t="s">
        <v>512</v>
      </c>
      <c r="D550">
        <v>649</v>
      </c>
      <c r="G550">
        <v>649</v>
      </c>
    </row>
    <row r="551" spans="1:7">
      <c r="A551" t="s">
        <v>1117</v>
      </c>
      <c r="B551">
        <v>237</v>
      </c>
      <c r="C551">
        <v>322</v>
      </c>
      <c r="D551">
        <v>245</v>
      </c>
      <c r="E551">
        <v>1091</v>
      </c>
      <c r="F551">
        <v>303</v>
      </c>
      <c r="G551">
        <v>2198</v>
      </c>
    </row>
    <row r="552" spans="1:7">
      <c r="A552" t="s">
        <v>987</v>
      </c>
      <c r="B552">
        <v>68</v>
      </c>
      <c r="C552">
        <v>50</v>
      </c>
      <c r="G552">
        <v>118</v>
      </c>
    </row>
    <row r="553" spans="1:7">
      <c r="A553" t="s">
        <v>673</v>
      </c>
      <c r="B553">
        <v>1269</v>
      </c>
      <c r="C553">
        <v>1141</v>
      </c>
      <c r="D553">
        <v>1308</v>
      </c>
      <c r="E553">
        <v>1296</v>
      </c>
      <c r="G553">
        <v>5014</v>
      </c>
    </row>
    <row r="554" spans="1:7">
      <c r="A554" t="s">
        <v>967</v>
      </c>
      <c r="B554">
        <v>65</v>
      </c>
      <c r="G554">
        <v>65</v>
      </c>
    </row>
    <row r="555" spans="1:7">
      <c r="A555" t="s">
        <v>754</v>
      </c>
      <c r="B555">
        <v>924</v>
      </c>
      <c r="G555">
        <v>924</v>
      </c>
    </row>
    <row r="556" spans="1:7">
      <c r="A556" t="s">
        <v>992</v>
      </c>
      <c r="C556">
        <v>1044</v>
      </c>
      <c r="D556">
        <v>1100</v>
      </c>
      <c r="E556">
        <v>1050</v>
      </c>
      <c r="G556">
        <v>3194</v>
      </c>
    </row>
    <row r="557" spans="1:7">
      <c r="A557" t="s">
        <v>790</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664</v>
      </c>
      <c r="C564">
        <v>282</v>
      </c>
      <c r="G564">
        <v>282</v>
      </c>
    </row>
    <row r="565" spans="1:7">
      <c r="A565" t="s">
        <v>529</v>
      </c>
      <c r="B565">
        <v>885</v>
      </c>
      <c r="C565">
        <v>478</v>
      </c>
      <c r="D565">
        <v>490</v>
      </c>
      <c r="E565">
        <v>372</v>
      </c>
      <c r="G565">
        <v>2225</v>
      </c>
    </row>
    <row r="566" spans="1:7">
      <c r="A566" t="s">
        <v>1110</v>
      </c>
    </row>
    <row r="567" spans="1:7">
      <c r="A567" t="s">
        <v>1117</v>
      </c>
      <c r="B567">
        <v>360</v>
      </c>
      <c r="G567">
        <v>360</v>
      </c>
    </row>
    <row r="568" spans="1:7">
      <c r="A568" t="s">
        <v>773</v>
      </c>
    </row>
    <row r="569" spans="1:7">
      <c r="A569" t="s">
        <v>673</v>
      </c>
    </row>
    <row r="570" spans="1:7">
      <c r="A570" t="s">
        <v>754</v>
      </c>
      <c r="B570">
        <v>120</v>
      </c>
      <c r="G570">
        <v>120</v>
      </c>
    </row>
    <row r="571" spans="1:7">
      <c r="A571" t="s">
        <v>790</v>
      </c>
      <c r="C571">
        <v>120</v>
      </c>
      <c r="D571">
        <v>71</v>
      </c>
      <c r="G571">
        <v>191</v>
      </c>
    </row>
    <row r="572" spans="1:7">
      <c r="A572" t="s">
        <v>733</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F578">
        <v>198</v>
      </c>
      <c r="G578">
        <v>198</v>
      </c>
    </row>
    <row r="579" spans="1:7">
      <c r="A579" t="s">
        <v>529</v>
      </c>
    </row>
    <row r="580" spans="1:7">
      <c r="A580" t="s">
        <v>660</v>
      </c>
    </row>
    <row r="581" spans="1:7">
      <c r="A581" t="s">
        <v>1112</v>
      </c>
      <c r="E581">
        <v>400</v>
      </c>
      <c r="G581">
        <v>400</v>
      </c>
    </row>
    <row r="582" spans="1:7">
      <c r="A582" t="s">
        <v>733</v>
      </c>
      <c r="B582">
        <v>846</v>
      </c>
      <c r="C582">
        <v>827</v>
      </c>
      <c r="G582">
        <v>1673</v>
      </c>
    </row>
    <row r="583" spans="1:7">
      <c r="A583" t="s">
        <v>779</v>
      </c>
      <c r="C583">
        <v>465</v>
      </c>
      <c r="D583">
        <v>321</v>
      </c>
      <c r="G583">
        <v>786</v>
      </c>
    </row>
    <row r="584" spans="1:7">
      <c r="A584" t="s">
        <v>681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535</v>
      </c>
      <c r="B591">
        <v>862</v>
      </c>
      <c r="G591">
        <v>862</v>
      </c>
    </row>
    <row r="592" spans="1:7">
      <c r="A592" t="s">
        <v>1112</v>
      </c>
      <c r="C592">
        <v>203</v>
      </c>
      <c r="D592">
        <v>170</v>
      </c>
      <c r="E592">
        <v>106</v>
      </c>
      <c r="G592">
        <v>479</v>
      </c>
    </row>
    <row r="593" spans="1:7">
      <c r="A593" t="s">
        <v>987</v>
      </c>
      <c r="D593">
        <v>280</v>
      </c>
      <c r="E593">
        <v>1972</v>
      </c>
      <c r="G593">
        <v>2252</v>
      </c>
    </row>
    <row r="594" spans="1:7">
      <c r="A594" t="s">
        <v>779</v>
      </c>
    </row>
    <row r="595" spans="1:7">
      <c r="A595" t="s">
        <v>736</v>
      </c>
      <c r="C595">
        <v>1210</v>
      </c>
      <c r="D595">
        <v>397</v>
      </c>
      <c r="G595">
        <v>1607</v>
      </c>
    </row>
    <row r="596" spans="1:7">
      <c r="A596" t="s">
        <v>784</v>
      </c>
      <c r="D596">
        <v>90</v>
      </c>
      <c r="G596">
        <v>90</v>
      </c>
    </row>
    <row r="597" spans="1:7">
      <c r="A597" t="s">
        <v>727</v>
      </c>
      <c r="D597">
        <v>426</v>
      </c>
      <c r="E597">
        <v>583</v>
      </c>
      <c r="G597">
        <v>1009</v>
      </c>
    </row>
    <row r="598" spans="1:7">
      <c r="A598" t="s">
        <v>1045</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535</v>
      </c>
      <c r="D605">
        <v>461</v>
      </c>
      <c r="E605">
        <v>880</v>
      </c>
      <c r="F605">
        <v>585</v>
      </c>
      <c r="G605">
        <v>1926</v>
      </c>
    </row>
    <row r="606" spans="1:7">
      <c r="A606" t="s">
        <v>660</v>
      </c>
      <c r="E606">
        <v>868</v>
      </c>
      <c r="G606">
        <v>868</v>
      </c>
    </row>
    <row r="607" spans="1:7">
      <c r="A607" t="s">
        <v>1112</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733</v>
      </c>
    </row>
    <row r="611" spans="1:7">
      <c r="A611" t="s">
        <v>681</v>
      </c>
      <c r="D611">
        <v>579</v>
      </c>
      <c r="E611">
        <v>619</v>
      </c>
      <c r="G611">
        <v>1198</v>
      </c>
    </row>
    <row r="612" spans="1:7">
      <c r="A612" t="s">
        <v>736</v>
      </c>
    </row>
    <row r="613" spans="1:7">
      <c r="A613" t="s">
        <v>727</v>
      </c>
      <c r="B613">
        <v>1843</v>
      </c>
      <c r="C613">
        <v>1714</v>
      </c>
      <c r="D613">
        <v>678</v>
      </c>
      <c r="G613">
        <v>4235</v>
      </c>
    </row>
    <row r="614" spans="1:7">
      <c r="A614" t="s">
        <v>722</v>
      </c>
      <c r="B614">
        <v>1070</v>
      </c>
      <c r="C614">
        <v>1224</v>
      </c>
      <c r="D614">
        <v>235</v>
      </c>
      <c r="G614">
        <v>2529</v>
      </c>
    </row>
    <row r="615" spans="1:7">
      <c r="A615" t="s">
        <v>1132</v>
      </c>
      <c r="C615">
        <v>605</v>
      </c>
      <c r="G615">
        <v>605</v>
      </c>
    </row>
    <row r="616" spans="1:7">
      <c r="A616" t="s">
        <v>730</v>
      </c>
      <c r="D616">
        <v>363</v>
      </c>
      <c r="E616">
        <v>1077</v>
      </c>
      <c r="G616">
        <v>1440</v>
      </c>
    </row>
    <row r="617" spans="1:7">
      <c r="A617" t="s">
        <v>1026</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F623">
        <v>318</v>
      </c>
      <c r="G623">
        <v>318</v>
      </c>
    </row>
    <row r="624" spans="1:7">
      <c r="A624" t="s">
        <v>832</v>
      </c>
      <c r="F624">
        <v>183</v>
      </c>
      <c r="G624">
        <v>183</v>
      </c>
    </row>
    <row r="625" spans="1:7">
      <c r="A625" t="s">
        <v>535</v>
      </c>
      <c r="B625">
        <v>345</v>
      </c>
      <c r="G625">
        <v>345</v>
      </c>
    </row>
    <row r="626" spans="1:7">
      <c r="A626" t="s">
        <v>987</v>
      </c>
      <c r="B626">
        <v>420</v>
      </c>
      <c r="G626">
        <v>420</v>
      </c>
    </row>
    <row r="627" spans="1:7">
      <c r="A627" t="s">
        <v>979</v>
      </c>
      <c r="B627">
        <v>817</v>
      </c>
      <c r="D627">
        <v>1385</v>
      </c>
      <c r="G627">
        <v>2202</v>
      </c>
    </row>
    <row r="628" spans="1:7">
      <c r="A628" t="s">
        <v>681</v>
      </c>
      <c r="B628">
        <v>1181</v>
      </c>
      <c r="C628">
        <v>1933</v>
      </c>
      <c r="D628">
        <v>2853</v>
      </c>
      <c r="E628">
        <v>1587</v>
      </c>
      <c r="G628">
        <v>7554</v>
      </c>
    </row>
    <row r="629" spans="1:7">
      <c r="A629" t="s">
        <v>727</v>
      </c>
    </row>
    <row r="630" spans="1:7">
      <c r="A630" t="s">
        <v>730</v>
      </c>
      <c r="B630">
        <v>1430</v>
      </c>
      <c r="C630">
        <v>1004</v>
      </c>
      <c r="G630">
        <v>2434</v>
      </c>
    </row>
    <row r="631" spans="1:7">
      <c r="A631" t="s">
        <v>1026</v>
      </c>
      <c r="C631">
        <v>581</v>
      </c>
      <c r="G631">
        <v>581</v>
      </c>
    </row>
    <row r="632" spans="1:7">
      <c r="A632" t="s">
        <v>526</v>
      </c>
      <c r="D632">
        <v>314</v>
      </c>
      <c r="G632">
        <v>314</v>
      </c>
    </row>
    <row r="633" spans="1:7">
      <c r="A633" t="s">
        <v>540</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681</v>
      </c>
    </row>
    <row r="641" spans="1:7">
      <c r="A641" t="s">
        <v>526</v>
      </c>
    </row>
    <row r="642" spans="1:7">
      <c r="A642" t="s">
        <v>540</v>
      </c>
      <c r="C642">
        <v>190</v>
      </c>
      <c r="D642">
        <v>840</v>
      </c>
      <c r="E642">
        <v>531</v>
      </c>
      <c r="F642">
        <v>718</v>
      </c>
      <c r="G642">
        <v>2279</v>
      </c>
    </row>
    <row r="643" spans="1:7">
      <c r="A643" t="s">
        <v>761</v>
      </c>
      <c r="B643">
        <v>918</v>
      </c>
      <c r="G643">
        <v>918</v>
      </c>
    </row>
    <row r="644" spans="1:7">
      <c r="A644" t="s">
        <v>984</v>
      </c>
      <c r="C644">
        <v>2675</v>
      </c>
      <c r="D644">
        <v>1964</v>
      </c>
      <c r="E644">
        <v>377</v>
      </c>
      <c r="G644">
        <v>5016</v>
      </c>
    </row>
    <row r="645" spans="1:7">
      <c r="A645" t="s">
        <v>767</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540</v>
      </c>
      <c r="B653">
        <v>571</v>
      </c>
      <c r="C653">
        <v>1293</v>
      </c>
      <c r="D653">
        <v>540</v>
      </c>
      <c r="E653">
        <v>554</v>
      </c>
      <c r="F653">
        <v>89</v>
      </c>
      <c r="G653">
        <v>3047</v>
      </c>
    </row>
    <row r="654" spans="1:7">
      <c r="A654" t="s">
        <v>761</v>
      </c>
      <c r="B654">
        <v>1175</v>
      </c>
      <c r="C654">
        <v>1154</v>
      </c>
      <c r="D654">
        <v>428</v>
      </c>
      <c r="G654">
        <v>2757</v>
      </c>
    </row>
    <row r="655" spans="1:7">
      <c r="A655" t="s">
        <v>767</v>
      </c>
      <c r="C655">
        <v>111</v>
      </c>
      <c r="D655">
        <v>12</v>
      </c>
      <c r="G655">
        <v>123</v>
      </c>
    </row>
    <row r="656" spans="1:7">
      <c r="A656" t="s">
        <v>776</v>
      </c>
      <c r="B656">
        <v>288</v>
      </c>
      <c r="C656">
        <v>380</v>
      </c>
      <c r="D656">
        <v>229</v>
      </c>
      <c r="E656">
        <v>163</v>
      </c>
      <c r="G656">
        <v>1060</v>
      </c>
    </row>
    <row r="657" spans="1:7">
      <c r="A657" t="s">
        <v>978</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D665">
        <v>499</v>
      </c>
      <c r="E665">
        <v>231</v>
      </c>
      <c r="F665">
        <v>316</v>
      </c>
      <c r="G665">
        <v>1046</v>
      </c>
    </row>
    <row r="666" spans="1:7">
      <c r="A666" t="s">
        <v>512</v>
      </c>
    </row>
    <row r="667" spans="1:7">
      <c r="A667" t="s">
        <v>1112</v>
      </c>
      <c r="B667">
        <v>141</v>
      </c>
      <c r="D667">
        <v>181</v>
      </c>
      <c r="E667">
        <v>82</v>
      </c>
      <c r="F667">
        <v>96</v>
      </c>
      <c r="G667">
        <v>500</v>
      </c>
    </row>
    <row r="668" spans="1:7">
      <c r="A668" t="s">
        <v>790</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761</v>
      </c>
    </row>
    <row r="672" spans="1:7">
      <c r="A672" t="s">
        <v>767</v>
      </c>
    </row>
    <row r="673" spans="1:7">
      <c r="A673" t="s">
        <v>265</v>
      </c>
      <c r="B673">
        <v>396</v>
      </c>
      <c r="G673">
        <v>396</v>
      </c>
    </row>
    <row r="674" spans="1:7">
      <c r="A674" t="s">
        <v>770</v>
      </c>
      <c r="B674">
        <v>1109</v>
      </c>
      <c r="G674">
        <v>1109</v>
      </c>
    </row>
    <row r="675" spans="1:7">
      <c r="A675" t="s">
        <v>1134</v>
      </c>
      <c r="C675">
        <v>205</v>
      </c>
      <c r="G675">
        <v>205</v>
      </c>
    </row>
    <row r="676" spans="1:7">
      <c r="A676" t="s">
        <v>1135</v>
      </c>
      <c r="C676">
        <v>1456</v>
      </c>
      <c r="D676">
        <v>1420</v>
      </c>
      <c r="E676">
        <v>1170</v>
      </c>
      <c r="F676">
        <v>1081</v>
      </c>
      <c r="G676">
        <v>5127</v>
      </c>
    </row>
    <row r="677" spans="1:7">
      <c r="A677" t="s">
        <v>995</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535</v>
      </c>
      <c r="D685">
        <v>1241</v>
      </c>
      <c r="G685">
        <v>1241</v>
      </c>
    </row>
    <row r="686" spans="1:7">
      <c r="A686" t="s">
        <v>660</v>
      </c>
      <c r="B686">
        <v>503</v>
      </c>
      <c r="C686">
        <v>295</v>
      </c>
      <c r="F686">
        <v>6</v>
      </c>
      <c r="G686">
        <v>804</v>
      </c>
    </row>
    <row r="687" spans="1:7">
      <c r="A687" t="s">
        <v>512</v>
      </c>
      <c r="C687">
        <v>1009</v>
      </c>
      <c r="G687">
        <v>1009</v>
      </c>
    </row>
    <row r="688" spans="1:7">
      <c r="A688" t="s">
        <v>1112</v>
      </c>
      <c r="B688">
        <v>20</v>
      </c>
      <c r="E688">
        <v>250</v>
      </c>
      <c r="F688">
        <v>177</v>
      </c>
      <c r="G688">
        <v>447</v>
      </c>
    </row>
    <row r="689" spans="1:7">
      <c r="A689" t="s">
        <v>540</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1023</v>
      </c>
      <c r="D693">
        <v>130</v>
      </c>
      <c r="G693">
        <v>130</v>
      </c>
    </row>
    <row r="694" spans="1:7">
      <c r="A694" t="s">
        <v>998</v>
      </c>
      <c r="B694">
        <v>735</v>
      </c>
      <c r="E694">
        <v>1453</v>
      </c>
      <c r="G694">
        <v>2188</v>
      </c>
    </row>
    <row r="695" spans="1:7">
      <c r="A695" t="s">
        <v>787</v>
      </c>
      <c r="C695">
        <v>260</v>
      </c>
      <c r="E695">
        <v>315</v>
      </c>
      <c r="G695">
        <v>575</v>
      </c>
    </row>
    <row r="696" spans="1:7">
      <c r="A696" t="s">
        <v>1137</v>
      </c>
      <c r="C696">
        <v>390</v>
      </c>
      <c r="G696">
        <v>390</v>
      </c>
    </row>
    <row r="697" spans="1:7">
      <c r="A697" t="s">
        <v>1008</v>
      </c>
      <c r="C697">
        <v>558</v>
      </c>
      <c r="D697">
        <v>1248</v>
      </c>
      <c r="E697">
        <v>1260</v>
      </c>
      <c r="G697">
        <v>3066</v>
      </c>
    </row>
    <row r="698" spans="1:7">
      <c r="A698" t="s">
        <v>739</v>
      </c>
      <c r="C698">
        <v>1224</v>
      </c>
      <c r="D698">
        <v>967</v>
      </c>
      <c r="G698">
        <v>2191</v>
      </c>
    </row>
    <row r="699" spans="1:7">
      <c r="A699" t="s">
        <v>1005</v>
      </c>
      <c r="D699">
        <v>1017</v>
      </c>
      <c r="G699">
        <v>1017</v>
      </c>
    </row>
    <row r="700" spans="1:7">
      <c r="A700" t="s">
        <v>990</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535</v>
      </c>
    </row>
    <row r="708" spans="1:7">
      <c r="A708" t="s">
        <v>933</v>
      </c>
    </row>
    <row r="709" spans="1:7">
      <c r="A709" t="s">
        <v>660</v>
      </c>
      <c r="C709">
        <v>15</v>
      </c>
      <c r="D709">
        <v>65</v>
      </c>
      <c r="E709">
        <v>6</v>
      </c>
      <c r="G709">
        <v>86</v>
      </c>
    </row>
    <row r="710" spans="1:7">
      <c r="A710" t="s">
        <v>1112</v>
      </c>
    </row>
    <row r="711" spans="1:7">
      <c r="A711" t="s">
        <v>1117</v>
      </c>
      <c r="F711">
        <v>125</v>
      </c>
      <c r="G711">
        <v>125</v>
      </c>
    </row>
    <row r="712" spans="1:7">
      <c r="A712" t="s">
        <v>722</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1138</v>
      </c>
    </row>
    <row r="719" spans="1:7">
      <c r="A719" t="s">
        <v>552</v>
      </c>
      <c r="E719">
        <v>903</v>
      </c>
      <c r="G719">
        <v>903</v>
      </c>
    </row>
    <row r="720" spans="1:7">
      <c r="A720" t="s">
        <v>542</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990</v>
      </c>
      <c r="B730">
        <v>918</v>
      </c>
      <c r="G730">
        <v>918</v>
      </c>
    </row>
    <row r="731" spans="1:7">
      <c r="A731" t="s">
        <v>552</v>
      </c>
      <c r="B731">
        <v>254</v>
      </c>
      <c r="C731">
        <v>1686</v>
      </c>
      <c r="D731">
        <v>611</v>
      </c>
      <c r="G731">
        <v>2551</v>
      </c>
    </row>
    <row r="732" spans="1:7">
      <c r="A732" t="s">
        <v>542</v>
      </c>
      <c r="E732">
        <v>82</v>
      </c>
      <c r="G732">
        <v>82</v>
      </c>
    </row>
    <row r="733" spans="1:7">
      <c r="A733" t="s">
        <v>782</v>
      </c>
      <c r="C733">
        <v>329</v>
      </c>
      <c r="D733">
        <v>333</v>
      </c>
      <c r="G733">
        <v>662</v>
      </c>
    </row>
    <row r="734" spans="1:7">
      <c r="A734" t="s">
        <v>1011</v>
      </c>
      <c r="D734">
        <v>740</v>
      </c>
      <c r="G734">
        <v>740</v>
      </c>
    </row>
    <row r="735" spans="1:7">
      <c r="A735" t="s">
        <v>1019</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535</v>
      </c>
      <c r="D743">
        <v>139</v>
      </c>
      <c r="G743">
        <v>139</v>
      </c>
    </row>
    <row r="744" spans="1:7">
      <c r="A744" t="s">
        <v>660</v>
      </c>
    </row>
    <row r="745" spans="1:7">
      <c r="A745" t="s">
        <v>519</v>
      </c>
      <c r="E745">
        <v>97</v>
      </c>
      <c r="G745">
        <v>97</v>
      </c>
    </row>
    <row r="746" spans="1:7">
      <c r="A746" t="s">
        <v>1117</v>
      </c>
      <c r="B746">
        <v>42</v>
      </c>
      <c r="C746">
        <v>219</v>
      </c>
      <c r="F746">
        <v>70</v>
      </c>
      <c r="G746">
        <v>331</v>
      </c>
    </row>
    <row r="747" spans="1:7">
      <c r="A747" t="s">
        <v>1135</v>
      </c>
    </row>
    <row r="748" spans="1:7">
      <c r="A748" t="s">
        <v>552</v>
      </c>
      <c r="D748">
        <v>250</v>
      </c>
      <c r="G748">
        <v>250</v>
      </c>
    </row>
    <row r="749" spans="1:7">
      <c r="A749" t="s">
        <v>1011</v>
      </c>
      <c r="B749">
        <v>1238</v>
      </c>
      <c r="C749">
        <v>1531</v>
      </c>
      <c r="D749">
        <v>1250</v>
      </c>
      <c r="E749">
        <v>361</v>
      </c>
      <c r="G749">
        <v>4380</v>
      </c>
    </row>
    <row r="750" spans="1:7">
      <c r="A750" t="s">
        <v>1019</v>
      </c>
      <c r="B750">
        <v>711</v>
      </c>
      <c r="G750">
        <v>711</v>
      </c>
    </row>
    <row r="751" spans="1:7">
      <c r="A751" t="s">
        <v>1139</v>
      </c>
      <c r="D751">
        <v>75</v>
      </c>
      <c r="G751">
        <v>75</v>
      </c>
    </row>
    <row r="752" spans="1:7">
      <c r="A752" t="s">
        <v>1001</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1003</v>
      </c>
      <c r="E755">
        <v>754</v>
      </c>
      <c r="G755">
        <v>754</v>
      </c>
    </row>
    <row r="756" spans="1:7">
      <c r="A756" t="s">
        <v>554</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535</v>
      </c>
      <c r="B763">
        <v>60</v>
      </c>
      <c r="G763">
        <v>60</v>
      </c>
    </row>
    <row r="764" spans="1:7">
      <c r="A764" t="s">
        <v>516</v>
      </c>
      <c r="E764">
        <v>175</v>
      </c>
      <c r="G764">
        <v>175</v>
      </c>
    </row>
    <row r="765" spans="1:7">
      <c r="A765" t="s">
        <v>1117</v>
      </c>
      <c r="C765">
        <v>224</v>
      </c>
      <c r="G765">
        <v>224</v>
      </c>
    </row>
    <row r="766" spans="1:7">
      <c r="A766" t="s">
        <v>526</v>
      </c>
      <c r="D766">
        <v>406</v>
      </c>
      <c r="G766">
        <v>406</v>
      </c>
    </row>
    <row r="767" spans="1:7">
      <c r="A767" t="s">
        <v>265</v>
      </c>
      <c r="D767">
        <v>362</v>
      </c>
      <c r="E767">
        <v>399</v>
      </c>
      <c r="G767">
        <v>761</v>
      </c>
    </row>
    <row r="768" spans="1:7">
      <c r="A768" t="s">
        <v>1011</v>
      </c>
    </row>
    <row r="769" spans="1:7">
      <c r="A769" t="s">
        <v>1001</v>
      </c>
    </row>
    <row r="770" spans="1:7">
      <c r="A770" t="s">
        <v>404</v>
      </c>
      <c r="C770">
        <v>120</v>
      </c>
      <c r="D770">
        <v>190</v>
      </c>
      <c r="G770">
        <v>310</v>
      </c>
    </row>
    <row r="771" spans="1:7">
      <c r="A771" t="s">
        <v>384</v>
      </c>
      <c r="B771">
        <v>839</v>
      </c>
      <c r="D771">
        <v>616</v>
      </c>
      <c r="E771">
        <v>969</v>
      </c>
      <c r="F771">
        <v>552</v>
      </c>
      <c r="G771">
        <v>2976</v>
      </c>
    </row>
    <row r="772" spans="1:7">
      <c r="A772" t="s">
        <v>1003</v>
      </c>
      <c r="B772">
        <v>1285</v>
      </c>
      <c r="G772">
        <v>1285</v>
      </c>
    </row>
    <row r="773" spans="1:7">
      <c r="A773" t="s">
        <v>554</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759</v>
      </c>
      <c r="B776">
        <v>335</v>
      </c>
      <c r="G776">
        <v>335</v>
      </c>
    </row>
    <row r="777" spans="1:7">
      <c r="A777" t="s">
        <v>1141</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982</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516</v>
      </c>
      <c r="B790">
        <v>229</v>
      </c>
      <c r="G790">
        <v>229</v>
      </c>
    </row>
    <row r="791" spans="1:7">
      <c r="A791" t="s">
        <v>519</v>
      </c>
      <c r="C791">
        <v>134</v>
      </c>
      <c r="E791">
        <v>450</v>
      </c>
      <c r="F791">
        <v>352</v>
      </c>
      <c r="G791">
        <v>936</v>
      </c>
    </row>
    <row r="792" spans="1:7">
      <c r="A792" t="s">
        <v>1117</v>
      </c>
      <c r="D792">
        <v>201</v>
      </c>
      <c r="F792">
        <v>352</v>
      </c>
      <c r="G792">
        <v>553</v>
      </c>
    </row>
    <row r="793" spans="1:7">
      <c r="A793" t="s">
        <v>526</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1003</v>
      </c>
    </row>
    <row r="797" spans="1:7">
      <c r="A797" t="s">
        <v>1141</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982</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638</v>
      </c>
      <c r="C803">
        <v>1253</v>
      </c>
      <c r="D803">
        <v>1351</v>
      </c>
      <c r="E803">
        <v>443</v>
      </c>
      <c r="G803">
        <v>3047</v>
      </c>
    </row>
    <row r="804" spans="1:7">
      <c r="A804" t="s">
        <v>724</v>
      </c>
      <c r="C804">
        <v>1850</v>
      </c>
      <c r="D804">
        <v>1276</v>
      </c>
      <c r="E804">
        <v>1479</v>
      </c>
      <c r="G804">
        <v>4605</v>
      </c>
    </row>
    <row r="805" spans="1:7">
      <c r="A805" t="s">
        <v>580</v>
      </c>
      <c r="D805">
        <v>1118</v>
      </c>
      <c r="E805">
        <v>1472</v>
      </c>
      <c r="G805">
        <v>2590</v>
      </c>
    </row>
    <row r="806" spans="1:7">
      <c r="A806" t="s">
        <v>1013</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E813">
        <v>270</v>
      </c>
      <c r="F813">
        <v>268</v>
      </c>
      <c r="G813">
        <v>538</v>
      </c>
    </row>
    <row r="814" spans="1:7">
      <c r="A814" t="s">
        <v>1111</v>
      </c>
      <c r="D814">
        <v>126</v>
      </c>
      <c r="E814">
        <v>229</v>
      </c>
      <c r="G814">
        <v>355</v>
      </c>
    </row>
    <row r="815" spans="1:7">
      <c r="A815" t="s">
        <v>519</v>
      </c>
      <c r="B815">
        <v>175</v>
      </c>
      <c r="C815">
        <v>270</v>
      </c>
      <c r="G815">
        <v>445</v>
      </c>
    </row>
    <row r="816" spans="1:7">
      <c r="A816" t="s">
        <v>1117</v>
      </c>
      <c r="B816">
        <v>65</v>
      </c>
      <c r="C816">
        <v>55</v>
      </c>
      <c r="G816">
        <v>120</v>
      </c>
    </row>
    <row r="817" spans="1:7">
      <c r="A817" t="s">
        <v>526</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563</v>
      </c>
      <c r="D821">
        <v>334</v>
      </c>
      <c r="G821">
        <v>334</v>
      </c>
    </row>
    <row r="822" spans="1:7">
      <c r="A822" t="s">
        <v>1142</v>
      </c>
      <c r="C822">
        <v>216</v>
      </c>
      <c r="G822">
        <v>216</v>
      </c>
    </row>
    <row r="823" spans="1:7">
      <c r="A823" t="s">
        <v>407</v>
      </c>
      <c r="B823">
        <v>1088</v>
      </c>
      <c r="C823">
        <v>557</v>
      </c>
      <c r="D823">
        <v>512</v>
      </c>
      <c r="E823">
        <v>369</v>
      </c>
      <c r="G823">
        <v>2526</v>
      </c>
    </row>
    <row r="824" spans="1:7">
      <c r="A824" t="s">
        <v>638</v>
      </c>
      <c r="B824">
        <v>192</v>
      </c>
      <c r="G824">
        <v>192</v>
      </c>
    </row>
    <row r="825" spans="1:7">
      <c r="A825" t="s">
        <v>580</v>
      </c>
      <c r="B825">
        <v>1174</v>
      </c>
      <c r="C825">
        <v>1597</v>
      </c>
      <c r="D825">
        <v>308</v>
      </c>
      <c r="G825">
        <v>3079</v>
      </c>
    </row>
    <row r="826" spans="1:7">
      <c r="A826" t="s">
        <v>1013</v>
      </c>
      <c r="B826">
        <v>1545</v>
      </c>
      <c r="C826">
        <v>995</v>
      </c>
      <c r="G826">
        <v>2540</v>
      </c>
    </row>
    <row r="827" spans="1:7">
      <c r="A827" t="s">
        <v>547</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580</v>
      </c>
    </row>
    <row r="842" spans="1:7">
      <c r="A842" t="s">
        <v>1013</v>
      </c>
    </row>
    <row r="843" spans="1:7">
      <c r="A843" t="s">
        <v>156</v>
      </c>
      <c r="B843">
        <v>828</v>
      </c>
      <c r="C843">
        <v>150</v>
      </c>
      <c r="E843">
        <v>688</v>
      </c>
      <c r="G843">
        <v>1666</v>
      </c>
    </row>
    <row r="844" spans="1:7">
      <c r="A844" t="s">
        <v>1145</v>
      </c>
      <c r="B844">
        <v>233</v>
      </c>
      <c r="G844">
        <v>233</v>
      </c>
    </row>
    <row r="845" spans="1:7">
      <c r="A845" t="s">
        <v>582</v>
      </c>
      <c r="B845">
        <v>1768</v>
      </c>
      <c r="C845">
        <v>510</v>
      </c>
      <c r="G845">
        <v>2278</v>
      </c>
    </row>
    <row r="846" spans="1:7">
      <c r="A846" t="s">
        <v>645</v>
      </c>
      <c r="B846">
        <v>220</v>
      </c>
      <c r="C846">
        <v>435</v>
      </c>
      <c r="D846">
        <v>227</v>
      </c>
      <c r="E846">
        <v>487</v>
      </c>
      <c r="F846">
        <v>123</v>
      </c>
      <c r="G846">
        <v>1492</v>
      </c>
    </row>
    <row r="847" spans="1:7">
      <c r="A847" t="s">
        <v>390</v>
      </c>
      <c r="B847">
        <v>60</v>
      </c>
      <c r="C847">
        <v>219</v>
      </c>
      <c r="G847">
        <v>279</v>
      </c>
    </row>
    <row r="848" spans="1:7">
      <c r="A848" t="s">
        <v>1029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586</v>
      </c>
      <c r="C851">
        <v>974</v>
      </c>
      <c r="D851">
        <v>1312</v>
      </c>
      <c r="E851">
        <v>359</v>
      </c>
      <c r="G851">
        <v>2645</v>
      </c>
    </row>
    <row r="852" spans="1:7">
      <c r="A852" t="s">
        <v>1015</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519</v>
      </c>
      <c r="B860">
        <v>153</v>
      </c>
      <c r="C860">
        <v>244</v>
      </c>
      <c r="E860">
        <v>237</v>
      </c>
      <c r="G860">
        <v>634</v>
      </c>
    </row>
    <row r="861" spans="1:7">
      <c r="A861" t="s">
        <v>1117</v>
      </c>
      <c r="B861">
        <v>455</v>
      </c>
      <c r="G861">
        <v>455</v>
      </c>
    </row>
    <row r="862" spans="1:7">
      <c r="A862" t="s">
        <v>526</v>
      </c>
      <c r="B862">
        <v>151</v>
      </c>
      <c r="C862">
        <v>149</v>
      </c>
      <c r="G862">
        <v>300</v>
      </c>
    </row>
    <row r="863" spans="1:7">
      <c r="A863" t="s">
        <v>77</v>
      </c>
      <c r="D863">
        <v>168</v>
      </c>
      <c r="F863">
        <v>34</v>
      </c>
      <c r="G863">
        <v>202</v>
      </c>
    </row>
    <row r="864" spans="1:7">
      <c r="A864" t="s">
        <v>547</v>
      </c>
    </row>
    <row r="865" spans="1:7">
      <c r="A865" t="s">
        <v>645</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586</v>
      </c>
      <c r="C868">
        <v>230</v>
      </c>
      <c r="G868">
        <v>230</v>
      </c>
    </row>
    <row r="869" spans="1:7">
      <c r="A869" t="s">
        <v>1015</v>
      </c>
      <c r="B869">
        <v>853</v>
      </c>
      <c r="G869">
        <v>853</v>
      </c>
    </row>
    <row r="870" spans="1:7">
      <c r="A870" t="s">
        <v>400</v>
      </c>
      <c r="B870">
        <v>1186</v>
      </c>
      <c r="C870">
        <v>1564</v>
      </c>
      <c r="D870">
        <v>1012</v>
      </c>
      <c r="E870">
        <v>588</v>
      </c>
      <c r="G870">
        <v>4350</v>
      </c>
    </row>
    <row r="871" spans="1:7">
      <c r="A871" t="s">
        <v>1017</v>
      </c>
      <c r="C871">
        <v>1007</v>
      </c>
      <c r="D871">
        <v>1672</v>
      </c>
      <c r="E871">
        <v>1544</v>
      </c>
      <c r="G871">
        <v>4223</v>
      </c>
    </row>
    <row r="872" spans="1:7">
      <c r="A872" t="s">
        <v>592</v>
      </c>
      <c r="C872">
        <v>1182</v>
      </c>
      <c r="D872">
        <v>1604</v>
      </c>
      <c r="E872">
        <v>1268</v>
      </c>
      <c r="G872">
        <v>4054</v>
      </c>
    </row>
    <row r="873" spans="1:7">
      <c r="A873" t="s">
        <v>976</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D880">
        <v>171</v>
      </c>
      <c r="G880">
        <v>171</v>
      </c>
    </row>
    <row r="881" spans="1:7">
      <c r="A881" t="s">
        <v>1111</v>
      </c>
      <c r="B881">
        <v>567</v>
      </c>
      <c r="G881">
        <v>567</v>
      </c>
    </row>
    <row r="882" spans="1:7">
      <c r="A882" t="s">
        <v>526</v>
      </c>
    </row>
    <row r="883" spans="1:7">
      <c r="A883" t="s">
        <v>540</v>
      </c>
      <c r="F883">
        <v>60</v>
      </c>
      <c r="G883">
        <v>60</v>
      </c>
    </row>
    <row r="884" spans="1:7">
      <c r="A884" t="s">
        <v>265</v>
      </c>
    </row>
    <row r="885" spans="1:7">
      <c r="A885" t="s">
        <v>384</v>
      </c>
    </row>
    <row r="886" spans="1:7">
      <c r="A886" t="s">
        <v>77</v>
      </c>
      <c r="B886">
        <v>188</v>
      </c>
      <c r="C886">
        <v>140</v>
      </c>
      <c r="G886">
        <v>328</v>
      </c>
    </row>
    <row r="887" spans="1:7">
      <c r="A887" t="s">
        <v>547</v>
      </c>
      <c r="B887">
        <v>270</v>
      </c>
      <c r="C887">
        <v>60</v>
      </c>
      <c r="G887">
        <v>330</v>
      </c>
    </row>
    <row r="888" spans="1:7">
      <c r="A888" t="s">
        <v>582</v>
      </c>
    </row>
    <row r="889" spans="1:7">
      <c r="A889" t="s">
        <v>645</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1017</v>
      </c>
      <c r="B892">
        <v>587</v>
      </c>
      <c r="C892">
        <v>115</v>
      </c>
      <c r="G892">
        <v>702</v>
      </c>
    </row>
    <row r="893" spans="1:7">
      <c r="A893" t="s">
        <v>584</v>
      </c>
      <c r="C893">
        <v>1509</v>
      </c>
      <c r="D893">
        <v>1087</v>
      </c>
      <c r="E893">
        <v>777</v>
      </c>
      <c r="G893">
        <v>3373</v>
      </c>
    </row>
    <row r="894" spans="1:7">
      <c r="A894" t="s">
        <v>592</v>
      </c>
      <c r="B894">
        <v>1310</v>
      </c>
      <c r="G894">
        <v>1310</v>
      </c>
    </row>
    <row r="895" spans="1:7">
      <c r="A895" t="s">
        <v>976</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578</v>
      </c>
      <c r="C898">
        <v>1678</v>
      </c>
      <c r="E898">
        <v>394</v>
      </c>
      <c r="G898">
        <v>2072</v>
      </c>
    </row>
    <row r="899" spans="1:7">
      <c r="A899" t="s">
        <v>393</v>
      </c>
      <c r="D899">
        <v>3179</v>
      </c>
      <c r="G899">
        <v>3179</v>
      </c>
    </row>
    <row r="900" spans="1:7">
      <c r="A900" t="s">
        <v>617</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542</v>
      </c>
    </row>
    <row r="910" spans="1:7">
      <c r="A910" t="s">
        <v>384</v>
      </c>
    </row>
    <row r="911" spans="1:7">
      <c r="A911" t="s">
        <v>407</v>
      </c>
      <c r="F911">
        <v>569</v>
      </c>
      <c r="G911">
        <v>569</v>
      </c>
    </row>
    <row r="912" spans="1:7">
      <c r="A912" t="s">
        <v>645</v>
      </c>
    </row>
    <row r="913" spans="1:7">
      <c r="A913" t="s">
        <v>390</v>
      </c>
      <c r="D913">
        <v>150</v>
      </c>
      <c r="G913">
        <v>150</v>
      </c>
    </row>
    <row r="914" spans="1:7">
      <c r="A914" t="s">
        <v>400</v>
      </c>
    </row>
    <row r="915" spans="1:7">
      <c r="A915" t="s">
        <v>592</v>
      </c>
      <c r="B915">
        <v>701</v>
      </c>
      <c r="G915">
        <v>701</v>
      </c>
    </row>
    <row r="916" spans="1:7">
      <c r="A916" t="s">
        <v>976</v>
      </c>
      <c r="B916">
        <v>463</v>
      </c>
      <c r="C916">
        <v>633</v>
      </c>
      <c r="D916">
        <v>625</v>
      </c>
      <c r="G916">
        <v>1721</v>
      </c>
    </row>
    <row r="917" spans="1:7">
      <c r="A917" t="s">
        <v>398</v>
      </c>
    </row>
    <row r="918" spans="1:7">
      <c r="A918" t="s">
        <v>393</v>
      </c>
      <c r="B918">
        <v>882</v>
      </c>
      <c r="C918">
        <v>1072</v>
      </c>
      <c r="D918">
        <v>1034</v>
      </c>
      <c r="E918">
        <v>209</v>
      </c>
      <c r="G918">
        <v>3197</v>
      </c>
    </row>
    <row r="919" spans="1:7">
      <c r="A919" t="s">
        <v>617</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590</v>
      </c>
      <c r="B922">
        <v>579</v>
      </c>
      <c r="C922">
        <v>1120</v>
      </c>
      <c r="D922">
        <v>1488</v>
      </c>
      <c r="E922">
        <v>954</v>
      </c>
      <c r="G922">
        <v>4141</v>
      </c>
    </row>
    <row r="923" spans="1:7">
      <c r="A923" t="s">
        <v>1148</v>
      </c>
      <c r="B923">
        <v>365</v>
      </c>
      <c r="G923">
        <v>365</v>
      </c>
    </row>
    <row r="924" spans="1:7">
      <c r="A924" t="s">
        <v>411</v>
      </c>
      <c r="B924">
        <v>207</v>
      </c>
      <c r="G924">
        <v>207</v>
      </c>
    </row>
    <row r="925" spans="1:7">
      <c r="A925" t="s">
        <v>649</v>
      </c>
      <c r="C925">
        <v>1691</v>
      </c>
      <c r="D925">
        <v>1998</v>
      </c>
      <c r="E925">
        <v>760</v>
      </c>
      <c r="F925">
        <v>3975</v>
      </c>
      <c r="G925">
        <v>8424</v>
      </c>
    </row>
    <row r="926" spans="1:7">
      <c r="A926" t="s">
        <v>620</v>
      </c>
      <c r="D926">
        <v>1031</v>
      </c>
      <c r="G926">
        <v>1031</v>
      </c>
    </row>
    <row r="927" spans="1:7">
      <c r="A927" t="s">
        <v>409</v>
      </c>
      <c r="E927">
        <v>1063</v>
      </c>
      <c r="F927">
        <v>1263</v>
      </c>
      <c r="G927">
        <v>2326</v>
      </c>
    </row>
    <row r="928" spans="1:7">
      <c r="A928" t="s">
        <v>647</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471</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645</v>
      </c>
      <c r="B940">
        <v>560</v>
      </c>
      <c r="G940">
        <v>560</v>
      </c>
    </row>
    <row r="941" spans="1:7">
      <c r="A941" t="s">
        <v>400</v>
      </c>
    </row>
    <row r="942" spans="1:7">
      <c r="A942" t="s">
        <v>592</v>
      </c>
      <c r="B942">
        <v>138</v>
      </c>
      <c r="G942">
        <v>138</v>
      </c>
    </row>
    <row r="943" spans="1:7">
      <c r="A943" t="s">
        <v>398</v>
      </c>
    </row>
    <row r="944" spans="1:7">
      <c r="A944" t="s">
        <v>393</v>
      </c>
      <c r="B944">
        <v>96</v>
      </c>
      <c r="G944">
        <v>96</v>
      </c>
    </row>
    <row r="945" spans="1:7">
      <c r="A945" t="s">
        <v>617</v>
      </c>
      <c r="B945">
        <v>632</v>
      </c>
      <c r="G945">
        <v>632</v>
      </c>
    </row>
    <row r="946" spans="1:7">
      <c r="A946" t="s">
        <v>442</v>
      </c>
      <c r="B946">
        <v>558</v>
      </c>
      <c r="G946">
        <v>558</v>
      </c>
    </row>
    <row r="947" spans="1:7">
      <c r="A947" t="s">
        <v>229</v>
      </c>
      <c r="B947">
        <v>562</v>
      </c>
      <c r="D947">
        <v>474</v>
      </c>
      <c r="E947">
        <v>606</v>
      </c>
      <c r="F947">
        <v>322</v>
      </c>
      <c r="G947">
        <v>1964</v>
      </c>
    </row>
    <row r="948" spans="1:7">
      <c r="A948" t="s">
        <v>620</v>
      </c>
      <c r="B948">
        <v>1351</v>
      </c>
      <c r="D948">
        <v>890</v>
      </c>
      <c r="G948">
        <v>2241</v>
      </c>
    </row>
    <row r="949" spans="1:7">
      <c r="A949" t="s">
        <v>471</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588</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463</v>
      </c>
      <c r="D956">
        <v>1264</v>
      </c>
      <c r="E956">
        <v>1281</v>
      </c>
      <c r="G956">
        <v>2545</v>
      </c>
    </row>
    <row r="957" spans="1:7">
      <c r="A957" t="s">
        <v>1150</v>
      </c>
    </row>
    <row r="958" spans="1:7">
      <c r="A958" t="s">
        <v>476</v>
      </c>
      <c r="D958">
        <v>3678</v>
      </c>
      <c r="E958">
        <v>3382</v>
      </c>
      <c r="G958">
        <v>7060</v>
      </c>
    </row>
    <row r="959" spans="1:7">
      <c r="A959" t="s">
        <v>1151</v>
      </c>
      <c r="F959">
        <v>1505</v>
      </c>
      <c r="G959">
        <v>1505</v>
      </c>
    </row>
    <row r="960" spans="1:7">
      <c r="A960" t="s">
        <v>506</v>
      </c>
      <c r="E960">
        <v>424</v>
      </c>
      <c r="G960">
        <v>424</v>
      </c>
    </row>
    <row r="961" spans="1:7">
      <c r="A961" t="s">
        <v>478</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645</v>
      </c>
      <c r="C970">
        <v>17</v>
      </c>
      <c r="G970">
        <v>17</v>
      </c>
    </row>
    <row r="971" spans="1:7">
      <c r="A971" t="s">
        <v>592</v>
      </c>
    </row>
    <row r="972" spans="1:7">
      <c r="A972" t="s">
        <v>442</v>
      </c>
      <c r="B972">
        <v>127</v>
      </c>
      <c r="G972">
        <v>127</v>
      </c>
    </row>
    <row r="973" spans="1:7">
      <c r="A973" t="s">
        <v>229</v>
      </c>
      <c r="B973">
        <v>420</v>
      </c>
      <c r="G973">
        <v>420</v>
      </c>
    </row>
    <row r="974" spans="1:7">
      <c r="A974" t="s">
        <v>620</v>
      </c>
    </row>
    <row r="975" spans="1:7">
      <c r="A975" t="s">
        <v>395</v>
      </c>
      <c r="C975">
        <v>1917</v>
      </c>
      <c r="E975">
        <v>272</v>
      </c>
      <c r="G975">
        <v>2189</v>
      </c>
    </row>
    <row r="976" spans="1:7">
      <c r="A976" t="s">
        <v>588</v>
      </c>
      <c r="B976">
        <v>956</v>
      </c>
      <c r="G976">
        <v>956</v>
      </c>
    </row>
    <row r="977" spans="1:7">
      <c r="A977" t="s">
        <v>211</v>
      </c>
      <c r="E977">
        <v>195</v>
      </c>
      <c r="G977">
        <v>195</v>
      </c>
    </row>
    <row r="978" spans="1:7">
      <c r="A978" t="s">
        <v>424</v>
      </c>
      <c r="B978">
        <v>1449</v>
      </c>
      <c r="G978">
        <v>1449</v>
      </c>
    </row>
    <row r="979" spans="1:7">
      <c r="A979" t="s">
        <v>463</v>
      </c>
      <c r="B979">
        <v>1662</v>
      </c>
      <c r="C979">
        <v>2684</v>
      </c>
      <c r="F979">
        <v>51</v>
      </c>
      <c r="G979">
        <v>4397</v>
      </c>
    </row>
    <row r="980" spans="1:7">
      <c r="A980" t="s">
        <v>473</v>
      </c>
      <c r="B980">
        <v>5466</v>
      </c>
      <c r="E980">
        <v>2252</v>
      </c>
      <c r="G980">
        <v>7718</v>
      </c>
    </row>
    <row r="981" spans="1:7">
      <c r="A981" t="s">
        <v>1151</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1152</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1048</v>
      </c>
    </row>
    <row r="992" spans="1:7">
      <c r="A992" t="s">
        <v>1050</v>
      </c>
    </row>
    <row r="993" spans="1:7">
      <c r="A993" t="s">
        <v>532</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516</v>
      </c>
      <c r="C1005">
        <v>68</v>
      </c>
      <c r="G1005">
        <v>68</v>
      </c>
    </row>
    <row r="1006" spans="1:7">
      <c r="A1006" t="s">
        <v>1136</v>
      </c>
    </row>
    <row r="1007" spans="1:7">
      <c r="A1007" t="s">
        <v>387</v>
      </c>
    </row>
    <row r="1008" spans="1:7">
      <c r="A1008" t="s">
        <v>976</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588</v>
      </c>
    </row>
    <row r="1019" spans="1:7">
      <c r="A1019" t="s">
        <v>1152</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433</v>
      </c>
      <c r="B1022">
        <v>572</v>
      </c>
      <c r="G1022">
        <v>572</v>
      </c>
    </row>
    <row r="1023" spans="1:7">
      <c r="A1023" t="s">
        <v>1154</v>
      </c>
      <c r="B1023">
        <v>1718</v>
      </c>
      <c r="C1023">
        <v>2478</v>
      </c>
      <c r="D1023">
        <v>1567</v>
      </c>
      <c r="G1023">
        <v>5763</v>
      </c>
    </row>
    <row r="1024" spans="1:7">
      <c r="A1024" t="s">
        <v>481</v>
      </c>
      <c r="C1024">
        <v>3411</v>
      </c>
      <c r="G1024">
        <v>3411</v>
      </c>
    </row>
    <row r="1025" spans="1:7">
      <c r="A1025" t="s">
        <v>201</v>
      </c>
      <c r="B1025">
        <v>82</v>
      </c>
      <c r="G1025">
        <v>82</v>
      </c>
    </row>
    <row r="1026" spans="1:7">
      <c r="A1026" t="s">
        <v>484</v>
      </c>
      <c r="C1026">
        <v>3311</v>
      </c>
      <c r="G1026">
        <v>3311</v>
      </c>
    </row>
    <row r="1027" spans="1:7">
      <c r="A1027" t="s">
        <v>455</v>
      </c>
    </row>
    <row r="1028" spans="1:7">
      <c r="A1028" t="s">
        <v>427</v>
      </c>
      <c r="C1028">
        <v>2568</v>
      </c>
      <c r="G1028">
        <v>2568</v>
      </c>
    </row>
    <row r="1029" spans="1:7">
      <c r="A1029" t="s">
        <v>609</v>
      </c>
      <c r="B1029">
        <v>286</v>
      </c>
      <c r="C1029">
        <v>357</v>
      </c>
      <c r="D1029">
        <v>331</v>
      </c>
      <c r="G1029">
        <v>974</v>
      </c>
    </row>
    <row r="1030" spans="1:7">
      <c r="A1030" t="s">
        <v>421</v>
      </c>
      <c r="B1030">
        <v>1655</v>
      </c>
      <c r="C1030">
        <v>2537</v>
      </c>
      <c r="G1030">
        <v>4192</v>
      </c>
    </row>
    <row r="1031" spans="1:7">
      <c r="A1031" t="s">
        <v>465</v>
      </c>
      <c r="C1031">
        <v>2382</v>
      </c>
      <c r="G1031">
        <v>2382</v>
      </c>
    </row>
    <row r="1032" spans="1:7">
      <c r="A1032" t="s">
        <v>600</v>
      </c>
      <c r="C1032">
        <v>1100</v>
      </c>
      <c r="D1032">
        <v>855</v>
      </c>
      <c r="G1032">
        <v>1955</v>
      </c>
    </row>
    <row r="1033" spans="1:7">
      <c r="A1033" t="s">
        <v>1155</v>
      </c>
      <c r="C1033">
        <v>486</v>
      </c>
      <c r="G1033">
        <v>486</v>
      </c>
    </row>
    <row r="1034" spans="1:7">
      <c r="A1034" t="s">
        <v>487</v>
      </c>
      <c r="C1034">
        <v>3634</v>
      </c>
      <c r="G1034">
        <v>3634</v>
      </c>
    </row>
    <row r="1035" spans="1:7">
      <c r="A1035" t="s">
        <v>1156</v>
      </c>
      <c r="D1035">
        <v>955</v>
      </c>
      <c r="G1035">
        <v>955</v>
      </c>
    </row>
    <row r="1036" spans="1:7">
      <c r="A1036" t="s">
        <v>1157</v>
      </c>
    </row>
    <row r="1037" spans="1:7">
      <c r="A1037" t="s">
        <v>1056</v>
      </c>
    </row>
    <row r="1038" spans="1:7">
      <c r="A1038" t="s">
        <v>1052</v>
      </c>
    </row>
    <row r="1039" spans="1:7">
      <c r="A1039" t="s">
        <v>1054</v>
      </c>
    </row>
    <row r="1040" spans="1:7">
      <c r="A1040" t="s">
        <v>1055</v>
      </c>
    </row>
    <row r="1041" spans="1:7">
      <c r="A1041" t="s">
        <v>1058</v>
      </c>
    </row>
    <row r="1042" spans="1:7">
      <c r="A1042" t="s">
        <v>460</v>
      </c>
    </row>
    <row r="1043" spans="1:7">
      <c r="A1043" t="s">
        <v>462</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590</v>
      </c>
      <c r="C1051">
        <v>175</v>
      </c>
      <c r="G1051">
        <v>175</v>
      </c>
    </row>
    <row r="1052" spans="1:7">
      <c r="A1052" t="s">
        <v>649</v>
      </c>
      <c r="B1052">
        <v>602</v>
      </c>
      <c r="C1052">
        <v>1069</v>
      </c>
      <c r="D1052">
        <v>1129</v>
      </c>
      <c r="E1052">
        <v>1041</v>
      </c>
      <c r="F1052">
        <v>1824</v>
      </c>
      <c r="G1052">
        <v>5665</v>
      </c>
    </row>
    <row r="1053" spans="1:7">
      <c r="A1053" t="s">
        <v>317</v>
      </c>
      <c r="B1053">
        <v>1515</v>
      </c>
      <c r="G1053">
        <v>1515</v>
      </c>
    </row>
    <row r="1054" spans="1:7">
      <c r="A1054" t="s">
        <v>473</v>
      </c>
      <c r="E1054">
        <v>64</v>
      </c>
      <c r="G1054">
        <v>64</v>
      </c>
    </row>
    <row r="1055" spans="1:7">
      <c r="A1055" t="s">
        <v>476</v>
      </c>
    </row>
    <row r="1056" spans="1:7">
      <c r="A1056" t="s">
        <v>597</v>
      </c>
      <c r="B1056">
        <v>1610</v>
      </c>
      <c r="G1056">
        <v>1610</v>
      </c>
    </row>
    <row r="1057" spans="1:7">
      <c r="A1057" t="s">
        <v>594</v>
      </c>
    </row>
    <row r="1058" spans="1:7">
      <c r="A1058" t="s">
        <v>481</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465</v>
      </c>
      <c r="B1061">
        <v>3084</v>
      </c>
      <c r="G1061">
        <v>3084</v>
      </c>
    </row>
    <row r="1062" spans="1:7">
      <c r="A1062" t="s">
        <v>600</v>
      </c>
      <c r="B1062">
        <v>1622</v>
      </c>
      <c r="C1062">
        <v>1131</v>
      </c>
      <c r="G1062">
        <v>2753</v>
      </c>
    </row>
    <row r="1063" spans="1:7">
      <c r="A1063" t="s">
        <v>1155</v>
      </c>
      <c r="B1063">
        <v>600</v>
      </c>
      <c r="C1063">
        <v>610</v>
      </c>
      <c r="D1063">
        <v>974</v>
      </c>
      <c r="G1063">
        <v>2184</v>
      </c>
    </row>
    <row r="1064" spans="1:7">
      <c r="A1064" t="s">
        <v>487</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569</v>
      </c>
      <c r="D1069">
        <v>466</v>
      </c>
      <c r="E1069">
        <v>345</v>
      </c>
      <c r="G1069">
        <v>811</v>
      </c>
    </row>
    <row r="1070" spans="1:7">
      <c r="A1070" t="s">
        <v>436</v>
      </c>
      <c r="E1070">
        <v>1431</v>
      </c>
      <c r="G1070">
        <v>1431</v>
      </c>
    </row>
    <row r="1071" spans="1:7">
      <c r="A1071" t="s">
        <v>575</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649</v>
      </c>
      <c r="B1081">
        <v>1283</v>
      </c>
      <c r="C1081">
        <v>442</v>
      </c>
      <c r="F1081">
        <v>706</v>
      </c>
      <c r="G1081">
        <v>2431</v>
      </c>
    </row>
    <row r="1082" spans="1:7">
      <c r="A1082" t="s">
        <v>452</v>
      </c>
      <c r="C1082">
        <v>2203</v>
      </c>
      <c r="G1082">
        <v>2203</v>
      </c>
    </row>
    <row r="1083" spans="1:7">
      <c r="A1083" t="s">
        <v>478</v>
      </c>
      <c r="E1083">
        <v>242</v>
      </c>
      <c r="G1083">
        <v>242</v>
      </c>
    </row>
    <row r="1084" spans="1:7">
      <c r="A1084" t="s">
        <v>597</v>
      </c>
    </row>
    <row r="1085" spans="1:7">
      <c r="A1085" t="s">
        <v>427</v>
      </c>
      <c r="B1085">
        <v>428</v>
      </c>
      <c r="G1085">
        <v>428</v>
      </c>
    </row>
    <row r="1086" spans="1:7">
      <c r="A1086" t="s">
        <v>1156</v>
      </c>
    </row>
    <row r="1087" spans="1:7">
      <c r="A1087" t="s">
        <v>1158</v>
      </c>
      <c r="C1087">
        <v>265</v>
      </c>
      <c r="D1087">
        <v>542</v>
      </c>
      <c r="E1087">
        <v>739</v>
      </c>
      <c r="G1087">
        <v>1546</v>
      </c>
    </row>
    <row r="1088" spans="1:7">
      <c r="A1088" t="s">
        <v>503</v>
      </c>
      <c r="D1088">
        <v>91</v>
      </c>
      <c r="G1088">
        <v>91</v>
      </c>
    </row>
    <row r="1089" spans="1:7">
      <c r="A1089" t="s">
        <v>569</v>
      </c>
      <c r="B1089">
        <v>1172</v>
      </c>
      <c r="G1089">
        <v>1172</v>
      </c>
    </row>
    <row r="1090" spans="1:7">
      <c r="A1090" t="s">
        <v>436</v>
      </c>
      <c r="B1090">
        <v>1583</v>
      </c>
      <c r="C1090">
        <v>1325</v>
      </c>
      <c r="D1090">
        <v>621</v>
      </c>
      <c r="G1090">
        <v>3529</v>
      </c>
    </row>
    <row r="1091" spans="1:7">
      <c r="A1091" t="s">
        <v>575</v>
      </c>
    </row>
    <row r="1092" spans="1:7">
      <c r="A1092" t="s">
        <v>1159</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1161</v>
      </c>
    </row>
    <row r="1096" spans="1:7">
      <c r="A1096" t="s">
        <v>415</v>
      </c>
      <c r="C1096">
        <v>1640</v>
      </c>
      <c r="D1096">
        <v>1177</v>
      </c>
      <c r="G1096">
        <v>2817</v>
      </c>
    </row>
    <row r="1097" spans="1:7">
      <c r="A1097" t="s">
        <v>490</v>
      </c>
      <c r="C1097">
        <v>1980</v>
      </c>
      <c r="D1097">
        <v>1251</v>
      </c>
      <c r="E1097">
        <v>3172</v>
      </c>
      <c r="G1097">
        <v>6403</v>
      </c>
    </row>
    <row r="1098" spans="1:7">
      <c r="A1098" t="s">
        <v>325</v>
      </c>
      <c r="C1098">
        <v>1111</v>
      </c>
      <c r="D1098">
        <v>1373</v>
      </c>
      <c r="E1098">
        <v>1090</v>
      </c>
      <c r="F1098">
        <v>1204</v>
      </c>
      <c r="G1098">
        <v>4778</v>
      </c>
    </row>
    <row r="1099" spans="1:7">
      <c r="A1099" t="s">
        <v>566</v>
      </c>
      <c r="C1099">
        <v>1500</v>
      </c>
      <c r="D1099">
        <v>1084</v>
      </c>
      <c r="G1099">
        <v>2584</v>
      </c>
    </row>
    <row r="1100" spans="1:7">
      <c r="A1100" t="s">
        <v>418</v>
      </c>
      <c r="D1100">
        <v>817</v>
      </c>
      <c r="E1100">
        <v>1820</v>
      </c>
      <c r="G1100">
        <v>2637</v>
      </c>
    </row>
    <row r="1101" spans="1:7">
      <c r="A1101" t="s">
        <v>560</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649</v>
      </c>
      <c r="B1109">
        <v>735</v>
      </c>
      <c r="G1109">
        <v>735</v>
      </c>
    </row>
    <row r="1110" spans="1:7">
      <c r="A1110" t="s">
        <v>457</v>
      </c>
    </row>
    <row r="1111" spans="1:7">
      <c r="A1111" t="s">
        <v>476</v>
      </c>
    </row>
    <row r="1112" spans="1:7">
      <c r="A1112" t="s">
        <v>506</v>
      </c>
      <c r="E1112">
        <v>396</v>
      </c>
      <c r="G1112">
        <v>396</v>
      </c>
    </row>
    <row r="1113" spans="1:7">
      <c r="A1113" t="s">
        <v>478</v>
      </c>
    </row>
    <row r="1114" spans="1:7">
      <c r="A1114" t="s">
        <v>597</v>
      </c>
    </row>
    <row r="1115" spans="1:7">
      <c r="A1115" t="s">
        <v>484</v>
      </c>
      <c r="B1115">
        <v>87</v>
      </c>
      <c r="G1115">
        <v>87</v>
      </c>
    </row>
    <row r="1116" spans="1:7">
      <c r="A1116" t="s">
        <v>1158</v>
      </c>
      <c r="B1116">
        <v>671</v>
      </c>
      <c r="C1116">
        <v>1204</v>
      </c>
      <c r="D1116">
        <v>1210</v>
      </c>
      <c r="E1116">
        <v>292</v>
      </c>
      <c r="G1116">
        <v>3377</v>
      </c>
    </row>
    <row r="1117" spans="1:7">
      <c r="A1117" t="s">
        <v>503</v>
      </c>
      <c r="D1117">
        <v>320</v>
      </c>
      <c r="E1117">
        <v>652</v>
      </c>
      <c r="F1117">
        <v>780</v>
      </c>
      <c r="G1117">
        <v>1752</v>
      </c>
    </row>
    <row r="1118" spans="1:7">
      <c r="A1118" t="s">
        <v>569</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325</v>
      </c>
      <c r="F1123">
        <v>1235</v>
      </c>
      <c r="G1123">
        <v>1235</v>
      </c>
    </row>
    <row r="1124" spans="1:7">
      <c r="A1124" t="s">
        <v>566</v>
      </c>
    </row>
    <row r="1125" spans="1:7">
      <c r="A1125" t="s">
        <v>560</v>
      </c>
      <c r="B1125">
        <v>689</v>
      </c>
      <c r="C1125">
        <v>586</v>
      </c>
      <c r="D1125">
        <v>199</v>
      </c>
      <c r="G1125">
        <v>1474</v>
      </c>
    </row>
    <row r="1126" spans="1:7">
      <c r="A1126" t="s">
        <v>299</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493</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612</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503</v>
      </c>
      <c r="B1144">
        <v>870</v>
      </c>
      <c r="G1144">
        <v>870</v>
      </c>
    </row>
    <row r="1145" spans="1:7">
      <c r="A1145" t="s">
        <v>322</v>
      </c>
      <c r="B1145">
        <v>551</v>
      </c>
      <c r="G1145">
        <v>551</v>
      </c>
    </row>
    <row r="1146" spans="1:7">
      <c r="A1146" t="s">
        <v>1159</v>
      </c>
    </row>
    <row r="1147" spans="1:7">
      <c r="A1147" t="s">
        <v>299</v>
      </c>
      <c r="B1147">
        <v>154</v>
      </c>
      <c r="G1147">
        <v>154</v>
      </c>
    </row>
    <row r="1148" spans="1:7">
      <c r="A1148" t="s">
        <v>572</v>
      </c>
      <c r="B1148">
        <v>342</v>
      </c>
      <c r="G1148">
        <v>342</v>
      </c>
    </row>
    <row r="1149" spans="1:7">
      <c r="A1149" t="s">
        <v>493</v>
      </c>
    </row>
    <row r="1150" spans="1:7">
      <c r="A1150" t="s">
        <v>334</v>
      </c>
      <c r="B1150">
        <v>3523</v>
      </c>
      <c r="C1150">
        <v>2384</v>
      </c>
      <c r="G1150">
        <v>5907</v>
      </c>
    </row>
    <row r="1151" spans="1:7">
      <c r="A1151" t="s">
        <v>328</v>
      </c>
      <c r="B1151">
        <v>362</v>
      </c>
      <c r="G1151">
        <v>362</v>
      </c>
    </row>
    <row r="1152" spans="1:7">
      <c r="A1152" t="s">
        <v>612</v>
      </c>
      <c r="B1152">
        <v>380</v>
      </c>
      <c r="G1152">
        <v>380</v>
      </c>
    </row>
    <row r="1153" spans="1:7">
      <c r="A1153" t="s">
        <v>615</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471</v>
      </c>
    </row>
    <row r="1162" spans="1:7">
      <c r="A1162" t="s">
        <v>463</v>
      </c>
    </row>
    <row r="1163" spans="1:7">
      <c r="A1163" t="s">
        <v>465</v>
      </c>
    </row>
    <row r="1164" spans="1:7">
      <c r="A1164" t="s">
        <v>468</v>
      </c>
    </row>
    <row r="1165" spans="1:7">
      <c r="A1165" t="s">
        <v>436</v>
      </c>
    </row>
    <row r="1166" spans="1:7">
      <c r="A1166" t="s">
        <v>322</v>
      </c>
      <c r="B1166">
        <v>738</v>
      </c>
      <c r="C1166">
        <v>466</v>
      </c>
      <c r="G1166">
        <v>1204</v>
      </c>
    </row>
    <row r="1167" spans="1:7">
      <c r="A1167" t="s">
        <v>499</v>
      </c>
    </row>
    <row r="1168" spans="1:7">
      <c r="A1168" t="s">
        <v>299</v>
      </c>
      <c r="D1168">
        <v>173</v>
      </c>
      <c r="G1168">
        <v>173</v>
      </c>
    </row>
    <row r="1169" spans="1:7">
      <c r="A1169" t="s">
        <v>328</v>
      </c>
      <c r="B1169">
        <v>1297</v>
      </c>
      <c r="G1169">
        <v>1297</v>
      </c>
    </row>
    <row r="1170" spans="1:7">
      <c r="A1170" t="s">
        <v>612</v>
      </c>
      <c r="B1170">
        <v>100</v>
      </c>
      <c r="G1170">
        <v>100</v>
      </c>
    </row>
    <row r="1171" spans="1:7">
      <c r="A1171" t="s">
        <v>331</v>
      </c>
      <c r="B1171">
        <v>2583</v>
      </c>
      <c r="C1171">
        <v>3099</v>
      </c>
      <c r="G1171">
        <v>5682</v>
      </c>
    </row>
    <row r="1172" spans="1:7">
      <c r="A1172" t="s">
        <v>603</v>
      </c>
      <c r="B1172">
        <v>1188</v>
      </c>
      <c r="G1172">
        <v>1188</v>
      </c>
    </row>
    <row r="1173" spans="1:7">
      <c r="A1173" t="s">
        <v>606</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row>
    <row r="1180" spans="1:7">
      <c r="A1180" t="s">
        <v>1128</v>
      </c>
      <c r="B1180">
        <v>248</v>
      </c>
      <c r="G1180">
        <v>248</v>
      </c>
    </row>
    <row r="1181" spans="1:7">
      <c r="A1181" t="s">
        <v>1163</v>
      </c>
      <c r="B1181">
        <v>1353</v>
      </c>
      <c r="G1181">
        <v>1353</v>
      </c>
    </row>
    <row r="1182" spans="1:7">
      <c r="A1182" t="s">
        <v>269</v>
      </c>
      <c r="B1182">
        <v>1105</v>
      </c>
      <c r="G1182">
        <v>1105</v>
      </c>
    </row>
    <row r="1183" spans="1:7">
      <c r="A1183" t="s">
        <v>1084</v>
      </c>
      <c r="B1183">
        <v>2706</v>
      </c>
      <c r="G1183">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row>
    <row r="1189" spans="1:6">
      <c r="A1189" t="s">
        <v>1084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92" activePane="bottomLeft" state="frozen"/>
      <selection pane="bottomLeft" activeCell="F2498" sqref="F249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129</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129</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129</v>
      </c>
      <c r="C18" s="152">
        <v>45702</v>
      </c>
      <c r="D18" s="143">
        <v>23</v>
      </c>
      <c r="E18" s="143"/>
      <c r="F18" s="143"/>
      <c r="G18" t="str">
        <f t="shared" si="0"/>
        <v>February</v>
      </c>
    </row>
    <row r="19" spans="1:7" ht="15.75">
      <c r="A19" s="117" t="s">
        <v>835</v>
      </c>
      <c r="B19" s="243" t="s">
        <v>141</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129</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141</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129</v>
      </c>
      <c r="C48" s="153">
        <v>45709</v>
      </c>
      <c r="D48" s="117">
        <v>823</v>
      </c>
      <c r="E48" s="117"/>
      <c r="F48" s="118" t="s">
        <v>1175</v>
      </c>
      <c r="G48" t="str">
        <f t="shared" si="0"/>
        <v>February</v>
      </c>
    </row>
    <row r="49" spans="1:7">
      <c r="A49" s="117" t="s">
        <v>835</v>
      </c>
      <c r="B49" s="243" t="s">
        <v>141</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129</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129</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129</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129</v>
      </c>
      <c r="C71" s="153">
        <v>45713</v>
      </c>
      <c r="D71" s="117"/>
      <c r="E71" s="117"/>
      <c r="F71" s="118"/>
      <c r="G71" t="str">
        <f t="shared" si="1"/>
        <v>February</v>
      </c>
    </row>
    <row r="72" spans="1:7">
      <c r="A72" s="117" t="s">
        <v>835</v>
      </c>
      <c r="B72" s="243" t="s">
        <v>141</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129</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129</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129</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129</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129</v>
      </c>
      <c r="C96" s="153">
        <v>45714</v>
      </c>
      <c r="D96" s="117"/>
      <c r="E96" s="117"/>
      <c r="F96" s="118"/>
      <c r="G96" t="str">
        <f t="shared" si="1"/>
        <v>February</v>
      </c>
    </row>
    <row r="97" spans="1:7">
      <c r="A97" s="117" t="s">
        <v>835</v>
      </c>
      <c r="B97" s="243" t="s">
        <v>141</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129</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129</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129</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129</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129</v>
      </c>
      <c r="C127" s="122">
        <v>45715</v>
      </c>
      <c r="D127" s="118">
        <v>1422</v>
      </c>
      <c r="E127" s="118"/>
      <c r="F127" s="134" t="s">
        <v>1183</v>
      </c>
      <c r="G127" t="str">
        <f t="shared" si="1"/>
        <v>February</v>
      </c>
    </row>
    <row r="128" spans="1:7">
      <c r="A128" s="117" t="s">
        <v>835</v>
      </c>
      <c r="B128" s="243" t="s">
        <v>141</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129</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129</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129</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129</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129</v>
      </c>
      <c r="C158" s="122">
        <v>45716</v>
      </c>
      <c r="D158" s="123">
        <v>946</v>
      </c>
      <c r="E158" s="123"/>
      <c r="F158" s="109" t="s">
        <v>1175</v>
      </c>
      <c r="G158" t="str">
        <f t="shared" si="2"/>
        <v>February</v>
      </c>
    </row>
    <row r="159" spans="1:7">
      <c r="A159" s="117" t="s">
        <v>835</v>
      </c>
      <c r="B159" s="243" t="s">
        <v>141</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129</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129</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129</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129</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129</v>
      </c>
      <c r="C189" s="122">
        <v>45719</v>
      </c>
      <c r="D189" s="123" t="s">
        <v>1194</v>
      </c>
      <c r="E189" s="123"/>
      <c r="F189" s="118"/>
      <c r="G189" t="str">
        <f t="shared" si="2"/>
        <v>March</v>
      </c>
    </row>
    <row r="190" spans="1:7">
      <c r="A190" s="117" t="s">
        <v>835</v>
      </c>
      <c r="B190" s="243" t="s">
        <v>141</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129</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129</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129</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141</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129</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129</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129</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129</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129</v>
      </c>
      <c r="C238" s="122">
        <v>45721</v>
      </c>
      <c r="D238" s="123">
        <v>0</v>
      </c>
      <c r="E238" s="123"/>
      <c r="F238" s="118"/>
      <c r="G238" t="str">
        <f t="shared" si="3"/>
        <v>March</v>
      </c>
    </row>
    <row r="239" spans="1:7">
      <c r="A239" s="117" t="s">
        <v>835</v>
      </c>
      <c r="B239" s="243" t="s">
        <v>141</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129</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129</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129</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129</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129</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129</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129</v>
      </c>
      <c r="C275" s="122">
        <v>45722</v>
      </c>
      <c r="D275" s="134">
        <v>0</v>
      </c>
      <c r="E275" s="134"/>
      <c r="F275" s="118"/>
      <c r="G275" t="str">
        <f t="shared" si="4"/>
        <v>March</v>
      </c>
    </row>
    <row r="276" spans="1:7">
      <c r="A276" s="117" t="s">
        <v>835</v>
      </c>
      <c r="B276" s="243" t="s">
        <v>141</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129</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129</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129</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129</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129</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129</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129</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129</v>
      </c>
      <c r="C315" s="56">
        <v>45723</v>
      </c>
      <c r="D315" s="134">
        <v>0</v>
      </c>
      <c r="E315" s="134"/>
      <c r="G315" t="str">
        <f t="shared" si="4"/>
        <v>March</v>
      </c>
    </row>
    <row r="316" spans="1:7">
      <c r="A316" s="117" t="s">
        <v>835</v>
      </c>
      <c r="B316" s="243" t="s">
        <v>141</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129</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129</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129</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129</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129</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129</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129</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129</v>
      </c>
      <c r="C356" s="56">
        <v>45726</v>
      </c>
      <c r="D356" s="134">
        <v>0</v>
      </c>
      <c r="E356" s="134"/>
      <c r="G356" t="str">
        <f t="shared" si="5"/>
        <v>March</v>
      </c>
    </row>
    <row r="357" spans="1:7">
      <c r="A357" s="117" t="s">
        <v>835</v>
      </c>
      <c r="B357" s="243" t="s">
        <v>141</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129</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129</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129</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129</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129</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129</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129</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129</v>
      </c>
      <c r="C397" s="56">
        <v>45727</v>
      </c>
      <c r="D397" s="123">
        <v>0</v>
      </c>
      <c r="E397" s="123"/>
      <c r="G397" t="str">
        <f t="shared" si="6"/>
        <v>March</v>
      </c>
    </row>
    <row r="398" spans="1:7">
      <c r="A398" s="117" t="s">
        <v>835</v>
      </c>
      <c r="B398" s="243" t="s">
        <v>141</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129</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129</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129</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129</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129</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129</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129</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129</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129</v>
      </c>
      <c r="C443" s="56">
        <v>45728</v>
      </c>
      <c r="D443" s="123" t="s">
        <v>1194</v>
      </c>
      <c r="E443" s="123"/>
      <c r="G443" t="str">
        <f t="shared" si="6"/>
        <v>March</v>
      </c>
    </row>
    <row r="444" spans="1:7">
      <c r="A444" s="117" t="s">
        <v>835</v>
      </c>
      <c r="B444" s="243" t="s">
        <v>141</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129</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129</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129</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129</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129</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129</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1043</v>
      </c>
      <c r="B477" s="157" t="s">
        <v>914</v>
      </c>
      <c r="C477" s="56">
        <v>45728</v>
      </c>
      <c r="D477" s="150">
        <v>2760</v>
      </c>
      <c r="E477" s="150"/>
      <c r="F477" s="109" t="s">
        <v>1177</v>
      </c>
      <c r="G477" t="str">
        <f t="shared" si="7"/>
        <v>March</v>
      </c>
    </row>
    <row r="478" spans="1:7">
      <c r="A478" s="118" t="s">
        <v>911</v>
      </c>
      <c r="B478" s="243" t="s">
        <v>141</v>
      </c>
      <c r="C478" s="56">
        <v>45728</v>
      </c>
      <c r="D478" s="150">
        <v>1246</v>
      </c>
      <c r="E478" s="150"/>
      <c r="F478" s="109" t="s">
        <v>1230</v>
      </c>
      <c r="G478" t="str">
        <f t="shared" si="7"/>
        <v>March</v>
      </c>
    </row>
    <row r="479" spans="1:7" ht="15.75">
      <c r="A479" s="118" t="s">
        <v>708</v>
      </c>
      <c r="B479" s="242" t="s">
        <v>129</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129</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129</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129</v>
      </c>
      <c r="C493" s="56">
        <v>45729</v>
      </c>
      <c r="D493" s="123"/>
      <c r="E493" s="123"/>
      <c r="G493" t="str">
        <f t="shared" si="7"/>
        <v>March</v>
      </c>
    </row>
    <row r="494" spans="1:7">
      <c r="A494" s="117" t="s">
        <v>835</v>
      </c>
      <c r="B494" s="243" t="s">
        <v>141</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129</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129</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129</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129</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129</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129</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1043</v>
      </c>
      <c r="B527" s="157" t="s">
        <v>914</v>
      </c>
      <c r="C527" s="56">
        <v>45729</v>
      </c>
      <c r="D527" s="123">
        <v>945</v>
      </c>
      <c r="E527" s="123"/>
      <c r="G527" t="str">
        <f t="shared" si="8"/>
        <v>March</v>
      </c>
    </row>
    <row r="528" spans="1:7">
      <c r="A528" s="118" t="s">
        <v>911</v>
      </c>
      <c r="B528" s="243" t="s">
        <v>141</v>
      </c>
      <c r="C528" s="56">
        <v>45729</v>
      </c>
      <c r="D528" s="123">
        <v>664</v>
      </c>
      <c r="E528" s="123"/>
      <c r="F528" s="43" t="s">
        <v>1192</v>
      </c>
      <c r="G528" t="str">
        <f t="shared" si="8"/>
        <v>March</v>
      </c>
    </row>
    <row r="529" spans="1:7" ht="15.75">
      <c r="A529" s="118" t="s">
        <v>708</v>
      </c>
      <c r="B529" s="242" t="s">
        <v>129</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129</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129</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129</v>
      </c>
      <c r="C544" s="56">
        <v>45730</v>
      </c>
      <c r="D544" s="123"/>
      <c r="E544" s="123"/>
      <c r="F544" s="123" t="s">
        <v>1194</v>
      </c>
      <c r="G544" t="str">
        <f t="shared" si="8"/>
        <v>March</v>
      </c>
    </row>
    <row r="545" spans="1:7">
      <c r="A545" s="117" t="s">
        <v>835</v>
      </c>
      <c r="B545" s="243" t="s">
        <v>141</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129</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129</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129</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129</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129</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129</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1043</v>
      </c>
      <c r="B578" s="157" t="s">
        <v>914</v>
      </c>
      <c r="C578" s="56">
        <v>45730</v>
      </c>
      <c r="D578" s="150">
        <v>1073</v>
      </c>
      <c r="E578" s="150"/>
      <c r="F578" s="150"/>
      <c r="G578" t="str">
        <f t="shared" si="8"/>
        <v>March</v>
      </c>
    </row>
    <row r="579" spans="1:7">
      <c r="A579" s="118" t="s">
        <v>911</v>
      </c>
      <c r="B579" s="243" t="s">
        <v>141</v>
      </c>
      <c r="C579" s="56">
        <v>45730</v>
      </c>
      <c r="D579" s="123">
        <v>834</v>
      </c>
      <c r="E579" s="123"/>
      <c r="F579" s="109" t="s">
        <v>1245</v>
      </c>
      <c r="G579" t="str">
        <f t="shared" ref="G579:G642" si="9">TEXT(C579,"mmmm")</f>
        <v>March</v>
      </c>
    </row>
    <row r="580" spans="1:7" ht="15.75">
      <c r="A580" s="118" t="s">
        <v>708</v>
      </c>
      <c r="B580" s="242" t="s">
        <v>129</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129</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129</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129</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129</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129</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1043</v>
      </c>
      <c r="B611" s="157" t="s">
        <v>914</v>
      </c>
      <c r="C611" s="56">
        <v>45733</v>
      </c>
      <c r="D611" s="150">
        <v>2387</v>
      </c>
      <c r="E611" s="150"/>
      <c r="F611" s="150"/>
      <c r="G611" t="str">
        <f t="shared" si="9"/>
        <v>March</v>
      </c>
    </row>
    <row r="612" spans="1:7">
      <c r="A612" s="118" t="s">
        <v>911</v>
      </c>
      <c r="B612" s="243" t="s">
        <v>141</v>
      </c>
      <c r="C612" s="56">
        <v>45733</v>
      </c>
      <c r="D612" s="43">
        <v>1095</v>
      </c>
      <c r="E612" s="43"/>
      <c r="F612" s="123" t="s">
        <v>1249</v>
      </c>
      <c r="G612" t="str">
        <f t="shared" si="9"/>
        <v>March</v>
      </c>
    </row>
    <row r="613" spans="1:7" ht="15.75">
      <c r="A613" s="118" t="s">
        <v>708</v>
      </c>
      <c r="B613" s="242" t="s">
        <v>129</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129</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129</v>
      </c>
      <c r="C621" s="56">
        <v>45734</v>
      </c>
      <c r="E621" s="43"/>
      <c r="F621" s="134" t="s">
        <v>1252</v>
      </c>
      <c r="G621" t="str">
        <f t="shared" si="9"/>
        <v>March</v>
      </c>
    </row>
    <row r="622" spans="1:7" ht="15.75">
      <c r="A622" s="118" t="s">
        <v>946</v>
      </c>
      <c r="B622" s="242" t="s">
        <v>129</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1043</v>
      </c>
      <c r="B624" s="157" t="s">
        <v>914</v>
      </c>
      <c r="C624" s="56">
        <v>45734</v>
      </c>
      <c r="D624" s="43">
        <v>841</v>
      </c>
      <c r="E624" s="43"/>
      <c r="F624" s="43" t="s">
        <v>1254</v>
      </c>
      <c r="G624" t="str">
        <f t="shared" si="9"/>
        <v>March</v>
      </c>
    </row>
    <row r="625" spans="1:7">
      <c r="A625" s="118" t="s">
        <v>911</v>
      </c>
      <c r="B625" s="243" t="s">
        <v>141</v>
      </c>
      <c r="C625" s="56">
        <v>45734</v>
      </c>
      <c r="D625" s="43">
        <v>65</v>
      </c>
      <c r="E625" s="43"/>
      <c r="F625" s="43" t="s">
        <v>1255</v>
      </c>
      <c r="G625" t="str">
        <f t="shared" si="9"/>
        <v>March</v>
      </c>
    </row>
    <row r="626" spans="1:7">
      <c r="A626" s="241" t="s">
        <v>1034</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1043</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1034</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141</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1043</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1034</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141</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1043</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1034</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141</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1043</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1034</v>
      </c>
      <c r="B665" s="154" t="s">
        <v>813</v>
      </c>
      <c r="C665" s="56">
        <v>45737</v>
      </c>
      <c r="D665" s="123">
        <v>399</v>
      </c>
      <c r="E665" s="43"/>
      <c r="F665" s="109" t="s">
        <v>1273</v>
      </c>
      <c r="G665" t="str">
        <f t="shared" si="10"/>
        <v>March</v>
      </c>
    </row>
    <row r="666" spans="1:7">
      <c r="A666" s="210" t="s">
        <v>922</v>
      </c>
      <c r="B666" s="243" t="s">
        <v>141</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141</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129</v>
      </c>
      <c r="C677" s="56">
        <v>45740</v>
      </c>
      <c r="D677" s="142">
        <v>1430</v>
      </c>
      <c r="E677" s="109" t="s">
        <v>1173</v>
      </c>
      <c r="F677" s="109" t="s">
        <v>1282</v>
      </c>
      <c r="G677" t="str">
        <f t="shared" si="10"/>
        <v>March</v>
      </c>
    </row>
    <row r="678" spans="1:7" ht="15.75">
      <c r="A678" s="141" t="s">
        <v>819</v>
      </c>
      <c r="B678" s="242" t="s">
        <v>129</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1041</v>
      </c>
      <c r="B686" s="243" t="s">
        <v>141</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129</v>
      </c>
      <c r="C690" s="56">
        <v>45741</v>
      </c>
      <c r="D690" s="142">
        <v>1383</v>
      </c>
      <c r="E690" s="109" t="s">
        <v>1290</v>
      </c>
      <c r="F690" s="109" t="s">
        <v>1291</v>
      </c>
      <c r="G690" t="str">
        <f t="shared" si="10"/>
        <v>March</v>
      </c>
    </row>
    <row r="691" spans="1:7" ht="15.75">
      <c r="A691" s="141" t="s">
        <v>819</v>
      </c>
      <c r="B691" s="242" t="s">
        <v>129</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1043</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973</v>
      </c>
      <c r="B706" s="242" t="s">
        <v>129</v>
      </c>
      <c r="C706" s="56">
        <v>45741</v>
      </c>
      <c r="D706" s="155">
        <v>1740</v>
      </c>
      <c r="E706" s="43"/>
      <c r="G706" t="str">
        <f t="shared" si="10"/>
        <v>March</v>
      </c>
    </row>
    <row r="707" spans="1:7">
      <c r="A707" s="134" t="s">
        <v>401</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1039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129</v>
      </c>
      <c r="C713" s="56">
        <v>45742</v>
      </c>
      <c r="D713" s="209">
        <v>1334</v>
      </c>
      <c r="E713" s="109" t="s">
        <v>1212</v>
      </c>
      <c r="F713" s="109" t="s">
        <v>1173</v>
      </c>
      <c r="G713" t="str">
        <f t="shared" si="11"/>
        <v>March</v>
      </c>
    </row>
    <row r="714" spans="1:7" ht="15.75">
      <c r="A714" s="141" t="s">
        <v>819</v>
      </c>
      <c r="B714" s="242" t="s">
        <v>129</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1043</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973</v>
      </c>
      <c r="B725" s="242" t="s">
        <v>129</v>
      </c>
      <c r="C725" s="56">
        <v>45742</v>
      </c>
      <c r="D725" s="209">
        <v>2934</v>
      </c>
      <c r="E725" s="43"/>
      <c r="F725" s="109" t="s">
        <v>1305</v>
      </c>
      <c r="G725" t="str">
        <f t="shared" si="11"/>
        <v>March</v>
      </c>
    </row>
    <row r="726" spans="1:7">
      <c r="A726" s="134" t="s">
        <v>401</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1039</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129</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1043</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129</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1039</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129</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1043</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973</v>
      </c>
      <c r="B758" s="242" t="s">
        <v>129</v>
      </c>
      <c r="C758" s="56">
        <v>45744</v>
      </c>
      <c r="D758" s="210"/>
      <c r="E758" s="43"/>
      <c r="F758" s="210" t="s">
        <v>1315</v>
      </c>
      <c r="G758" t="str">
        <f t="shared" si="11"/>
        <v>March</v>
      </c>
    </row>
    <row r="759" spans="1:13">
      <c r="A759" s="134" t="s">
        <v>401</v>
      </c>
      <c r="B759" s="141" t="s">
        <v>891</v>
      </c>
      <c r="C759" s="56">
        <v>45744</v>
      </c>
      <c r="D759" s="210" t="s">
        <v>1194</v>
      </c>
      <c r="E759" s="43"/>
      <c r="G759" t="str">
        <f t="shared" si="11"/>
        <v>March</v>
      </c>
    </row>
    <row r="760" spans="1:13">
      <c r="A760" s="134" t="s">
        <v>973</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1039</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129</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1039</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973</v>
      </c>
      <c r="B775" s="242" t="s">
        <v>129</v>
      </c>
      <c r="C775" s="56">
        <v>45747</v>
      </c>
      <c r="D775" s="141">
        <v>418</v>
      </c>
      <c r="E775" s="43"/>
      <c r="G775" t="str">
        <f t="shared" si="12"/>
        <v>March</v>
      </c>
      <c r="H775" s="254"/>
      <c r="I775" s="254"/>
      <c r="J775" s="254"/>
      <c r="K775" s="164"/>
    </row>
    <row r="776" spans="1:11">
      <c r="A776" s="134" t="s">
        <v>401</v>
      </c>
      <c r="B776" s="141" t="s">
        <v>891</v>
      </c>
      <c r="C776" s="56">
        <v>45747</v>
      </c>
      <c r="D776" s="141">
        <v>499</v>
      </c>
      <c r="E776" s="43"/>
      <c r="F776" s="109" t="s">
        <v>1331</v>
      </c>
      <c r="G776" t="str">
        <f t="shared" si="12"/>
        <v>March</v>
      </c>
      <c r="H776" s="164"/>
      <c r="I776" s="164"/>
      <c r="J776" s="164"/>
      <c r="K776" s="164"/>
    </row>
    <row r="777" spans="1:11">
      <c r="A777" s="134" t="s">
        <v>973</v>
      </c>
      <c r="B777" s="141" t="s">
        <v>657</v>
      </c>
      <c r="C777" s="56">
        <v>45747</v>
      </c>
      <c r="D777" s="141">
        <v>0</v>
      </c>
      <c r="E777" s="43"/>
      <c r="F777" s="141" t="s">
        <v>1193</v>
      </c>
      <c r="G777" t="str">
        <f t="shared" si="12"/>
        <v>March</v>
      </c>
      <c r="H777" s="164"/>
      <c r="I777" s="164"/>
      <c r="J777" s="164"/>
      <c r="K777" s="164"/>
    </row>
    <row r="778" spans="1:11" ht="15.75">
      <c r="A778" s="141" t="s">
        <v>664</v>
      </c>
      <c r="B778" s="242" t="s">
        <v>129</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1039</v>
      </c>
      <c r="B780" s="141" t="s">
        <v>1091</v>
      </c>
      <c r="C780" s="56">
        <v>45748</v>
      </c>
      <c r="D780" s="141" t="s">
        <v>1194</v>
      </c>
      <c r="E780" s="43"/>
      <c r="G780" t="str">
        <f t="shared" si="12"/>
        <v>April</v>
      </c>
      <c r="H780" s="164"/>
      <c r="I780" s="164"/>
      <c r="J780" s="164"/>
      <c r="K780" s="164"/>
    </row>
    <row r="781" spans="1:11">
      <c r="A781" s="141" t="s">
        <v>1034</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1039</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129</v>
      </c>
      <c r="C789" s="56">
        <v>45748</v>
      </c>
      <c r="D789" s="141" t="s">
        <v>1332</v>
      </c>
      <c r="E789" s="43"/>
      <c r="G789" t="str">
        <f t="shared" si="12"/>
        <v>April</v>
      </c>
      <c r="H789" s="164"/>
      <c r="I789" s="164"/>
      <c r="J789" s="164"/>
      <c r="K789" s="164"/>
    </row>
    <row r="790" spans="1:11" ht="15.75">
      <c r="A790" s="141" t="s">
        <v>664</v>
      </c>
      <c r="B790" s="242" t="s">
        <v>129</v>
      </c>
      <c r="C790" s="56">
        <v>45748</v>
      </c>
      <c r="D790" s="141"/>
      <c r="E790" s="43"/>
      <c r="F790" s="141" t="s">
        <v>1333</v>
      </c>
      <c r="G790" t="str">
        <f t="shared" si="12"/>
        <v>April</v>
      </c>
      <c r="H790" s="164"/>
      <c r="I790" s="164"/>
      <c r="J790" s="164"/>
      <c r="K790" s="164"/>
    </row>
    <row r="791" spans="1:11">
      <c r="A791" s="134" t="s">
        <v>401</v>
      </c>
      <c r="B791" s="141" t="s">
        <v>891</v>
      </c>
      <c r="C791" s="56">
        <v>45748</v>
      </c>
      <c r="D791" s="141" t="s">
        <v>1194</v>
      </c>
      <c r="E791" s="43"/>
      <c r="G791" t="str">
        <f t="shared" si="12"/>
        <v>April</v>
      </c>
      <c r="H791" s="164"/>
      <c r="I791" s="164"/>
      <c r="J791" s="164"/>
      <c r="K791" s="164"/>
    </row>
    <row r="792" spans="1:11">
      <c r="A792" s="134" t="s">
        <v>973</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1039</v>
      </c>
      <c r="B794" s="141" t="s">
        <v>1091</v>
      </c>
      <c r="C794" s="56">
        <v>45749</v>
      </c>
      <c r="D794" s="141" t="s">
        <v>1194</v>
      </c>
      <c r="E794" s="43"/>
      <c r="G794" t="str">
        <f t="shared" si="12"/>
        <v>April</v>
      </c>
      <c r="H794" s="164"/>
      <c r="I794" s="164"/>
      <c r="J794" s="164"/>
      <c r="K794" s="164"/>
    </row>
    <row r="795" spans="1:11">
      <c r="A795" s="141" t="s">
        <v>1034</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1039</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129</v>
      </c>
      <c r="C803" s="56">
        <v>45749</v>
      </c>
      <c r="D803" s="142">
        <v>1394</v>
      </c>
      <c r="E803" s="43"/>
      <c r="F803" s="43" t="s">
        <v>1172</v>
      </c>
      <c r="G803" t="str">
        <f t="shared" si="12"/>
        <v>April</v>
      </c>
    </row>
    <row r="804" spans="1:11" ht="15.75">
      <c r="A804" s="141" t="s">
        <v>664</v>
      </c>
      <c r="B804" s="242" t="s">
        <v>129</v>
      </c>
      <c r="C804" s="56">
        <v>45749</v>
      </c>
      <c r="D804" s="141">
        <v>0</v>
      </c>
      <c r="E804" s="43"/>
      <c r="F804" s="141" t="s">
        <v>1333</v>
      </c>
      <c r="G804" t="str">
        <f t="shared" si="12"/>
        <v>April</v>
      </c>
    </row>
    <row r="805" spans="1:11">
      <c r="A805" s="134" t="s">
        <v>401</v>
      </c>
      <c r="B805" s="141" t="s">
        <v>891</v>
      </c>
      <c r="C805" s="56">
        <v>45749</v>
      </c>
      <c r="D805" s="141" t="s">
        <v>1194</v>
      </c>
      <c r="E805" s="43"/>
      <c r="G805" t="str">
        <f t="shared" si="12"/>
        <v>April</v>
      </c>
    </row>
    <row r="806" spans="1:11">
      <c r="A806" s="134" t="s">
        <v>973</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1039</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141</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129</v>
      </c>
      <c r="C816" s="56">
        <v>45750</v>
      </c>
      <c r="D816" s="155">
        <v>1334</v>
      </c>
      <c r="E816" s="43"/>
      <c r="F816" s="43" t="s">
        <v>1341</v>
      </c>
      <c r="G816" t="str">
        <f t="shared" si="12"/>
        <v>April</v>
      </c>
    </row>
    <row r="817" spans="1:7" ht="15.75">
      <c r="A817" s="141" t="s">
        <v>710</v>
      </c>
      <c r="B817" s="242" t="s">
        <v>129</v>
      </c>
      <c r="C817" s="56">
        <v>45750</v>
      </c>
      <c r="D817" s="155">
        <v>1970</v>
      </c>
      <c r="E817" s="43"/>
      <c r="F817" s="43" t="s">
        <v>1342</v>
      </c>
      <c r="G817" t="str">
        <f t="shared" si="12"/>
        <v>April</v>
      </c>
    </row>
    <row r="818" spans="1:7" ht="15.75">
      <c r="A818" s="141" t="s">
        <v>664</v>
      </c>
      <c r="B818" s="242" t="s">
        <v>129</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973</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141</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129</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973</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129</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1043</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129</v>
      </c>
      <c r="C845" s="56">
        <v>45754</v>
      </c>
      <c r="D845" s="43">
        <v>618</v>
      </c>
      <c r="E845" s="43"/>
      <c r="F845" s="43" t="s">
        <v>1353</v>
      </c>
      <c r="G845" t="str">
        <f t="shared" si="13"/>
        <v>April</v>
      </c>
    </row>
    <row r="846" spans="1:7" ht="15.75">
      <c r="A846" s="141" t="s">
        <v>712</v>
      </c>
      <c r="B846" s="242" t="s">
        <v>129</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1043</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129</v>
      </c>
      <c r="C851" s="56">
        <v>45755</v>
      </c>
      <c r="D851" s="43">
        <v>700</v>
      </c>
      <c r="E851" s="43"/>
      <c r="F851" s="43" t="s">
        <v>1177</v>
      </c>
      <c r="G851" t="str">
        <f t="shared" si="13"/>
        <v>April</v>
      </c>
    </row>
    <row r="852" spans="1:7" ht="15.75">
      <c r="A852" s="141" t="s">
        <v>712</v>
      </c>
      <c r="B852" s="242" t="s">
        <v>129</v>
      </c>
      <c r="C852" s="56">
        <v>45755</v>
      </c>
      <c r="D852" s="155">
        <v>1520</v>
      </c>
      <c r="E852" s="43"/>
      <c r="F852" s="43" t="s">
        <v>1258</v>
      </c>
      <c r="G852" t="str">
        <f t="shared" si="13"/>
        <v>April</v>
      </c>
    </row>
    <row r="853" spans="1:7" ht="15.75">
      <c r="A853" s="141" t="s">
        <v>764</v>
      </c>
      <c r="B853" s="242" t="s">
        <v>129</v>
      </c>
      <c r="C853" s="56">
        <v>45755</v>
      </c>
      <c r="D853" s="43">
        <v>150</v>
      </c>
      <c r="E853" s="43"/>
      <c r="G853" t="str">
        <f t="shared" si="13"/>
        <v>April</v>
      </c>
    </row>
    <row r="854" spans="1:7" ht="15.75">
      <c r="A854" s="141" t="s">
        <v>664</v>
      </c>
      <c r="B854" s="242" t="s">
        <v>129</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973</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129</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129</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973</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141</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129</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141</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129</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129</v>
      </c>
      <c r="C890" s="56">
        <v>45761</v>
      </c>
      <c r="D890" s="155">
        <v>1335</v>
      </c>
      <c r="E890" s="43"/>
      <c r="F890" s="43" t="s">
        <v>1172</v>
      </c>
      <c r="G890" t="str">
        <f t="shared" si="13"/>
        <v>April</v>
      </c>
    </row>
    <row r="891" spans="1:7" ht="15.75">
      <c r="A891" s="141" t="s">
        <v>900</v>
      </c>
      <c r="B891" s="242" t="s">
        <v>129</v>
      </c>
      <c r="C891" s="56">
        <v>45761</v>
      </c>
      <c r="E891" s="43"/>
      <c r="G891" t="str">
        <f t="shared" si="13"/>
        <v>April</v>
      </c>
    </row>
    <row r="892" spans="1:7">
      <c r="A892" s="141" t="s">
        <v>902</v>
      </c>
      <c r="B892" s="243" t="s">
        <v>141</v>
      </c>
      <c r="C892" s="56">
        <v>45761</v>
      </c>
      <c r="D892" s="43">
        <v>796</v>
      </c>
      <c r="E892" s="43"/>
      <c r="F892" s="43" t="s">
        <v>1370</v>
      </c>
      <c r="G892" t="str">
        <f t="shared" si="13"/>
        <v>April</v>
      </c>
    </row>
    <row r="893" spans="1:7">
      <c r="A893" s="141" t="s">
        <v>1036</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129</v>
      </c>
      <c r="C900" s="56">
        <v>45762</v>
      </c>
      <c r="D900" s="155">
        <v>1133</v>
      </c>
      <c r="E900" s="43"/>
      <c r="F900" s="43" t="s">
        <v>1373</v>
      </c>
      <c r="G900" t="str">
        <f t="shared" si="14"/>
        <v>April</v>
      </c>
    </row>
    <row r="901" spans="1:7" ht="15.75">
      <c r="A901" s="141" t="s">
        <v>900</v>
      </c>
      <c r="B901" s="242" t="s">
        <v>129</v>
      </c>
      <c r="C901" s="56">
        <v>45762</v>
      </c>
      <c r="D901" s="155">
        <v>1526</v>
      </c>
      <c r="E901" s="43"/>
      <c r="F901" s="43" t="s">
        <v>1374</v>
      </c>
      <c r="G901" t="str">
        <f t="shared" si="14"/>
        <v>April</v>
      </c>
    </row>
    <row r="902" spans="1:7">
      <c r="A902" s="141" t="s">
        <v>902</v>
      </c>
      <c r="B902" s="243" t="s">
        <v>141</v>
      </c>
      <c r="C902" s="56">
        <v>45762</v>
      </c>
      <c r="D902" s="155">
        <v>1929</v>
      </c>
      <c r="E902" s="43"/>
      <c r="F902" s="43" t="s">
        <v>1375</v>
      </c>
      <c r="G902" t="str">
        <f t="shared" si="14"/>
        <v>April</v>
      </c>
    </row>
    <row r="903" spans="1:7">
      <c r="A903" s="141" t="s">
        <v>1036</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129</v>
      </c>
      <c r="C914" s="56">
        <v>45763</v>
      </c>
      <c r="D914" s="155">
        <v>1624</v>
      </c>
      <c r="E914" s="43"/>
      <c r="F914" s="43" t="s">
        <v>1381</v>
      </c>
      <c r="G914" t="str">
        <f t="shared" si="14"/>
        <v>April</v>
      </c>
    </row>
    <row r="915" spans="1:7" ht="15.75">
      <c r="A915" s="141" t="s">
        <v>900</v>
      </c>
      <c r="B915" s="242" t="s">
        <v>129</v>
      </c>
      <c r="C915" s="56">
        <v>45763</v>
      </c>
      <c r="D915" s="155">
        <v>1503</v>
      </c>
      <c r="E915" s="43"/>
      <c r="F915" s="43" t="s">
        <v>1382</v>
      </c>
      <c r="G915" t="str">
        <f t="shared" si="14"/>
        <v>April</v>
      </c>
    </row>
    <row r="916" spans="1:7">
      <c r="A916" s="141" t="s">
        <v>902</v>
      </c>
      <c r="B916" s="243" t="s">
        <v>141</v>
      </c>
      <c r="C916" s="56">
        <v>45763</v>
      </c>
      <c r="D916" s="43">
        <v>876</v>
      </c>
      <c r="E916" s="43"/>
      <c r="F916" s="78" t="s">
        <v>1383</v>
      </c>
      <c r="G916" t="str">
        <f t="shared" si="14"/>
        <v>April</v>
      </c>
    </row>
    <row r="917" spans="1:7">
      <c r="A917" s="141" t="s">
        <v>1036</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141</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141</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129</v>
      </c>
      <c r="C928" s="56">
        <v>45764</v>
      </c>
      <c r="E928" s="43"/>
      <c r="F928" s="141" t="s">
        <v>1388</v>
      </c>
      <c r="G928" t="str">
        <f t="shared" si="14"/>
        <v>April</v>
      </c>
    </row>
    <row r="929" spans="1:7">
      <c r="A929" s="141" t="s">
        <v>900</v>
      </c>
      <c r="B929" s="141" t="s">
        <v>129</v>
      </c>
      <c r="C929" s="56">
        <v>45764</v>
      </c>
      <c r="D929" s="155">
        <v>1590</v>
      </c>
      <c r="E929" s="43"/>
      <c r="F929" s="43" t="s">
        <v>1183</v>
      </c>
      <c r="G929" t="str">
        <f t="shared" si="14"/>
        <v>April</v>
      </c>
    </row>
    <row r="930" spans="1:7">
      <c r="A930" s="305" t="s">
        <v>902</v>
      </c>
      <c r="B930" s="305" t="s">
        <v>141</v>
      </c>
      <c r="C930" s="56">
        <v>45764</v>
      </c>
      <c r="D930" s="43">
        <v>651</v>
      </c>
      <c r="E930" s="43"/>
      <c r="F930" s="43" t="s">
        <v>1389</v>
      </c>
      <c r="G930" t="str">
        <f t="shared" si="14"/>
        <v>April</v>
      </c>
    </row>
    <row r="931" spans="1:7">
      <c r="A931" s="141" t="s">
        <v>1036</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1039</v>
      </c>
      <c r="B934" s="306" t="s">
        <v>141</v>
      </c>
      <c r="C934" s="310">
        <v>45764</v>
      </c>
      <c r="D934" s="43">
        <v>433</v>
      </c>
      <c r="E934" s="43"/>
      <c r="F934" s="78" t="s">
        <v>1192</v>
      </c>
      <c r="G934" t="str">
        <f t="shared" si="14"/>
        <v>April</v>
      </c>
    </row>
    <row r="935" spans="1:7">
      <c r="A935" s="308" t="s">
        <v>694</v>
      </c>
      <c r="B935" s="141" t="s">
        <v>129</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129</v>
      </c>
      <c r="C940" s="56">
        <v>45765</v>
      </c>
      <c r="D940" s="43">
        <v>350</v>
      </c>
      <c r="E940" s="43"/>
      <c r="F940" s="43" t="s">
        <v>1174</v>
      </c>
      <c r="G940" t="str">
        <f t="shared" si="14"/>
        <v>April</v>
      </c>
    </row>
    <row r="941" spans="1:7">
      <c r="A941" s="141" t="s">
        <v>900</v>
      </c>
      <c r="B941" s="141" t="s">
        <v>129</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1036</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129</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129</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141</v>
      </c>
      <c r="C955" s="56">
        <v>45768</v>
      </c>
      <c r="D955" s="155">
        <v>1285</v>
      </c>
      <c r="F955" s="43" t="s">
        <v>1406</v>
      </c>
      <c r="G955" t="str">
        <f t="shared" si="15"/>
        <v>April</v>
      </c>
    </row>
    <row r="956" spans="1:7">
      <c r="A956" s="304" t="s">
        <v>900</v>
      </c>
      <c r="B956" s="305" t="s">
        <v>129</v>
      </c>
      <c r="C956" s="56">
        <v>45768</v>
      </c>
      <c r="F956" s="154" t="s">
        <v>1407</v>
      </c>
      <c r="G956" t="str">
        <f t="shared" si="15"/>
        <v>April</v>
      </c>
    </row>
    <row r="957" spans="1:7">
      <c r="A957" s="304" t="s">
        <v>902</v>
      </c>
      <c r="B957" s="141" t="s">
        <v>141</v>
      </c>
      <c r="C957" s="56">
        <v>45768</v>
      </c>
      <c r="F957" s="141" t="s">
        <v>1408</v>
      </c>
      <c r="G957" t="str">
        <f t="shared" si="15"/>
        <v>April</v>
      </c>
    </row>
    <row r="958" spans="1:7">
      <c r="A958" s="304" t="s">
        <v>1036</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141</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1036</v>
      </c>
      <c r="B968" s="304" t="s">
        <v>842</v>
      </c>
      <c r="C968" s="319">
        <v>45769</v>
      </c>
      <c r="F968" s="169" t="s">
        <v>1371</v>
      </c>
      <c r="G968" t="str">
        <f t="shared" si="15"/>
        <v>April</v>
      </c>
    </row>
    <row r="969" spans="1:7">
      <c r="A969" s="304" t="s">
        <v>922</v>
      </c>
      <c r="B969" s="304" t="s">
        <v>141</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129</v>
      </c>
      <c r="C973" s="319">
        <v>45769</v>
      </c>
      <c r="D973" s="43">
        <v>932</v>
      </c>
      <c r="F973" s="43" t="s">
        <v>1175</v>
      </c>
      <c r="G973" t="str">
        <f t="shared" si="15"/>
        <v>April</v>
      </c>
    </row>
    <row r="974" spans="1:7">
      <c r="A974" s="154" t="s">
        <v>796</v>
      </c>
      <c r="B974" s="141" t="s">
        <v>129</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141</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129</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141</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1036</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129</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141</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1036</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129</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141</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141</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129</v>
      </c>
      <c r="C1029" s="56">
        <v>45776</v>
      </c>
      <c r="D1029" s="155">
        <v>1520</v>
      </c>
      <c r="F1029" s="43" t="s">
        <v>1172</v>
      </c>
      <c r="G1029" t="str">
        <f t="shared" si="16"/>
        <v>April</v>
      </c>
    </row>
    <row r="1030" spans="1:7">
      <c r="A1030" s="311" t="s">
        <v>694</v>
      </c>
      <c r="B1030" s="311" t="s">
        <v>129</v>
      </c>
      <c r="C1030" s="56">
        <v>45776</v>
      </c>
      <c r="D1030" s="43">
        <v>470</v>
      </c>
      <c r="F1030" s="43" t="s">
        <v>1167</v>
      </c>
      <c r="G1030" t="str">
        <f t="shared" si="16"/>
        <v>April</v>
      </c>
    </row>
    <row r="1031" spans="1:7">
      <c r="A1031" s="247" t="s">
        <v>744</v>
      </c>
      <c r="B1031" s="311" t="s">
        <v>129</v>
      </c>
      <c r="C1031" s="56">
        <v>45776</v>
      </c>
      <c r="D1031" s="155">
        <v>1190</v>
      </c>
      <c r="F1031" s="43" t="s">
        <v>1172</v>
      </c>
      <c r="G1031" t="str">
        <f t="shared" si="16"/>
        <v>April</v>
      </c>
    </row>
    <row r="1032" spans="1:7">
      <c r="A1032" s="141" t="s">
        <v>1036</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141</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129</v>
      </c>
      <c r="C1040" s="56">
        <v>45777</v>
      </c>
      <c r="D1040" s="155">
        <v>1216</v>
      </c>
      <c r="E1040" s="43"/>
      <c r="F1040" s="43" t="s">
        <v>1188</v>
      </c>
      <c r="G1040" t="str">
        <f t="shared" si="16"/>
        <v>April</v>
      </c>
    </row>
    <row r="1041" spans="1:7">
      <c r="A1041" s="141" t="s">
        <v>744</v>
      </c>
      <c r="B1041" s="141" t="s">
        <v>129</v>
      </c>
      <c r="C1041" s="56">
        <v>45777</v>
      </c>
      <c r="D1041" s="155">
        <v>1033</v>
      </c>
      <c r="E1041" s="43"/>
      <c r="F1041" s="43" t="s">
        <v>1461</v>
      </c>
      <c r="G1041" t="str">
        <f t="shared" si="16"/>
        <v>April</v>
      </c>
    </row>
    <row r="1042" spans="1:7">
      <c r="A1042" s="141" t="s">
        <v>1036</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141</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129</v>
      </c>
      <c r="C1051" s="56">
        <v>45778</v>
      </c>
      <c r="D1051" s="155">
        <v>1098</v>
      </c>
      <c r="E1051" s="43"/>
      <c r="F1051" s="43" t="s">
        <v>1466</v>
      </c>
      <c r="G1051" t="str">
        <f t="shared" si="16"/>
        <v>May</v>
      </c>
    </row>
    <row r="1052" spans="1:7">
      <c r="A1052" s="154" t="s">
        <v>744</v>
      </c>
      <c r="B1052" s="141" t="s">
        <v>129</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141</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129</v>
      </c>
      <c r="C1067" s="56">
        <v>45782</v>
      </c>
      <c r="D1067" s="155">
        <v>1053</v>
      </c>
      <c r="F1067" s="43" t="s">
        <v>1476</v>
      </c>
      <c r="G1067" t="str">
        <f t="shared" si="17"/>
        <v>May</v>
      </c>
    </row>
    <row r="1068" spans="1:7">
      <c r="A1068" s="154" t="s">
        <v>746</v>
      </c>
      <c r="B1068" s="318" t="s">
        <v>129</v>
      </c>
      <c r="C1068" s="56">
        <v>45782</v>
      </c>
      <c r="D1068" s="43">
        <v>575</v>
      </c>
      <c r="F1068" s="43" t="s">
        <v>1477</v>
      </c>
      <c r="G1068" t="str">
        <f t="shared" si="17"/>
        <v>May</v>
      </c>
    </row>
    <row r="1069" spans="1:7">
      <c r="A1069" s="345" t="s">
        <v>694</v>
      </c>
      <c r="B1069" s="349" t="s">
        <v>129</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141</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129</v>
      </c>
      <c r="C1078" s="56">
        <v>45783</v>
      </c>
      <c r="D1078" s="43">
        <v>812</v>
      </c>
      <c r="F1078" s="43" t="s">
        <v>1483</v>
      </c>
      <c r="G1078" t="str">
        <f t="shared" si="18"/>
        <v>May</v>
      </c>
    </row>
    <row r="1079" spans="1:7">
      <c r="A1079" s="154" t="s">
        <v>746</v>
      </c>
      <c r="B1079" s="318" t="s">
        <v>129</v>
      </c>
      <c r="C1079" s="56">
        <v>45783</v>
      </c>
      <c r="D1079" s="155">
        <v>1847</v>
      </c>
      <c r="F1079" s="43" t="s">
        <v>1484</v>
      </c>
      <c r="G1079" t="str">
        <f t="shared" si="18"/>
        <v>May</v>
      </c>
    </row>
    <row r="1080" spans="1:7">
      <c r="A1080" s="345" t="s">
        <v>742</v>
      </c>
      <c r="B1080" s="349" t="s">
        <v>129</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129</v>
      </c>
      <c r="C1089" s="56">
        <v>45784</v>
      </c>
      <c r="D1089" s="155">
        <v>1052</v>
      </c>
      <c r="F1089" s="43" t="s">
        <v>1488</v>
      </c>
      <c r="G1089" t="str">
        <f>TEXT(C1089,"mmmm")</f>
        <v>May</v>
      </c>
    </row>
    <row r="1090" spans="1:7">
      <c r="A1090" s="345" t="s">
        <v>742</v>
      </c>
      <c r="B1090" s="349" t="s">
        <v>129</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129</v>
      </c>
      <c r="C1100" s="56">
        <v>45785</v>
      </c>
      <c r="D1100" s="155">
        <v>1483</v>
      </c>
      <c r="F1100" s="43" t="s">
        <v>1494</v>
      </c>
      <c r="G1100" t="str">
        <f t="shared" si="19"/>
        <v>May</v>
      </c>
    </row>
    <row r="1101" spans="1:7">
      <c r="A1101" s="345" t="s">
        <v>746</v>
      </c>
      <c r="B1101" s="304" t="s">
        <v>129</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129</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129</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129</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141</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129</v>
      </c>
      <c r="C1148" s="56">
        <v>45796</v>
      </c>
      <c r="D1148" s="43">
        <v>270</v>
      </c>
      <c r="F1148" s="43" t="s">
        <v>1233</v>
      </c>
      <c r="G1148" t="str">
        <f t="shared" si="21"/>
        <v>May</v>
      </c>
    </row>
    <row r="1149" spans="1:7">
      <c r="A1149" s="345" t="s">
        <v>773</v>
      </c>
      <c r="B1149" s="304" t="s">
        <v>129</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129</v>
      </c>
      <c r="C1158" s="56">
        <v>45797</v>
      </c>
      <c r="D1158" s="155">
        <v>1430</v>
      </c>
      <c r="F1158" s="43" t="s">
        <v>1255</v>
      </c>
      <c r="G1158" t="str">
        <f t="shared" si="21"/>
        <v>May</v>
      </c>
    </row>
    <row r="1159" spans="1:7">
      <c r="A1159" s="134" t="s">
        <v>803</v>
      </c>
      <c r="B1159" s="141" t="s">
        <v>141</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129</v>
      </c>
      <c r="C1164" s="56">
        <v>45798</v>
      </c>
      <c r="D1164" s="43">
        <v>678</v>
      </c>
      <c r="E1164" s="321">
        <v>2850</v>
      </c>
      <c r="F1164" s="43" t="s">
        <v>1525</v>
      </c>
      <c r="G1164" t="str">
        <f t="shared" si="21"/>
        <v>May</v>
      </c>
    </row>
    <row r="1165" spans="1:7">
      <c r="A1165" s="345" t="s">
        <v>773</v>
      </c>
      <c r="B1165" s="304" t="s">
        <v>129</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129</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141</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129</v>
      </c>
      <c r="C1183" s="56">
        <v>45804</v>
      </c>
      <c r="D1183" s="43">
        <v>948</v>
      </c>
      <c r="F1183" s="43" t="s">
        <v>1534</v>
      </c>
      <c r="G1183" t="str">
        <f t="shared" si="21"/>
        <v>May</v>
      </c>
    </row>
    <row r="1184" spans="1:7">
      <c r="A1184" s="304" t="s">
        <v>676</v>
      </c>
      <c r="B1184" s="304" t="s">
        <v>129</v>
      </c>
      <c r="C1184" s="56">
        <v>45804</v>
      </c>
      <c r="D1184" s="43">
        <v>954</v>
      </c>
      <c r="F1184" s="43" t="s">
        <v>1535</v>
      </c>
      <c r="G1184" t="str">
        <f t="shared" ref="G1184:G1202" si="22">TEXT(C1184,"mmmm")</f>
        <v>May</v>
      </c>
    </row>
    <row r="1185" spans="1:7">
      <c r="A1185" s="345" t="s">
        <v>987</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129</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129</v>
      </c>
      <c r="C1195" s="56">
        <v>45806</v>
      </c>
      <c r="D1195" s="155">
        <v>2248</v>
      </c>
      <c r="F1195" s="43" t="s">
        <v>1539</v>
      </c>
      <c r="G1195" t="str">
        <f t="shared" si="22"/>
        <v>May</v>
      </c>
    </row>
    <row r="1196" spans="1:7">
      <c r="A1196" s="318" t="s">
        <v>773</v>
      </c>
      <c r="B1196" s="307" t="s">
        <v>129</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979</v>
      </c>
      <c r="B1203" s="141" t="s">
        <v>129</v>
      </c>
      <c r="C1203" s="56">
        <v>45810</v>
      </c>
      <c r="D1203" s="43">
        <v>800</v>
      </c>
      <c r="G1203" t="s">
        <v>1542</v>
      </c>
    </row>
    <row r="1204" spans="1:7">
      <c r="A1204" s="349" t="s">
        <v>987</v>
      </c>
      <c r="B1204" s="307" t="s">
        <v>1093</v>
      </c>
      <c r="C1204" s="56">
        <v>45810</v>
      </c>
      <c r="D1204" s="43">
        <v>275</v>
      </c>
      <c r="G1204" t="s">
        <v>1542</v>
      </c>
    </row>
    <row r="1205" spans="1:7">
      <c r="A1205" s="349" t="s">
        <v>773</v>
      </c>
      <c r="B1205" s="141" t="s">
        <v>129</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141</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979</v>
      </c>
      <c r="B1212" s="141" t="s">
        <v>129</v>
      </c>
      <c r="C1212" s="56">
        <v>45811</v>
      </c>
      <c r="D1212" s="43">
        <v>631</v>
      </c>
      <c r="F1212" s="43" t="s">
        <v>1540</v>
      </c>
      <c r="G1212" t="s">
        <v>1542</v>
      </c>
    </row>
    <row r="1213" spans="1:7">
      <c r="A1213" s="349" t="s">
        <v>987</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141</v>
      </c>
      <c r="C1216" s="56">
        <v>45812</v>
      </c>
      <c r="D1216" s="43">
        <v>83</v>
      </c>
      <c r="G1216" t="s">
        <v>1542</v>
      </c>
    </row>
    <row r="1217" spans="1:7">
      <c r="A1217" s="304" t="s">
        <v>512</v>
      </c>
      <c r="B1217" s="304" t="s">
        <v>141</v>
      </c>
      <c r="C1217" s="56">
        <v>45812</v>
      </c>
      <c r="F1217" s="141" t="s">
        <v>1547</v>
      </c>
      <c r="G1217" t="s">
        <v>1542</v>
      </c>
    </row>
    <row r="1218" spans="1:7">
      <c r="A1218" s="141" t="s">
        <v>979</v>
      </c>
      <c r="B1218" s="141" t="s">
        <v>129</v>
      </c>
      <c r="C1218" s="56">
        <v>45812</v>
      </c>
      <c r="D1218" s="155">
        <v>1401</v>
      </c>
      <c r="G1218" t="s">
        <v>1542</v>
      </c>
    </row>
    <row r="1219" spans="1:7">
      <c r="A1219" s="349" t="s">
        <v>987</v>
      </c>
      <c r="B1219" s="304" t="s">
        <v>1093</v>
      </c>
      <c r="C1219" s="56">
        <v>45812</v>
      </c>
      <c r="D1219" s="43">
        <v>310</v>
      </c>
      <c r="G1219" t="s">
        <v>1542</v>
      </c>
    </row>
    <row r="1220" spans="1:7">
      <c r="A1220" s="349" t="s">
        <v>748</v>
      </c>
      <c r="B1220" s="307" t="s">
        <v>129</v>
      </c>
      <c r="C1220" s="56">
        <v>45812</v>
      </c>
      <c r="D1220" s="43">
        <v>610</v>
      </c>
      <c r="F1220" s="43" t="s">
        <v>1548</v>
      </c>
      <c r="G1220" t="s">
        <v>1542</v>
      </c>
    </row>
    <row r="1221" spans="1:7">
      <c r="A1221" s="345" t="s">
        <v>773</v>
      </c>
      <c r="B1221" s="304" t="s">
        <v>129</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987</v>
      </c>
      <c r="B1225" s="141" t="s">
        <v>1093</v>
      </c>
      <c r="C1225" s="56">
        <v>45813</v>
      </c>
      <c r="F1225" s="320" t="s">
        <v>1371</v>
      </c>
      <c r="G1225" t="s">
        <v>1542</v>
      </c>
    </row>
    <row r="1226" spans="1:7">
      <c r="A1226" s="348" t="s">
        <v>748</v>
      </c>
      <c r="B1226" s="357" t="s">
        <v>129</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979</v>
      </c>
      <c r="B1230" s="141" t="s">
        <v>129</v>
      </c>
      <c r="C1230" s="56">
        <v>45817</v>
      </c>
      <c r="D1230" s="155">
        <v>1100</v>
      </c>
      <c r="G1230" t="s">
        <v>1542</v>
      </c>
    </row>
    <row r="1231" spans="1:7">
      <c r="A1231" s="304" t="s">
        <v>796</v>
      </c>
      <c r="B1231" s="304" t="s">
        <v>129</v>
      </c>
      <c r="C1231" s="56">
        <v>45817</v>
      </c>
      <c r="D1231" s="43">
        <v>115</v>
      </c>
      <c r="G1231" t="s">
        <v>1542</v>
      </c>
    </row>
    <row r="1232" spans="1:7">
      <c r="A1232" s="304" t="s">
        <v>1130</v>
      </c>
      <c r="B1232" s="304" t="s">
        <v>1093</v>
      </c>
      <c r="C1232" s="56">
        <v>45817</v>
      </c>
      <c r="D1232" s="43">
        <v>155</v>
      </c>
      <c r="G1232" t="s">
        <v>1542</v>
      </c>
    </row>
    <row r="1233" spans="1:7">
      <c r="A1233" s="345" t="s">
        <v>987</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129</v>
      </c>
      <c r="C1235" s="56">
        <v>45818</v>
      </c>
      <c r="D1235" s="155">
        <v>1293</v>
      </c>
      <c r="F1235" s="43" t="s">
        <v>1553</v>
      </c>
      <c r="G1235" t="s">
        <v>1542</v>
      </c>
    </row>
    <row r="1236" spans="1:7">
      <c r="A1236" s="345" t="s">
        <v>987</v>
      </c>
      <c r="B1236" s="304" t="s">
        <v>1093</v>
      </c>
      <c r="C1236" s="56">
        <v>45818</v>
      </c>
      <c r="D1236" s="43">
        <v>270</v>
      </c>
      <c r="G1236" t="s">
        <v>1542</v>
      </c>
    </row>
    <row r="1237" spans="1:7">
      <c r="A1237" s="141" t="s">
        <v>664</v>
      </c>
      <c r="B1237" s="141" t="s">
        <v>822</v>
      </c>
      <c r="C1237" s="56">
        <v>45818</v>
      </c>
      <c r="D1237" s="43">
        <v>583</v>
      </c>
      <c r="G1237" t="s">
        <v>1542</v>
      </c>
    </row>
    <row r="1238" spans="1:7">
      <c r="A1238" s="154" t="s">
        <v>979</v>
      </c>
      <c r="B1238" s="141" t="s">
        <v>129</v>
      </c>
      <c r="C1238" s="56">
        <v>45819</v>
      </c>
      <c r="D1238" s="155">
        <v>1975</v>
      </c>
      <c r="F1238" s="43" t="s">
        <v>1540</v>
      </c>
      <c r="G1238" t="s">
        <v>1542</v>
      </c>
    </row>
    <row r="1239" spans="1:7">
      <c r="A1239" s="364" t="s">
        <v>676</v>
      </c>
      <c r="B1239" s="305" t="s">
        <v>129</v>
      </c>
      <c r="C1239" s="56">
        <v>45819</v>
      </c>
      <c r="D1239" s="43">
        <v>370</v>
      </c>
      <c r="F1239" s="43" t="s">
        <v>1540</v>
      </c>
      <c r="G1239" t="s">
        <v>1542</v>
      </c>
    </row>
    <row r="1240" spans="1:7">
      <c r="A1240" s="311" t="s">
        <v>987</v>
      </c>
      <c r="B1240" s="311" t="s">
        <v>1093</v>
      </c>
      <c r="C1240" s="56">
        <v>45819</v>
      </c>
      <c r="F1240" s="43" t="s">
        <v>1460</v>
      </c>
      <c r="G1240" t="s">
        <v>1542</v>
      </c>
    </row>
    <row r="1241" spans="1:7">
      <c r="A1241" s="372" t="s">
        <v>979</v>
      </c>
      <c r="B1241" s="247" t="s">
        <v>129</v>
      </c>
      <c r="C1241" s="56">
        <v>45820</v>
      </c>
      <c r="D1241" s="155">
        <v>1395</v>
      </c>
      <c r="F1241" s="43" t="s">
        <v>1540</v>
      </c>
      <c r="G1241" t="s">
        <v>1542</v>
      </c>
    </row>
    <row r="1242" spans="1:7">
      <c r="A1242" s="372" t="s">
        <v>764</v>
      </c>
      <c r="B1242" s="247" t="s">
        <v>129</v>
      </c>
      <c r="C1242" s="56">
        <v>45820</v>
      </c>
      <c r="F1242" s="43" t="s">
        <v>1238</v>
      </c>
      <c r="G1242" t="s">
        <v>1542</v>
      </c>
    </row>
    <row r="1243" spans="1:7">
      <c r="A1243" s="148" t="s">
        <v>987</v>
      </c>
      <c r="B1243" s="371" t="s">
        <v>1093</v>
      </c>
      <c r="C1243" s="56">
        <v>45820</v>
      </c>
      <c r="D1243" s="43">
        <v>395</v>
      </c>
      <c r="G1243" t="s">
        <v>1542</v>
      </c>
    </row>
    <row r="1244" spans="1:7">
      <c r="A1244" s="316" t="s">
        <v>764</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987</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141</v>
      </c>
      <c r="C1248" s="56">
        <v>45824</v>
      </c>
      <c r="D1248" s="155">
        <v>1394</v>
      </c>
      <c r="F1248" s="43" t="s">
        <v>1173</v>
      </c>
      <c r="G1248" t="s">
        <v>1542</v>
      </c>
    </row>
    <row r="1249" spans="1:7">
      <c r="A1249" s="320" t="s">
        <v>979</v>
      </c>
      <c r="B1249" s="311" t="s">
        <v>129</v>
      </c>
      <c r="C1249" s="56">
        <v>45824</v>
      </c>
      <c r="D1249" s="43">
        <v>450</v>
      </c>
      <c r="F1249" s="43" t="s">
        <v>1557</v>
      </c>
      <c r="G1249" t="s">
        <v>1542</v>
      </c>
    </row>
    <row r="1250" spans="1:7">
      <c r="A1250" s="315" t="s">
        <v>987</v>
      </c>
      <c r="B1250" s="315" t="s">
        <v>1093</v>
      </c>
      <c r="C1250" s="56">
        <v>45824</v>
      </c>
      <c r="D1250" s="43">
        <v>280</v>
      </c>
      <c r="G1250" t="s">
        <v>1542</v>
      </c>
    </row>
    <row r="1251" spans="1:7">
      <c r="A1251" s="304" t="s">
        <v>676</v>
      </c>
      <c r="B1251" s="304" t="s">
        <v>129</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141</v>
      </c>
      <c r="C1253" s="56">
        <v>45825</v>
      </c>
      <c r="D1253" s="155">
        <v>1756</v>
      </c>
      <c r="F1253" s="43" t="s">
        <v>1175</v>
      </c>
      <c r="G1253" t="s">
        <v>1542</v>
      </c>
    </row>
    <row r="1254" spans="1:7">
      <c r="A1254" s="320" t="s">
        <v>979</v>
      </c>
      <c r="B1254" s="311" t="s">
        <v>129</v>
      </c>
      <c r="C1254" s="56">
        <v>45825</v>
      </c>
      <c r="D1254" s="155">
        <v>1246</v>
      </c>
      <c r="F1254" s="43" t="s">
        <v>1539</v>
      </c>
      <c r="G1254" t="s">
        <v>1542</v>
      </c>
    </row>
    <row r="1255" spans="1:7">
      <c r="A1255" s="315" t="s">
        <v>987</v>
      </c>
      <c r="B1255" s="315" t="s">
        <v>1093</v>
      </c>
      <c r="C1255" s="56">
        <v>45825</v>
      </c>
      <c r="D1255" s="43">
        <v>70</v>
      </c>
      <c r="G1255" t="s">
        <v>1542</v>
      </c>
    </row>
    <row r="1256" spans="1:7">
      <c r="A1256" s="305" t="s">
        <v>673</v>
      </c>
      <c r="B1256" s="305" t="s">
        <v>129</v>
      </c>
      <c r="C1256" s="56">
        <v>45825</v>
      </c>
      <c r="D1256" s="155">
        <v>1465</v>
      </c>
      <c r="F1256" s="43" t="s">
        <v>1559</v>
      </c>
      <c r="G1256" t="s">
        <v>1542</v>
      </c>
    </row>
    <row r="1257" spans="1:7">
      <c r="A1257" s="311" t="s">
        <v>676</v>
      </c>
      <c r="B1257" s="311" t="s">
        <v>129</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1039</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129</v>
      </c>
      <c r="C1263" s="56">
        <v>45826</v>
      </c>
      <c r="D1263" s="155">
        <v>1380</v>
      </c>
      <c r="F1263" s="43" t="s">
        <v>1559</v>
      </c>
      <c r="G1263" t="s">
        <v>1542</v>
      </c>
    </row>
    <row r="1264" spans="1:7">
      <c r="A1264" s="315" t="s">
        <v>987</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987</v>
      </c>
      <c r="B1269" s="311" t="s">
        <v>1093</v>
      </c>
      <c r="C1269" s="56">
        <v>45828</v>
      </c>
      <c r="D1269" s="43">
        <v>52</v>
      </c>
      <c r="F1269" s="43" t="s">
        <v>1221</v>
      </c>
      <c r="G1269" t="s">
        <v>1542</v>
      </c>
    </row>
    <row r="1270" spans="1:7">
      <c r="A1270" s="315" t="s">
        <v>773</v>
      </c>
      <c r="B1270" s="315" t="s">
        <v>129</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129</v>
      </c>
      <c r="C1274" s="56">
        <v>45831</v>
      </c>
      <c r="D1274" s="43">
        <v>924</v>
      </c>
      <c r="F1274" s="43" t="s">
        <v>1221</v>
      </c>
      <c r="G1274" t="s">
        <v>1542</v>
      </c>
    </row>
    <row r="1275" spans="1:7">
      <c r="A1275" s="315" t="s">
        <v>987</v>
      </c>
      <c r="B1275" s="315" t="s">
        <v>1093</v>
      </c>
      <c r="C1275" s="56">
        <v>45831</v>
      </c>
      <c r="D1275" s="43">
        <v>68</v>
      </c>
      <c r="F1275" s="43" t="s">
        <v>1535</v>
      </c>
      <c r="G1275" t="s">
        <v>1542</v>
      </c>
    </row>
    <row r="1276" spans="1:7">
      <c r="A1276" s="304" t="s">
        <v>673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141</v>
      </c>
      <c r="C1278" s="56">
        <v>45832</v>
      </c>
      <c r="D1278" s="155">
        <v>1946</v>
      </c>
      <c r="F1278" s="43" t="s">
        <v>1562</v>
      </c>
      <c r="G1278" t="s">
        <v>1542</v>
      </c>
    </row>
    <row r="1279" spans="1:7">
      <c r="A1279" s="141" t="s">
        <v>992</v>
      </c>
      <c r="B1279" s="311" t="s">
        <v>129</v>
      </c>
      <c r="C1279" s="56">
        <v>45832</v>
      </c>
      <c r="D1279" s="155">
        <v>1044</v>
      </c>
      <c r="F1279" s="43" t="s">
        <v>1563</v>
      </c>
      <c r="G1279" t="s">
        <v>1542</v>
      </c>
    </row>
    <row r="1280" spans="1:7">
      <c r="A1280" s="315" t="s">
        <v>987</v>
      </c>
      <c r="B1280" s="315" t="s">
        <v>1093</v>
      </c>
      <c r="C1280" s="56">
        <v>45832</v>
      </c>
      <c r="D1280" s="43">
        <v>50</v>
      </c>
      <c r="F1280" s="43" t="s">
        <v>1564</v>
      </c>
      <c r="G1280" t="s">
        <v>1542</v>
      </c>
    </row>
    <row r="1281" spans="1:7">
      <c r="A1281" s="304" t="s">
        <v>673</v>
      </c>
      <c r="B1281" s="304" t="s">
        <v>129</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141</v>
      </c>
      <c r="C1284" s="56">
        <v>45833</v>
      </c>
      <c r="D1284" s="43">
        <v>649</v>
      </c>
      <c r="F1284" s="43" t="s">
        <v>1566</v>
      </c>
      <c r="G1284" t="s">
        <v>1542</v>
      </c>
    </row>
    <row r="1285" spans="1:7">
      <c r="A1285" s="141" t="s">
        <v>992</v>
      </c>
      <c r="B1285" s="311" t="s">
        <v>129</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141</v>
      </c>
      <c r="C1289" s="56">
        <v>45834</v>
      </c>
      <c r="F1289" s="316" t="s">
        <v>1568</v>
      </c>
      <c r="G1289" t="s">
        <v>1542</v>
      </c>
    </row>
    <row r="1290" spans="1:7">
      <c r="A1290" s="349" t="s">
        <v>803</v>
      </c>
      <c r="B1290" s="307" t="s">
        <v>141</v>
      </c>
      <c r="C1290" s="56">
        <v>45834</v>
      </c>
      <c r="F1290" s="320" t="s">
        <v>1568</v>
      </c>
      <c r="G1290" t="s">
        <v>1542</v>
      </c>
    </row>
    <row r="1291" spans="1:7">
      <c r="A1291" s="141" t="s">
        <v>992</v>
      </c>
      <c r="B1291" s="311" t="s">
        <v>129</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129</v>
      </c>
      <c r="C1293" s="56">
        <v>45834</v>
      </c>
      <c r="D1293" s="155">
        <v>1296</v>
      </c>
      <c r="F1293" s="43" t="s">
        <v>1559</v>
      </c>
      <c r="G1293" t="s">
        <v>1542</v>
      </c>
    </row>
    <row r="1294" spans="1:7">
      <c r="A1294" s="304" t="s">
        <v>754</v>
      </c>
      <c r="B1294" s="304" t="s">
        <v>129</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141</v>
      </c>
      <c r="C1299" s="56">
        <v>45835</v>
      </c>
      <c r="F1299" s="316" t="s">
        <v>1568</v>
      </c>
      <c r="G1299" t="s">
        <v>1542</v>
      </c>
    </row>
    <row r="1300" spans="1:7">
      <c r="A1300" s="141" t="s">
        <v>754</v>
      </c>
      <c r="B1300" s="141" t="s">
        <v>129</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129</v>
      </c>
      <c r="C1306" s="56">
        <v>45839</v>
      </c>
      <c r="E1306" s="139">
        <v>53</v>
      </c>
      <c r="F1306" s="43" t="s">
        <v>1576</v>
      </c>
      <c r="G1306" t="s">
        <v>1575</v>
      </c>
    </row>
    <row r="1307" spans="1:7">
      <c r="A1307" s="346" t="s">
        <v>673</v>
      </c>
      <c r="B1307" s="315" t="s">
        <v>129</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129</v>
      </c>
      <c r="C1312" s="56">
        <v>45840</v>
      </c>
      <c r="D1312" s="43">
        <v>355</v>
      </c>
      <c r="F1312" s="43" t="s">
        <v>1175</v>
      </c>
      <c r="G1312" t="s">
        <v>1575</v>
      </c>
    </row>
    <row r="1313" spans="1:7">
      <c r="A1313" s="304" t="s">
        <v>673</v>
      </c>
      <c r="B1313" s="304" t="s">
        <v>129</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402</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129</v>
      </c>
      <c r="C1320" s="56">
        <v>45845</v>
      </c>
      <c r="D1320" s="43">
        <v>846</v>
      </c>
      <c r="G1320" t="s">
        <v>1575</v>
      </c>
    </row>
    <row r="1321" spans="1:7">
      <c r="A1321" s="304" t="s">
        <v>681</v>
      </c>
      <c r="B1321" s="304" t="s">
        <v>129</v>
      </c>
      <c r="C1321" s="56">
        <v>45845</v>
      </c>
      <c r="D1321" s="155">
        <v>1644</v>
      </c>
      <c r="E1321" s="201"/>
      <c r="G1321" t="s">
        <v>1575</v>
      </c>
    </row>
    <row r="1322" spans="1:7">
      <c r="A1322" s="141" t="s">
        <v>529</v>
      </c>
      <c r="B1322" s="157" t="s">
        <v>402</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129</v>
      </c>
      <c r="C1324" s="56">
        <v>45846</v>
      </c>
      <c r="D1324" s="43">
        <v>827</v>
      </c>
      <c r="F1324" s="43" t="s">
        <v>1582</v>
      </c>
      <c r="G1324" t="s">
        <v>1575</v>
      </c>
    </row>
    <row r="1325" spans="1:7">
      <c r="A1325" s="397" t="s">
        <v>681</v>
      </c>
      <c r="B1325" s="399" t="s">
        <v>129</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402</v>
      </c>
      <c r="C1331" s="56">
        <v>45849</v>
      </c>
      <c r="D1331" s="43">
        <v>198</v>
      </c>
      <c r="G1331" t="s">
        <v>1575</v>
      </c>
    </row>
    <row r="1332" spans="1:7">
      <c r="A1332" s="247" t="s">
        <v>779</v>
      </c>
      <c r="B1332" s="398" t="s">
        <v>1093</v>
      </c>
      <c r="C1332" s="56">
        <v>45852</v>
      </c>
      <c r="F1332" s="43" t="s">
        <v>1238</v>
      </c>
      <c r="G1332" t="s">
        <v>1575</v>
      </c>
    </row>
    <row r="1333" spans="1:7">
      <c r="A1333" s="615" t="s">
        <v>535</v>
      </c>
      <c r="B1333" s="157" t="s">
        <v>402</v>
      </c>
      <c r="C1333" s="56">
        <v>45852</v>
      </c>
      <c r="D1333" s="43">
        <v>862</v>
      </c>
      <c r="G1333" t="s">
        <v>1575</v>
      </c>
    </row>
    <row r="1334" spans="1:7">
      <c r="A1334" s="318" t="s">
        <v>1112</v>
      </c>
      <c r="B1334" s="398" t="s">
        <v>1093</v>
      </c>
      <c r="C1334" s="56">
        <v>45853</v>
      </c>
      <c r="D1334" s="43">
        <v>203</v>
      </c>
      <c r="G1334" t="s">
        <v>1575</v>
      </c>
    </row>
    <row r="1335" spans="1:7">
      <c r="A1335" s="141" t="s">
        <v>987</v>
      </c>
      <c r="B1335" s="398" t="s">
        <v>1093</v>
      </c>
      <c r="C1335" s="56">
        <v>45853</v>
      </c>
      <c r="F1335" s="337" t="s">
        <v>1584</v>
      </c>
      <c r="G1335" t="s">
        <v>1575</v>
      </c>
    </row>
    <row r="1336" spans="1:7">
      <c r="A1336" s="304" t="s">
        <v>736</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987</v>
      </c>
      <c r="B1339" s="311" t="s">
        <v>1093</v>
      </c>
      <c r="C1339" s="56">
        <v>45854</v>
      </c>
      <c r="D1339" s="43">
        <v>280</v>
      </c>
      <c r="G1339" t="s">
        <v>1575</v>
      </c>
    </row>
    <row r="1340" spans="1:7">
      <c r="A1340" s="305" t="s">
        <v>736</v>
      </c>
      <c r="B1340" s="304" t="s">
        <v>129</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987</v>
      </c>
      <c r="B1344" s="311" t="s">
        <v>1093</v>
      </c>
      <c r="C1344" s="56">
        <v>45855</v>
      </c>
      <c r="D1344" s="155">
        <v>1972</v>
      </c>
      <c r="G1344" t="s">
        <v>1575</v>
      </c>
    </row>
    <row r="1345" spans="1:7">
      <c r="A1345" s="346" t="s">
        <v>727</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1045</v>
      </c>
      <c r="B1347" s="311" t="s">
        <v>1093</v>
      </c>
      <c r="C1347" s="56">
        <v>45856</v>
      </c>
      <c r="D1347" s="43">
        <v>47</v>
      </c>
      <c r="G1347" t="s">
        <v>1575</v>
      </c>
    </row>
    <row r="1348" spans="1:7">
      <c r="A1348" s="141" t="s">
        <v>987</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987</v>
      </c>
      <c r="B1350" s="398" t="s">
        <v>1093</v>
      </c>
      <c r="C1350" s="56">
        <v>45859</v>
      </c>
      <c r="D1350" s="43">
        <v>551</v>
      </c>
      <c r="G1350" t="s">
        <v>1575</v>
      </c>
    </row>
    <row r="1351" spans="1:7">
      <c r="A1351" s="395" t="s">
        <v>987</v>
      </c>
      <c r="B1351" s="398" t="s">
        <v>141</v>
      </c>
      <c r="C1351" s="56">
        <v>45859</v>
      </c>
      <c r="D1351" s="43">
        <v>385</v>
      </c>
      <c r="G1351" t="s">
        <v>1575</v>
      </c>
    </row>
    <row r="1352" spans="1:7">
      <c r="A1352" s="397" t="s">
        <v>722</v>
      </c>
      <c r="B1352" s="399" t="s">
        <v>129</v>
      </c>
      <c r="C1352" s="56">
        <v>45859</v>
      </c>
      <c r="D1352" s="155">
        <v>1070</v>
      </c>
      <c r="F1352" s="43" t="s">
        <v>1173</v>
      </c>
      <c r="G1352" t="s">
        <v>1575</v>
      </c>
    </row>
    <row r="1353" spans="1:7">
      <c r="A1353" s="414" t="s">
        <v>727</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129</v>
      </c>
      <c r="C1356" s="56">
        <v>45860</v>
      </c>
      <c r="D1356" s="155">
        <v>1224</v>
      </c>
      <c r="F1356" s="43" t="s">
        <v>1591</v>
      </c>
      <c r="G1356" t="s">
        <v>1575</v>
      </c>
    </row>
    <row r="1357" spans="1:7">
      <c r="A1357" s="305" t="s">
        <v>727</v>
      </c>
      <c r="B1357" s="304" t="s">
        <v>129</v>
      </c>
      <c r="C1357" s="56">
        <v>45860</v>
      </c>
      <c r="D1357" s="155">
        <v>1714</v>
      </c>
      <c r="F1357" s="43" t="s">
        <v>1184</v>
      </c>
      <c r="G1357" t="s">
        <v>1575</v>
      </c>
    </row>
    <row r="1358" spans="1:7">
      <c r="A1358" s="141" t="s">
        <v>987</v>
      </c>
      <c r="B1358" s="398" t="s">
        <v>141</v>
      </c>
      <c r="C1358" s="56">
        <v>45860</v>
      </c>
      <c r="D1358" s="43">
        <v>300</v>
      </c>
      <c r="G1358" t="s">
        <v>1575</v>
      </c>
    </row>
    <row r="1359" spans="1:7">
      <c r="A1359" s="304" t="s">
        <v>987</v>
      </c>
      <c r="B1359" s="304" t="s">
        <v>891</v>
      </c>
      <c r="C1359" s="56">
        <v>45860</v>
      </c>
      <c r="D1359" s="155">
        <v>1107</v>
      </c>
      <c r="G1359" t="s">
        <v>1575</v>
      </c>
    </row>
    <row r="1360" spans="1:7">
      <c r="A1360" s="304" t="s">
        <v>987</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987</v>
      </c>
      <c r="B1364" s="311" t="s">
        <v>1093</v>
      </c>
      <c r="C1364" s="56">
        <v>45861</v>
      </c>
      <c r="D1364" s="43">
        <v>130</v>
      </c>
      <c r="F1364" s="43" t="s">
        <v>1233</v>
      </c>
      <c r="G1364" t="s">
        <v>1575</v>
      </c>
    </row>
    <row r="1365" spans="1:7">
      <c r="A1365" s="304" t="s">
        <v>722</v>
      </c>
      <c r="B1365" s="304" t="s">
        <v>129</v>
      </c>
      <c r="C1365" s="56">
        <v>45861</v>
      </c>
      <c r="D1365" s="43">
        <v>235</v>
      </c>
      <c r="F1365" s="43" t="s">
        <v>1593</v>
      </c>
      <c r="G1365" t="s">
        <v>1575</v>
      </c>
    </row>
    <row r="1366" spans="1:7">
      <c r="A1366" s="305" t="s">
        <v>727</v>
      </c>
      <c r="B1366" s="304" t="s">
        <v>129</v>
      </c>
      <c r="C1366" s="56">
        <v>45861</v>
      </c>
      <c r="D1366" s="43">
        <v>678</v>
      </c>
      <c r="F1366" s="43" t="s">
        <v>1594</v>
      </c>
      <c r="G1366" t="s">
        <v>1575</v>
      </c>
    </row>
    <row r="1367" spans="1:7">
      <c r="A1367" s="141" t="s">
        <v>681</v>
      </c>
      <c r="B1367" s="398" t="s">
        <v>141</v>
      </c>
      <c r="C1367" s="56">
        <v>45861</v>
      </c>
      <c r="D1367" s="43">
        <v>579</v>
      </c>
      <c r="G1367" t="s">
        <v>1575</v>
      </c>
    </row>
    <row r="1368" spans="1:7">
      <c r="A1368" s="305" t="s">
        <v>730</v>
      </c>
      <c r="B1368" s="304" t="s">
        <v>129</v>
      </c>
      <c r="C1368" s="56">
        <v>45861</v>
      </c>
      <c r="D1368" s="43">
        <v>363</v>
      </c>
      <c r="F1368" s="43" t="s">
        <v>1595</v>
      </c>
      <c r="G1368" t="s">
        <v>1575</v>
      </c>
    </row>
    <row r="1369" spans="1:7">
      <c r="A1369" s="141" t="s">
        <v>979</v>
      </c>
      <c r="B1369" s="141" t="s">
        <v>129</v>
      </c>
      <c r="C1369" s="56">
        <v>45861</v>
      </c>
      <c r="D1369" s="43">
        <v>853</v>
      </c>
      <c r="F1369" s="43" t="s">
        <v>1221</v>
      </c>
      <c r="G1369" t="s">
        <v>1575</v>
      </c>
    </row>
    <row r="1370" spans="1:7">
      <c r="A1370" s="123" t="s">
        <v>535</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987</v>
      </c>
      <c r="B1372" s="311" t="s">
        <v>1093</v>
      </c>
      <c r="C1372" s="56">
        <v>45862</v>
      </c>
      <c r="D1372" s="43">
        <v>420</v>
      </c>
      <c r="G1372" t="s">
        <v>1575</v>
      </c>
    </row>
    <row r="1373" spans="1:7">
      <c r="A1373" s="304" t="s">
        <v>1026</v>
      </c>
      <c r="B1373" s="304" t="s">
        <v>1597</v>
      </c>
      <c r="C1373" s="56">
        <v>45862</v>
      </c>
      <c r="F1373" s="43" t="s">
        <v>1598</v>
      </c>
      <c r="G1373" t="s">
        <v>1575</v>
      </c>
    </row>
    <row r="1374" spans="1:7">
      <c r="A1374" s="305" t="s">
        <v>730</v>
      </c>
      <c r="B1374" s="304" t="s">
        <v>129</v>
      </c>
      <c r="C1374" s="56">
        <v>45862</v>
      </c>
      <c r="D1374" s="155">
        <v>1077</v>
      </c>
      <c r="F1374" s="43" t="s">
        <v>1599</v>
      </c>
      <c r="G1374" t="s">
        <v>1575</v>
      </c>
    </row>
    <row r="1375" spans="1:7">
      <c r="A1375" s="141" t="s">
        <v>681</v>
      </c>
      <c r="B1375" s="398" t="s">
        <v>141</v>
      </c>
      <c r="C1375" s="56">
        <v>45862</v>
      </c>
      <c r="D1375" s="43">
        <v>619</v>
      </c>
      <c r="F1375" s="43" t="s">
        <v>1600</v>
      </c>
      <c r="G1375" t="s">
        <v>1575</v>
      </c>
    </row>
    <row r="1376" spans="1:7">
      <c r="A1376" s="305" t="s">
        <v>987</v>
      </c>
      <c r="B1376" s="305" t="s">
        <v>891</v>
      </c>
      <c r="C1376" s="56">
        <v>45862</v>
      </c>
      <c r="F1376" s="43" t="s">
        <v>1601</v>
      </c>
      <c r="G1376" t="s">
        <v>1575</v>
      </c>
    </row>
    <row r="1377" spans="1:7">
      <c r="A1377" s="141" t="s">
        <v>979</v>
      </c>
      <c r="B1377" s="141" t="s">
        <v>129</v>
      </c>
      <c r="C1377" s="56">
        <v>45862</v>
      </c>
      <c r="D1377" s="155">
        <v>1279</v>
      </c>
      <c r="F1377" s="43" t="s">
        <v>1221</v>
      </c>
      <c r="G1377" t="s">
        <v>1575</v>
      </c>
    </row>
    <row r="1378" spans="1:7">
      <c r="A1378" s="123" t="s">
        <v>535</v>
      </c>
      <c r="B1378" s="318" t="s">
        <v>402</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987</v>
      </c>
      <c r="B1381" s="311" t="s">
        <v>1093</v>
      </c>
      <c r="C1381" s="56">
        <v>45863</v>
      </c>
      <c r="F1381" s="141" t="s">
        <v>1603</v>
      </c>
      <c r="G1381" t="s">
        <v>1575</v>
      </c>
    </row>
    <row r="1382" spans="1:7">
      <c r="A1382" s="305" t="s">
        <v>727</v>
      </c>
      <c r="B1382" s="304" t="s">
        <v>129</v>
      </c>
      <c r="C1382" s="56">
        <v>45863</v>
      </c>
      <c r="F1382" s="304" t="s">
        <v>1604</v>
      </c>
      <c r="G1382" t="s">
        <v>1575</v>
      </c>
    </row>
    <row r="1383" spans="1:7">
      <c r="A1383" s="141" t="s">
        <v>722</v>
      </c>
      <c r="B1383" s="304" t="s">
        <v>129</v>
      </c>
      <c r="C1383" s="56">
        <v>45863</v>
      </c>
      <c r="F1383" s="307" t="s">
        <v>1604</v>
      </c>
      <c r="G1383" t="s">
        <v>1575</v>
      </c>
    </row>
    <row r="1384" spans="1:7">
      <c r="A1384" s="305" t="s">
        <v>736</v>
      </c>
      <c r="B1384" s="305" t="s">
        <v>129</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402</v>
      </c>
      <c r="C1386" s="56">
        <v>45863</v>
      </c>
      <c r="D1386" s="43">
        <v>585</v>
      </c>
      <c r="F1386" s="43" t="s">
        <v>1233</v>
      </c>
      <c r="G1386" t="s">
        <v>1575</v>
      </c>
    </row>
    <row r="1387" spans="1:7">
      <c r="A1387" s="141" t="s">
        <v>987</v>
      </c>
      <c r="B1387" s="311" t="s">
        <v>1093</v>
      </c>
      <c r="C1387" s="56">
        <v>45866</v>
      </c>
      <c r="D1387" s="43">
        <v>420</v>
      </c>
      <c r="F1387" s="43" t="s">
        <v>1221</v>
      </c>
      <c r="G1387" t="s">
        <v>1575</v>
      </c>
    </row>
    <row r="1388" spans="1:7">
      <c r="A1388" s="305" t="s">
        <v>979</v>
      </c>
      <c r="B1388" s="304" t="s">
        <v>129</v>
      </c>
      <c r="C1388" s="56">
        <v>45866</v>
      </c>
      <c r="D1388" s="43">
        <v>817</v>
      </c>
      <c r="G1388" t="s">
        <v>1575</v>
      </c>
    </row>
    <row r="1389" spans="1:7">
      <c r="A1389" s="141" t="s">
        <v>730</v>
      </c>
      <c r="B1389" s="304" t="s">
        <v>129</v>
      </c>
      <c r="C1389" s="56">
        <v>45866</v>
      </c>
      <c r="D1389" s="155">
        <v>1430</v>
      </c>
      <c r="F1389" s="43" t="s">
        <v>1606</v>
      </c>
      <c r="G1389" t="s">
        <v>1575</v>
      </c>
    </row>
    <row r="1390" spans="1:7">
      <c r="A1390" s="305" t="s">
        <v>1026</v>
      </c>
      <c r="B1390" s="304" t="s">
        <v>1093</v>
      </c>
      <c r="C1390" s="56">
        <v>45866</v>
      </c>
      <c r="F1390" s="308" t="s">
        <v>1369</v>
      </c>
      <c r="G1390" t="s">
        <v>1575</v>
      </c>
    </row>
    <row r="1391" spans="1:7">
      <c r="A1391" s="141" t="s">
        <v>681</v>
      </c>
      <c r="B1391" s="349" t="s">
        <v>141</v>
      </c>
      <c r="C1391" s="56">
        <v>45866</v>
      </c>
      <c r="D1391" s="155">
        <v>1181</v>
      </c>
      <c r="G1391" t="s">
        <v>1575</v>
      </c>
    </row>
    <row r="1392" spans="1:7">
      <c r="A1392" s="123" t="s">
        <v>535</v>
      </c>
      <c r="B1392" s="157" t="s">
        <v>402</v>
      </c>
      <c r="C1392" s="56">
        <v>45866</v>
      </c>
      <c r="D1392" s="43">
        <v>345</v>
      </c>
      <c r="G1392" t="s">
        <v>1575</v>
      </c>
    </row>
    <row r="1393" spans="1:7">
      <c r="A1393" s="616" t="s">
        <v>681</v>
      </c>
      <c r="B1393" s="69" t="s">
        <v>141</v>
      </c>
      <c r="C1393" s="56">
        <v>45867</v>
      </c>
      <c r="D1393" s="155">
        <v>1933</v>
      </c>
      <c r="G1393" t="s">
        <v>1575</v>
      </c>
    </row>
    <row r="1394" spans="1:7">
      <c r="A1394" s="430" t="s">
        <v>979</v>
      </c>
      <c r="B1394" s="247" t="s">
        <v>129</v>
      </c>
      <c r="C1394" s="56">
        <v>45867</v>
      </c>
      <c r="E1394" s="321">
        <v>5590</v>
      </c>
      <c r="F1394" s="43" t="s">
        <v>1607</v>
      </c>
      <c r="G1394" t="s">
        <v>1575</v>
      </c>
    </row>
    <row r="1395" spans="1:7">
      <c r="A1395" s="431" t="s">
        <v>730</v>
      </c>
      <c r="B1395" s="433" t="s">
        <v>129</v>
      </c>
      <c r="C1395" s="56">
        <v>45867</v>
      </c>
      <c r="D1395" s="155">
        <v>1004</v>
      </c>
      <c r="F1395" s="43" t="s">
        <v>1608</v>
      </c>
      <c r="G1395" t="s">
        <v>1575</v>
      </c>
    </row>
    <row r="1396" spans="1:7">
      <c r="A1396" s="432" t="s">
        <v>1026</v>
      </c>
      <c r="B1396" s="415" t="s">
        <v>1093</v>
      </c>
      <c r="C1396" s="56">
        <v>45867</v>
      </c>
      <c r="D1396" s="43">
        <v>581</v>
      </c>
      <c r="E1396" s="321">
        <v>1200</v>
      </c>
      <c r="F1396" s="43" t="s">
        <v>1609</v>
      </c>
      <c r="G1396" t="s">
        <v>1575</v>
      </c>
    </row>
    <row r="1397" spans="1:7">
      <c r="A1397" s="141" t="s">
        <v>681</v>
      </c>
      <c r="B1397" s="141" t="s">
        <v>141</v>
      </c>
      <c r="C1397" s="56">
        <v>45868</v>
      </c>
      <c r="D1397" s="155">
        <v>1951</v>
      </c>
      <c r="G1397" t="s">
        <v>1575</v>
      </c>
    </row>
    <row r="1398" spans="1:7">
      <c r="A1398" s="141" t="s">
        <v>681</v>
      </c>
      <c r="B1398" s="304" t="s">
        <v>129</v>
      </c>
      <c r="C1398" s="56">
        <v>45868</v>
      </c>
      <c r="D1398" s="43">
        <v>902</v>
      </c>
      <c r="G1398" t="s">
        <v>1575</v>
      </c>
    </row>
    <row r="1399" spans="1:7">
      <c r="A1399" s="304" t="s">
        <v>979</v>
      </c>
      <c r="B1399" s="304" t="s">
        <v>129</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987</v>
      </c>
      <c r="B1401" s="304" t="s">
        <v>1611</v>
      </c>
      <c r="C1401" s="56">
        <v>45868</v>
      </c>
      <c r="E1401" s="321">
        <v>6067</v>
      </c>
      <c r="G1401" t="s">
        <v>1575</v>
      </c>
    </row>
    <row r="1402" spans="1:7">
      <c r="A1402" s="134" t="s">
        <v>526</v>
      </c>
      <c r="B1402" s="318" t="s">
        <v>402</v>
      </c>
      <c r="C1402" s="56">
        <v>45868</v>
      </c>
      <c r="D1402" s="43">
        <v>314</v>
      </c>
      <c r="G1402" t="s">
        <v>1575</v>
      </c>
    </row>
    <row r="1403" spans="1:7">
      <c r="A1403" s="318" t="s">
        <v>835</v>
      </c>
      <c r="B1403" s="311" t="s">
        <v>1093</v>
      </c>
      <c r="C1403" s="56">
        <v>45869</v>
      </c>
      <c r="F1403" s="320" t="s">
        <v>1315</v>
      </c>
      <c r="G1403" t="s">
        <v>1575</v>
      </c>
    </row>
    <row r="1404" spans="1:7">
      <c r="A1404" s="141" t="s">
        <v>681</v>
      </c>
      <c r="B1404" s="141" t="s">
        <v>141</v>
      </c>
      <c r="C1404" s="56">
        <v>45869</v>
      </c>
      <c r="D1404" s="43">
        <v>725</v>
      </c>
      <c r="G1404" t="s">
        <v>1575</v>
      </c>
    </row>
    <row r="1405" spans="1:7">
      <c r="A1405" s="305" t="s">
        <v>681</v>
      </c>
      <c r="B1405" s="305" t="s">
        <v>129</v>
      </c>
      <c r="C1405" s="56">
        <v>45869</v>
      </c>
      <c r="D1405" s="43">
        <v>862</v>
      </c>
      <c r="G1405" t="s">
        <v>1575</v>
      </c>
    </row>
    <row r="1406" spans="1:7">
      <c r="A1406" s="311" t="s">
        <v>987</v>
      </c>
      <c r="B1406" s="311" t="s">
        <v>1611</v>
      </c>
      <c r="C1406" s="56">
        <v>45869</v>
      </c>
      <c r="E1406" s="321">
        <v>2691</v>
      </c>
      <c r="G1406" t="s">
        <v>1575</v>
      </c>
    </row>
    <row r="1407" spans="1:7">
      <c r="A1407" s="346" t="s">
        <v>540</v>
      </c>
      <c r="B1407" s="157" t="s">
        <v>402</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402</v>
      </c>
      <c r="C1411" s="56">
        <v>45870</v>
      </c>
      <c r="D1411" s="155">
        <v>1377</v>
      </c>
      <c r="G1411" t="s">
        <v>1614</v>
      </c>
    </row>
    <row r="1412" spans="1:7">
      <c r="A1412" s="616" t="s">
        <v>681</v>
      </c>
      <c r="B1412" s="69" t="s">
        <v>1611</v>
      </c>
      <c r="C1412" s="56">
        <v>45873</v>
      </c>
      <c r="E1412" s="321">
        <v>13125</v>
      </c>
      <c r="G1412" t="s">
        <v>1614</v>
      </c>
    </row>
    <row r="1413" spans="1:7">
      <c r="A1413" s="432" t="s">
        <v>761</v>
      </c>
      <c r="B1413" s="438" t="s">
        <v>129</v>
      </c>
      <c r="C1413" s="56">
        <v>45873</v>
      </c>
      <c r="D1413" s="43">
        <v>918</v>
      </c>
      <c r="G1413" t="s">
        <v>1614</v>
      </c>
    </row>
    <row r="1414" spans="1:7">
      <c r="A1414" s="311" t="s">
        <v>984</v>
      </c>
      <c r="B1414" s="311" t="s">
        <v>129</v>
      </c>
      <c r="C1414" s="56">
        <v>45874</v>
      </c>
      <c r="D1414" s="155">
        <v>2675</v>
      </c>
      <c r="G1414" t="s">
        <v>1614</v>
      </c>
    </row>
    <row r="1415" spans="1:7">
      <c r="A1415" s="311" t="s">
        <v>540</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984</v>
      </c>
      <c r="B1417" s="311" t="s">
        <v>129</v>
      </c>
      <c r="C1417" s="56">
        <v>45875</v>
      </c>
      <c r="D1417" s="155">
        <v>1964</v>
      </c>
      <c r="G1417" t="s">
        <v>1614</v>
      </c>
    </row>
    <row r="1418" spans="1:7">
      <c r="A1418" s="547" t="s">
        <v>540</v>
      </c>
      <c r="B1418" s="311" t="s">
        <v>402</v>
      </c>
      <c r="C1418" s="56">
        <v>45875</v>
      </c>
      <c r="D1418" s="43">
        <v>840</v>
      </c>
      <c r="G1418" t="s">
        <v>1614</v>
      </c>
    </row>
    <row r="1419" spans="1:7">
      <c r="A1419" s="141" t="s">
        <v>526</v>
      </c>
      <c r="B1419" s="548" t="s">
        <v>402</v>
      </c>
      <c r="C1419" s="56">
        <v>45875</v>
      </c>
      <c r="F1419" s="43" t="s">
        <v>1617</v>
      </c>
      <c r="G1419" t="s">
        <v>1614</v>
      </c>
    </row>
    <row r="1420" spans="1:7">
      <c r="A1420" s="387" t="s">
        <v>984</v>
      </c>
      <c r="B1420" s="415" t="s">
        <v>129</v>
      </c>
      <c r="C1420" s="310">
        <v>45876</v>
      </c>
      <c r="D1420" s="43">
        <v>377</v>
      </c>
      <c r="E1420" s="321"/>
      <c r="F1420" s="43" t="s">
        <v>1618</v>
      </c>
      <c r="G1420" t="s">
        <v>1614</v>
      </c>
    </row>
    <row r="1421" spans="1:7">
      <c r="A1421" s="387" t="s">
        <v>984</v>
      </c>
      <c r="B1421" s="311" t="s">
        <v>1619</v>
      </c>
      <c r="C1421" s="310">
        <v>45876</v>
      </c>
      <c r="E1421" s="321">
        <v>5289</v>
      </c>
      <c r="F1421" s="43" t="s">
        <v>1620</v>
      </c>
      <c r="G1421" t="s">
        <v>1614</v>
      </c>
    </row>
    <row r="1422" spans="1:7">
      <c r="A1422" s="141" t="s">
        <v>767</v>
      </c>
      <c r="B1422" s="525" t="s">
        <v>129</v>
      </c>
      <c r="C1422" s="56">
        <v>45876</v>
      </c>
      <c r="D1422" s="43">
        <v>674</v>
      </c>
      <c r="G1422" t="s">
        <v>1614</v>
      </c>
    </row>
    <row r="1423" spans="1:7">
      <c r="A1423" s="525" t="s">
        <v>540</v>
      </c>
      <c r="B1423" s="525" t="s">
        <v>402</v>
      </c>
      <c r="C1423" s="56">
        <v>45876</v>
      </c>
      <c r="D1423" s="43">
        <v>531</v>
      </c>
      <c r="G1423" t="s">
        <v>1614</v>
      </c>
    </row>
    <row r="1424" spans="1:7">
      <c r="A1424" s="247" t="s">
        <v>1112</v>
      </c>
      <c r="B1424" s="157" t="s">
        <v>1093</v>
      </c>
      <c r="C1424" s="56">
        <v>45877</v>
      </c>
      <c r="F1424" s="43" t="s">
        <v>1588</v>
      </c>
      <c r="G1424" t="s">
        <v>1614</v>
      </c>
    </row>
    <row r="1425" spans="1:7">
      <c r="A1425" s="311" t="s">
        <v>984</v>
      </c>
      <c r="B1425" s="311" t="s">
        <v>129</v>
      </c>
      <c r="C1425" s="56">
        <v>45877</v>
      </c>
      <c r="F1425" s="311" t="s">
        <v>1238</v>
      </c>
      <c r="G1425" t="s">
        <v>1614</v>
      </c>
    </row>
    <row r="1426" spans="1:7">
      <c r="A1426" s="549" t="s">
        <v>540</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129</v>
      </c>
      <c r="C1428" s="56">
        <v>45880</v>
      </c>
      <c r="D1428" s="155">
        <v>1175</v>
      </c>
      <c r="G1428" t="s">
        <v>1614</v>
      </c>
    </row>
    <row r="1429" spans="1:7">
      <c r="A1429" s="304" t="s">
        <v>776</v>
      </c>
      <c r="B1429" s="304" t="s">
        <v>1093</v>
      </c>
      <c r="C1429" s="56">
        <v>45880</v>
      </c>
      <c r="D1429" s="43">
        <v>288</v>
      </c>
      <c r="G1429" t="s">
        <v>1614</v>
      </c>
    </row>
    <row r="1430" spans="1:7">
      <c r="A1430" s="549" t="s">
        <v>540</v>
      </c>
      <c r="B1430" s="311" t="s">
        <v>402</v>
      </c>
      <c r="C1430" s="56">
        <v>45880</v>
      </c>
      <c r="D1430" s="43">
        <v>571</v>
      </c>
      <c r="G1430" t="s">
        <v>1614</v>
      </c>
    </row>
    <row r="1431" spans="1:7">
      <c r="A1431" s="88" t="s">
        <v>1112</v>
      </c>
      <c r="B1431" s="398" t="s">
        <v>1093</v>
      </c>
      <c r="C1431" s="56">
        <v>45881</v>
      </c>
      <c r="D1431" s="43">
        <v>35</v>
      </c>
      <c r="G1431" t="s">
        <v>1614</v>
      </c>
    </row>
    <row r="1432" spans="1:7">
      <c r="A1432" s="396" t="s">
        <v>761</v>
      </c>
      <c r="B1432" s="228" t="s">
        <v>129</v>
      </c>
      <c r="C1432" s="56">
        <v>45881</v>
      </c>
      <c r="D1432" s="155">
        <v>1154</v>
      </c>
      <c r="G1432" t="s">
        <v>1614</v>
      </c>
    </row>
    <row r="1433" spans="1:7">
      <c r="A1433" s="238" t="s">
        <v>776</v>
      </c>
      <c r="B1433" s="131" t="s">
        <v>1093</v>
      </c>
      <c r="C1433" s="56">
        <v>45881</v>
      </c>
      <c r="D1433" s="43">
        <v>380</v>
      </c>
      <c r="G1433" t="s">
        <v>1614</v>
      </c>
    </row>
    <row r="1434" spans="1:7">
      <c r="A1434" s="91" t="s">
        <v>767</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540</v>
      </c>
      <c r="B1436" s="311" t="s">
        <v>402</v>
      </c>
      <c r="C1436" s="56">
        <v>45881</v>
      </c>
      <c r="D1436" s="155">
        <v>1293</v>
      </c>
      <c r="G1436" t="s">
        <v>1614</v>
      </c>
    </row>
    <row r="1437" spans="1:7">
      <c r="A1437" s="247" t="s">
        <v>978</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129</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978</v>
      </c>
      <c r="B1441" s="304" t="s">
        <v>129</v>
      </c>
      <c r="C1441" s="56">
        <v>45882</v>
      </c>
      <c r="D1441" s="155">
        <v>1031</v>
      </c>
      <c r="F1441" s="43" t="s">
        <v>1621</v>
      </c>
      <c r="G1441" t="s">
        <v>1614</v>
      </c>
    </row>
    <row r="1442" spans="1:7">
      <c r="A1442" s="305" t="s">
        <v>767</v>
      </c>
      <c r="B1442" s="305" t="s">
        <v>129</v>
      </c>
      <c r="C1442" s="56">
        <v>45882</v>
      </c>
      <c r="D1442" s="43">
        <v>12</v>
      </c>
      <c r="F1442" s="305" t="s">
        <v>1535</v>
      </c>
      <c r="G1442" t="s">
        <v>1614</v>
      </c>
    </row>
    <row r="1443" spans="1:7">
      <c r="A1443" s="247" t="s">
        <v>540</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776</v>
      </c>
      <c r="B1446" s="131" t="s">
        <v>1093</v>
      </c>
      <c r="C1446" s="56">
        <v>45883</v>
      </c>
      <c r="D1446" s="43">
        <v>163</v>
      </c>
      <c r="G1446" t="s">
        <v>1614</v>
      </c>
    </row>
    <row r="1447" spans="1:7">
      <c r="A1447" s="549" t="s">
        <v>540</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129</v>
      </c>
      <c r="C1459" s="56">
        <v>45887</v>
      </c>
      <c r="D1459" s="155">
        <v>1109</v>
      </c>
      <c r="F1459" s="43" t="s">
        <v>1627</v>
      </c>
      <c r="G1459" t="s">
        <v>1614</v>
      </c>
    </row>
    <row r="1460" spans="1:7">
      <c r="A1460" s="549" t="s">
        <v>540</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790</v>
      </c>
      <c r="B1464" s="315" t="s">
        <v>1093</v>
      </c>
      <c r="C1464" s="56">
        <v>45888</v>
      </c>
      <c r="D1464" s="43">
        <v>416</v>
      </c>
      <c r="G1464" t="s">
        <v>1614</v>
      </c>
    </row>
    <row r="1465" spans="1:7">
      <c r="A1465" s="525" t="s">
        <v>995</v>
      </c>
      <c r="B1465" s="311" t="s">
        <v>129</v>
      </c>
      <c r="C1465" s="56">
        <v>45888</v>
      </c>
      <c r="D1465" s="155">
        <v>1460</v>
      </c>
      <c r="F1465" s="43" t="s">
        <v>1628</v>
      </c>
      <c r="G1465" t="s">
        <v>1614</v>
      </c>
    </row>
    <row r="1466" spans="1:7">
      <c r="A1466" s="549" t="s">
        <v>540</v>
      </c>
      <c r="B1466" s="311" t="s">
        <v>402</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790</v>
      </c>
      <c r="B1472" s="131" t="s">
        <v>1093</v>
      </c>
      <c r="C1472" s="56">
        <v>45889</v>
      </c>
      <c r="D1472" s="43">
        <v>216</v>
      </c>
      <c r="G1472" t="s">
        <v>1614</v>
      </c>
    </row>
    <row r="1473" spans="1:7">
      <c r="A1473" s="578" t="s">
        <v>995</v>
      </c>
      <c r="B1473" s="322" t="s">
        <v>129</v>
      </c>
      <c r="C1473" s="56">
        <v>45889</v>
      </c>
      <c r="D1473" s="155">
        <v>1428</v>
      </c>
      <c r="F1473" s="43" t="s">
        <v>1535</v>
      </c>
      <c r="G1473" t="s">
        <v>1614</v>
      </c>
    </row>
    <row r="1474" spans="1:7">
      <c r="A1474" s="549" t="s">
        <v>540</v>
      </c>
      <c r="B1474" s="311" t="s">
        <v>402</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790</v>
      </c>
      <c r="B1479" s="131" t="s">
        <v>1093</v>
      </c>
      <c r="C1479" s="56">
        <v>45890</v>
      </c>
      <c r="F1479" s="43" t="s">
        <v>1371</v>
      </c>
      <c r="G1479" t="s">
        <v>1614</v>
      </c>
    </row>
    <row r="1480" spans="1:7">
      <c r="A1480" s="578" t="s">
        <v>995</v>
      </c>
      <c r="B1480" s="322" t="s">
        <v>129</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402</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402</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787</v>
      </c>
      <c r="B1493" s="131" t="s">
        <v>1093</v>
      </c>
      <c r="C1493" s="56">
        <v>45894</v>
      </c>
      <c r="F1493" s="311" t="s">
        <v>1635</v>
      </c>
      <c r="G1493" t="s">
        <v>1614</v>
      </c>
    </row>
    <row r="1494" spans="1:7">
      <c r="A1494" s="578" t="s">
        <v>998</v>
      </c>
      <c r="B1494" s="322" t="s">
        <v>129</v>
      </c>
      <c r="C1494" s="56">
        <v>45894</v>
      </c>
      <c r="D1494" s="43">
        <v>735</v>
      </c>
      <c r="F1494" s="43" t="s">
        <v>1636</v>
      </c>
      <c r="G1494" t="s">
        <v>1614</v>
      </c>
    </row>
    <row r="1495" spans="1:7">
      <c r="A1495" s="549" t="s">
        <v>540</v>
      </c>
      <c r="B1495" s="311" t="s">
        <v>402</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1008</v>
      </c>
      <c r="B1502" s="43" t="s">
        <v>129</v>
      </c>
      <c r="C1502" s="56">
        <v>45895</v>
      </c>
      <c r="D1502" s="43">
        <v>558</v>
      </c>
      <c r="F1502" s="337" t="s">
        <v>1171</v>
      </c>
      <c r="G1502" t="s">
        <v>1614</v>
      </c>
    </row>
    <row r="1503" spans="1:7">
      <c r="A1503" s="616" t="s">
        <v>739</v>
      </c>
      <c r="B1503" s="43" t="s">
        <v>129</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402</v>
      </c>
      <c r="C1505" s="56">
        <v>45895</v>
      </c>
      <c r="F1505" s="43" t="s">
        <v>1315</v>
      </c>
      <c r="G1505" t="s">
        <v>1614</v>
      </c>
    </row>
    <row r="1506" spans="1:7">
      <c r="A1506" s="396" t="s">
        <v>1005</v>
      </c>
      <c r="B1506" s="228" t="s">
        <v>141</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1023</v>
      </c>
      <c r="B1508" s="322" t="s">
        <v>1093</v>
      </c>
      <c r="C1508" s="56">
        <v>45896</v>
      </c>
      <c r="D1508" s="43">
        <v>130</v>
      </c>
      <c r="E1508" s="139">
        <v>130</v>
      </c>
      <c r="F1508" s="43" t="s">
        <v>1640</v>
      </c>
      <c r="G1508" t="s">
        <v>1614</v>
      </c>
    </row>
    <row r="1509" spans="1:7">
      <c r="A1509" s="69" t="s">
        <v>1008</v>
      </c>
      <c r="B1509" s="43" t="s">
        <v>129</v>
      </c>
      <c r="C1509" s="56">
        <v>45896</v>
      </c>
      <c r="D1509" s="155">
        <v>1248</v>
      </c>
      <c r="F1509" s="43" t="s">
        <v>1641</v>
      </c>
      <c r="G1509" t="s">
        <v>1614</v>
      </c>
    </row>
    <row r="1510" spans="1:7">
      <c r="A1510" s="616" t="s">
        <v>739</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535</v>
      </c>
      <c r="B1513" s="141" t="s">
        <v>402</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998</v>
      </c>
      <c r="B1516" s="43" t="s">
        <v>129</v>
      </c>
      <c r="C1516" s="56">
        <v>45897</v>
      </c>
      <c r="D1516" s="155">
        <v>1453</v>
      </c>
      <c r="F1516" s="43" t="s">
        <v>1645</v>
      </c>
      <c r="G1516" t="s">
        <v>1614</v>
      </c>
    </row>
    <row r="1517" spans="1:7">
      <c r="A1517" s="69" t="s">
        <v>1008</v>
      </c>
      <c r="B1517" s="43" t="s">
        <v>129</v>
      </c>
      <c r="C1517" s="56">
        <v>45897</v>
      </c>
      <c r="D1517" s="155">
        <v>1260</v>
      </c>
      <c r="F1517" s="43" t="s">
        <v>1646</v>
      </c>
      <c r="G1517" t="s">
        <v>1614</v>
      </c>
    </row>
    <row r="1518" spans="1:7">
      <c r="A1518" s="549" t="s">
        <v>540</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535</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402</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402</v>
      </c>
      <c r="C1526" s="56">
        <v>45898</v>
      </c>
      <c r="E1526" s="321">
        <v>8378</v>
      </c>
      <c r="F1526" s="43" t="s">
        <v>1650</v>
      </c>
      <c r="G1526" t="s">
        <v>1614</v>
      </c>
    </row>
    <row r="1527" spans="1:7">
      <c r="A1527" s="141" t="s">
        <v>990</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1008</v>
      </c>
      <c r="B1530" s="43" t="s">
        <v>129</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990</v>
      </c>
      <c r="B1535" s="311" t="s">
        <v>129</v>
      </c>
      <c r="C1535" s="56">
        <v>45903</v>
      </c>
      <c r="D1535" s="155">
        <v>1491</v>
      </c>
      <c r="F1535" s="43" t="s">
        <v>1658</v>
      </c>
      <c r="G1535" t="s">
        <v>1652</v>
      </c>
    </row>
    <row r="1536" spans="1:7">
      <c r="A1536" s="315" t="s">
        <v>998</v>
      </c>
      <c r="B1536" s="315" t="s">
        <v>129</v>
      </c>
      <c r="C1536" s="56">
        <v>45903</v>
      </c>
      <c r="D1536" s="155">
        <v>2472</v>
      </c>
      <c r="E1536" s="139">
        <v>730</v>
      </c>
      <c r="F1536" s="43" t="s">
        <v>1659</v>
      </c>
      <c r="G1536" t="s">
        <v>1652</v>
      </c>
    </row>
    <row r="1537" spans="1:7">
      <c r="A1537" s="645" t="s">
        <v>1005</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990</v>
      </c>
      <c r="B1543" s="43" t="s">
        <v>129</v>
      </c>
      <c r="C1543" s="56">
        <v>45904</v>
      </c>
      <c r="D1543" s="155">
        <v>1549</v>
      </c>
      <c r="F1543" s="43" t="s">
        <v>1664</v>
      </c>
      <c r="G1543" t="s">
        <v>1652</v>
      </c>
    </row>
    <row r="1544" spans="1:7">
      <c r="A1544" s="616" t="s">
        <v>552</v>
      </c>
      <c r="B1544" s="43" t="s">
        <v>129</v>
      </c>
      <c r="C1544" s="56">
        <v>45904</v>
      </c>
      <c r="D1544" s="43">
        <v>903</v>
      </c>
      <c r="F1544" s="43" t="s">
        <v>1665</v>
      </c>
      <c r="G1544" t="s">
        <v>1652</v>
      </c>
    </row>
    <row r="1545" spans="1:7">
      <c r="A1545" s="651" t="s">
        <v>722</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995</v>
      </c>
      <c r="B1550" s="728" t="s">
        <v>129</v>
      </c>
      <c r="C1550" s="56">
        <v>45905</v>
      </c>
      <c r="D1550" s="43">
        <v>128</v>
      </c>
      <c r="E1550" s="139">
        <v>2000</v>
      </c>
      <c r="F1550" s="43" t="s">
        <v>1668</v>
      </c>
      <c r="G1550" t="s">
        <v>1652</v>
      </c>
    </row>
    <row r="1551" spans="1:7">
      <c r="A1551" s="247" t="s">
        <v>1005</v>
      </c>
      <c r="B1551" s="653" t="s">
        <v>1093</v>
      </c>
      <c r="C1551" s="56">
        <v>45905</v>
      </c>
      <c r="E1551" s="321">
        <v>2062</v>
      </c>
      <c r="G1551" t="s">
        <v>1652</v>
      </c>
    </row>
    <row r="1552" spans="1:7">
      <c r="A1552" s="729" t="s">
        <v>552</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990</v>
      </c>
      <c r="B1554" s="682" t="s">
        <v>129</v>
      </c>
      <c r="C1554" s="56">
        <v>45908</v>
      </c>
      <c r="D1554" s="43">
        <v>918</v>
      </c>
      <c r="F1554" s="43" t="s">
        <v>1670</v>
      </c>
      <c r="G1554" t="s">
        <v>1652</v>
      </c>
    </row>
    <row r="1555" spans="1:7">
      <c r="A1555" s="396" t="s">
        <v>552</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782</v>
      </c>
      <c r="B1557" s="682" t="s">
        <v>129</v>
      </c>
      <c r="C1557" s="56">
        <v>45909</v>
      </c>
      <c r="D1557" s="43">
        <v>329</v>
      </c>
      <c r="G1557" t="s">
        <v>1652</v>
      </c>
    </row>
    <row r="1558" spans="1:7">
      <c r="A1558" s="88" t="s">
        <v>1117</v>
      </c>
      <c r="B1558" s="398" t="s">
        <v>1093</v>
      </c>
      <c r="C1558" s="56">
        <v>45910</v>
      </c>
      <c r="D1558" s="43">
        <v>299</v>
      </c>
      <c r="G1558" t="s">
        <v>1652</v>
      </c>
    </row>
    <row r="1559" spans="1:7">
      <c r="A1559" s="396" t="s">
        <v>552</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782</v>
      </c>
      <c r="B1561" s="682" t="s">
        <v>1533</v>
      </c>
      <c r="C1561" s="56">
        <v>45910</v>
      </c>
      <c r="D1561" s="43">
        <v>333</v>
      </c>
      <c r="G1561" t="s">
        <v>1652</v>
      </c>
    </row>
    <row r="1562" spans="1:7">
      <c r="A1562" s="710" t="s">
        <v>1011</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1019</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1011</v>
      </c>
      <c r="B1577" s="682" t="s">
        <v>129</v>
      </c>
      <c r="C1577" s="56">
        <v>45915</v>
      </c>
      <c r="D1577" s="155">
        <v>1238</v>
      </c>
      <c r="F1577" s="69"/>
      <c r="G1577" t="s">
        <v>1652</v>
      </c>
    </row>
    <row r="1578" spans="1:7">
      <c r="A1578" s="681" t="s">
        <v>1019</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1011</v>
      </c>
      <c r="B1582" s="682" t="s">
        <v>129</v>
      </c>
      <c r="C1582" s="56">
        <v>45916</v>
      </c>
      <c r="D1582" s="155">
        <v>1531</v>
      </c>
      <c r="F1582" s="731"/>
      <c r="G1582" t="s">
        <v>1652</v>
      </c>
    </row>
    <row r="1583" spans="1:7">
      <c r="A1583" s="681" t="s">
        <v>1019</v>
      </c>
      <c r="B1583" s="131" t="s">
        <v>1093</v>
      </c>
      <c r="C1583" s="56">
        <v>45916</v>
      </c>
      <c r="E1583" s="321"/>
      <c r="F1583" s="731" t="s">
        <v>1678</v>
      </c>
      <c r="G1583" t="s">
        <v>1652</v>
      </c>
    </row>
    <row r="1584" spans="1:7">
      <c r="A1584" s="69" t="s">
        <v>1001</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1011</v>
      </c>
      <c r="B1590" s="351" t="s">
        <v>129</v>
      </c>
      <c r="C1590" s="56">
        <v>45917</v>
      </c>
      <c r="D1590" s="155">
        <v>1250</v>
      </c>
      <c r="F1590" s="731" t="s">
        <v>1680</v>
      </c>
      <c r="G1590" t="s">
        <v>1652</v>
      </c>
    </row>
    <row r="1591" spans="1:7">
      <c r="A1591" s="734" t="s">
        <v>552</v>
      </c>
      <c r="B1591" s="315" t="s">
        <v>141</v>
      </c>
      <c r="C1591" s="56">
        <v>45917</v>
      </c>
      <c r="D1591" s="43">
        <v>250</v>
      </c>
      <c r="F1591" s="731" t="s">
        <v>1681</v>
      </c>
      <c r="G1591" t="s">
        <v>1652</v>
      </c>
    </row>
    <row r="1592" spans="1:7">
      <c r="A1592" s="141" t="s">
        <v>1001</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1011</v>
      </c>
      <c r="B1599" s="682" t="s">
        <v>129</v>
      </c>
      <c r="C1599" s="56">
        <v>45918</v>
      </c>
      <c r="D1599" s="43">
        <v>361</v>
      </c>
      <c r="F1599" s="731" t="s">
        <v>1685</v>
      </c>
      <c r="G1599" t="s">
        <v>1652</v>
      </c>
    </row>
    <row r="1600" spans="1:7">
      <c r="A1600" s="69" t="s">
        <v>1001</v>
      </c>
      <c r="B1600" s="682" t="s">
        <v>129</v>
      </c>
      <c r="C1600" s="56">
        <v>45918</v>
      </c>
      <c r="D1600" s="155">
        <v>1204</v>
      </c>
      <c r="F1600" s="731" t="s">
        <v>1686</v>
      </c>
      <c r="G1600" t="s">
        <v>1652</v>
      </c>
    </row>
    <row r="1601" spans="1:7">
      <c r="A1601" s="69" t="s">
        <v>554</v>
      </c>
      <c r="B1601" s="682" t="s">
        <v>129</v>
      </c>
      <c r="C1601" s="56">
        <v>45918</v>
      </c>
      <c r="D1601" s="155">
        <v>562</v>
      </c>
      <c r="F1601" s="731"/>
      <c r="G1601" t="s">
        <v>1652</v>
      </c>
    </row>
    <row r="1602" spans="1:7">
      <c r="A1602" s="69" t="s">
        <v>1003</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1019</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129</v>
      </c>
      <c r="C1613" s="56">
        <v>45922</v>
      </c>
      <c r="D1613" s="43">
        <v>978</v>
      </c>
      <c r="F1613" s="731" t="s">
        <v>1690</v>
      </c>
      <c r="G1613" t="s">
        <v>1652</v>
      </c>
    </row>
    <row r="1614" spans="1:7">
      <c r="A1614" s="305" t="s">
        <v>1003</v>
      </c>
      <c r="B1614" s="742" t="s">
        <v>129</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535</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129</v>
      </c>
      <c r="C1622" s="56">
        <v>45923</v>
      </c>
      <c r="D1622" s="43">
        <v>675</v>
      </c>
      <c r="F1622" s="69"/>
      <c r="G1622" t="s">
        <v>1652</v>
      </c>
    </row>
    <row r="1623" spans="1:7">
      <c r="A1623" s="69" t="s">
        <v>557</v>
      </c>
      <c r="B1623" s="749" t="s">
        <v>129</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891</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129</v>
      </c>
      <c r="C1631" s="336">
        <v>45924</v>
      </c>
      <c r="D1631" s="155">
        <v>1205</v>
      </c>
      <c r="F1631" s="69" t="s">
        <v>1698</v>
      </c>
      <c r="G1631" t="s">
        <v>1652</v>
      </c>
    </row>
    <row r="1632" spans="1:7">
      <c r="A1632" s="69" t="s">
        <v>557</v>
      </c>
      <c r="B1632" s="395" t="s">
        <v>129</v>
      </c>
      <c r="C1632" s="56">
        <v>45924</v>
      </c>
      <c r="D1632" s="760">
        <v>1538</v>
      </c>
      <c r="F1632" s="69" t="s">
        <v>1699</v>
      </c>
      <c r="G1632" t="s">
        <v>1652</v>
      </c>
    </row>
    <row r="1633" spans="1:7">
      <c r="A1633" s="757" t="s">
        <v>982</v>
      </c>
      <c r="B1633" s="395" t="s">
        <v>1093</v>
      </c>
      <c r="C1633" s="56">
        <v>45924</v>
      </c>
      <c r="D1633" s="161">
        <v>240</v>
      </c>
      <c r="F1633" s="69"/>
      <c r="G1633" t="s">
        <v>1652</v>
      </c>
    </row>
    <row r="1634" spans="1:7">
      <c r="A1634" s="757" t="s">
        <v>1011</v>
      </c>
      <c r="B1634" s="395" t="s">
        <v>129</v>
      </c>
      <c r="C1634" s="56">
        <v>45924</v>
      </c>
      <c r="D1634" s="161"/>
      <c r="F1634" s="337" t="s">
        <v>1700</v>
      </c>
      <c r="G1634" t="s">
        <v>1652</v>
      </c>
    </row>
    <row r="1635" spans="1:7">
      <c r="A1635" s="69" t="s">
        <v>554</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222</v>
      </c>
      <c r="C1640" s="56">
        <v>45924</v>
      </c>
      <c r="D1640" s="43">
        <v>406</v>
      </c>
      <c r="F1640" s="30"/>
      <c r="G1640" t="s">
        <v>1652</v>
      </c>
    </row>
    <row r="1641" spans="1:7">
      <c r="A1641" s="753" t="s">
        <v>1011</v>
      </c>
      <c r="B1641" s="629" t="s">
        <v>1093</v>
      </c>
      <c r="C1641" s="56">
        <v>45924</v>
      </c>
      <c r="E1641" s="321">
        <v>1837</v>
      </c>
      <c r="F1641" s="69" t="s">
        <v>1703</v>
      </c>
      <c r="G1641" t="s">
        <v>1652</v>
      </c>
    </row>
    <row r="1642" spans="1:7">
      <c r="A1642" s="753" t="s">
        <v>1001</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129</v>
      </c>
      <c r="C1647" s="56">
        <v>45925</v>
      </c>
      <c r="D1647" s="155">
        <v>1000</v>
      </c>
      <c r="F1647" s="30"/>
      <c r="G1647" t="s">
        <v>1652</v>
      </c>
    </row>
    <row r="1648" spans="1:7">
      <c r="A1648" s="69" t="s">
        <v>557</v>
      </c>
      <c r="B1648" s="749" t="s">
        <v>129</v>
      </c>
      <c r="C1648" s="56">
        <v>45925</v>
      </c>
      <c r="D1648" s="155">
        <v>1377</v>
      </c>
      <c r="F1648" s="69" t="s">
        <v>1704</v>
      </c>
      <c r="G1648" t="s">
        <v>1652</v>
      </c>
    </row>
    <row r="1649" spans="1:7">
      <c r="A1649" s="747" t="s">
        <v>982</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982</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129</v>
      </c>
      <c r="C1667" s="56">
        <v>45929</v>
      </c>
      <c r="D1667" s="43">
        <v>600</v>
      </c>
      <c r="F1667" s="43" t="s">
        <v>1712</v>
      </c>
      <c r="G1667" t="s">
        <v>1652</v>
      </c>
    </row>
    <row r="1668" spans="1:7">
      <c r="A1668" s="311" t="s">
        <v>563</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563</v>
      </c>
      <c r="B1674" s="311" t="s">
        <v>129</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1003</v>
      </c>
      <c r="B1680" s="141" t="s">
        <v>1093</v>
      </c>
      <c r="C1680" s="310">
        <v>45930</v>
      </c>
      <c r="E1680" s="139">
        <v>536</v>
      </c>
      <c r="G1680" t="s">
        <v>1652</v>
      </c>
    </row>
    <row r="1681" spans="1:7">
      <c r="A1681" s="798" t="s">
        <v>557</v>
      </c>
      <c r="B1681" s="141" t="s">
        <v>1093</v>
      </c>
      <c r="C1681" s="310">
        <v>45930</v>
      </c>
      <c r="E1681" s="139">
        <v>886</v>
      </c>
      <c r="G1681" t="s">
        <v>1652</v>
      </c>
    </row>
    <row r="1682" spans="1:7">
      <c r="A1682" s="134" t="s">
        <v>384</v>
      </c>
      <c r="B1682" s="304" t="s">
        <v>385</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526</v>
      </c>
      <c r="B1686" s="349" t="s">
        <v>222</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129</v>
      </c>
      <c r="C1692" s="56">
        <v>45931</v>
      </c>
      <c r="D1692" s="155">
        <v>1118</v>
      </c>
      <c r="G1692" t="s">
        <v>1718</v>
      </c>
    </row>
    <row r="1693" spans="1:7">
      <c r="A1693" s="134" t="s">
        <v>384</v>
      </c>
      <c r="B1693" s="141" t="s">
        <v>385</v>
      </c>
      <c r="C1693" s="56">
        <v>45931</v>
      </c>
      <c r="D1693" s="43">
        <v>312</v>
      </c>
      <c r="G1693" t="s">
        <v>1718</v>
      </c>
    </row>
    <row r="1694" spans="1:7">
      <c r="A1694" s="549" t="s">
        <v>526</v>
      </c>
      <c r="B1694" s="141" t="s">
        <v>222</v>
      </c>
      <c r="C1694" s="56">
        <v>45931</v>
      </c>
      <c r="D1694" s="43">
        <v>753</v>
      </c>
      <c r="G1694" t="s">
        <v>1718</v>
      </c>
    </row>
    <row r="1695" spans="1:7">
      <c r="A1695" s="305" t="s">
        <v>407</v>
      </c>
      <c r="B1695" s="348" t="s">
        <v>222</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1013</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129</v>
      </c>
      <c r="C1701" s="56">
        <v>45932</v>
      </c>
      <c r="D1701" s="155">
        <v>1472</v>
      </c>
      <c r="F1701" s="43" t="s">
        <v>1673</v>
      </c>
      <c r="G1701" t="s">
        <v>1718</v>
      </c>
    </row>
    <row r="1702" spans="1:7">
      <c r="A1702" s="799" t="s">
        <v>724</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526</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1013</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891</v>
      </c>
      <c r="C1725" s="56">
        <v>45936</v>
      </c>
      <c r="D1725" s="43">
        <v>225</v>
      </c>
      <c r="G1725" t="s">
        <v>1718</v>
      </c>
    </row>
    <row r="1726" spans="1:7">
      <c r="A1726" s="547" t="s">
        <v>526</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1013</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129</v>
      </c>
      <c r="C1743" s="56">
        <v>45938</v>
      </c>
      <c r="D1743" s="43">
        <v>308</v>
      </c>
      <c r="F1743" s="43" t="s">
        <v>1734</v>
      </c>
      <c r="G1743" t="s">
        <v>1718</v>
      </c>
    </row>
    <row r="1744" spans="1:7">
      <c r="A1744" s="645" t="s">
        <v>563</v>
      </c>
      <c r="B1744" s="141" t="s">
        <v>129</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407</v>
      </c>
      <c r="B1748" s="317" t="s">
        <v>222</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129</v>
      </c>
      <c r="C1753" s="56">
        <v>45939</v>
      </c>
      <c r="F1753" s="616" t="s">
        <v>1238</v>
      </c>
      <c r="G1753" t="s">
        <v>1718</v>
      </c>
    </row>
    <row r="1754" spans="1:7">
      <c r="A1754" s="148" t="s">
        <v>547</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1013</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387</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582</v>
      </c>
      <c r="B1773" s="305" t="s">
        <v>129</v>
      </c>
      <c r="C1773" s="56">
        <v>45943</v>
      </c>
      <c r="D1773" s="155">
        <v>1768</v>
      </c>
      <c r="G1773" t="s">
        <v>1718</v>
      </c>
    </row>
    <row r="1774" spans="1:7">
      <c r="A1774" s="920" t="s">
        <v>1013</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1029</v>
      </c>
      <c r="B1780" s="337" t="s">
        <v>1093</v>
      </c>
      <c r="C1780" s="56">
        <v>45944</v>
      </c>
      <c r="F1780" s="337" t="s">
        <v>1744</v>
      </c>
      <c r="G1780" t="s">
        <v>1718</v>
      </c>
    </row>
    <row r="1781" spans="1:7">
      <c r="A1781" s="317" t="s">
        <v>156</v>
      </c>
      <c r="B1781" s="306" t="s">
        <v>129</v>
      </c>
      <c r="C1781" s="56">
        <v>45944</v>
      </c>
      <c r="D1781" s="43">
        <v>150</v>
      </c>
      <c r="G1781" t="s">
        <v>1718</v>
      </c>
    </row>
    <row r="1782" spans="1:7">
      <c r="A1782" s="802" t="s">
        <v>582</v>
      </c>
      <c r="B1782" s="141" t="s">
        <v>129</v>
      </c>
      <c r="C1782" s="310">
        <v>45944</v>
      </c>
      <c r="D1782" s="43">
        <v>510</v>
      </c>
      <c r="F1782" s="43" t="s">
        <v>1745</v>
      </c>
      <c r="G1782" t="s">
        <v>1718</v>
      </c>
    </row>
    <row r="1783" spans="1:7">
      <c r="A1783" s="802" t="s">
        <v>586</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1029</v>
      </c>
      <c r="B1790" s="311" t="s">
        <v>1093</v>
      </c>
      <c r="C1790" s="56">
        <v>45945</v>
      </c>
      <c r="D1790" s="43">
        <v>240</v>
      </c>
      <c r="E1790" s="139">
        <v>270</v>
      </c>
      <c r="F1790" s="43" t="s">
        <v>1749</v>
      </c>
      <c r="G1790" t="s">
        <v>1718</v>
      </c>
    </row>
    <row r="1791" spans="1:7">
      <c r="A1791" s="315" t="s">
        <v>586</v>
      </c>
      <c r="B1791" s="315" t="s">
        <v>129</v>
      </c>
      <c r="C1791" s="56">
        <v>45945</v>
      </c>
      <c r="D1791" s="155">
        <v>1312</v>
      </c>
      <c r="F1791" s="43" t="s">
        <v>1750</v>
      </c>
      <c r="G1791" t="s">
        <v>1718</v>
      </c>
    </row>
    <row r="1792" spans="1:7">
      <c r="A1792" s="924" t="s">
        <v>1015</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129</v>
      </c>
      <c r="C1800" s="310">
        <v>45946</v>
      </c>
      <c r="D1800" s="43">
        <v>359</v>
      </c>
      <c r="F1800" s="43" t="s">
        <v>1757</v>
      </c>
      <c r="G1800" t="s">
        <v>1718</v>
      </c>
    </row>
    <row r="1801" spans="1:7">
      <c r="A1801" s="929" t="s">
        <v>1015</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1015</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1017</v>
      </c>
      <c r="B1826" s="951" t="s">
        <v>129</v>
      </c>
      <c r="C1826" s="56">
        <v>45951</v>
      </c>
      <c r="D1826" s="155">
        <v>1007</v>
      </c>
      <c r="F1826" s="43" t="s">
        <v>1769</v>
      </c>
      <c r="G1826" t="s">
        <v>1718</v>
      </c>
    </row>
    <row r="1827" spans="1:7">
      <c r="A1827" s="169" t="s">
        <v>592</v>
      </c>
      <c r="B1827" s="43" t="s">
        <v>129</v>
      </c>
      <c r="C1827" s="56">
        <v>45951</v>
      </c>
      <c r="D1827" s="155">
        <v>1182</v>
      </c>
      <c r="F1827" s="43" t="s">
        <v>1770</v>
      </c>
      <c r="G1827" t="s">
        <v>1718</v>
      </c>
    </row>
    <row r="1828" spans="1:7">
      <c r="A1828" s="322" t="s">
        <v>526</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976</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129</v>
      </c>
      <c r="C1835" s="56">
        <v>45952</v>
      </c>
      <c r="D1835" s="155">
        <v>1604</v>
      </c>
      <c r="F1835" s="43" t="s">
        <v>1774</v>
      </c>
      <c r="G1835" t="s">
        <v>1718</v>
      </c>
    </row>
    <row r="1836" spans="1:7">
      <c r="A1836" s="950" t="s">
        <v>1017</v>
      </c>
      <c r="B1836" s="395" t="s">
        <v>129</v>
      </c>
      <c r="C1836" s="56">
        <v>45952</v>
      </c>
      <c r="D1836" s="155">
        <v>1672</v>
      </c>
      <c r="F1836" s="43" t="s">
        <v>1775</v>
      </c>
      <c r="G1836" t="s">
        <v>1718</v>
      </c>
    </row>
    <row r="1837" spans="1:7">
      <c r="A1837" s="925" t="s">
        <v>526</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976</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129</v>
      </c>
      <c r="C1846" s="56">
        <v>45953</v>
      </c>
      <c r="D1846" s="155">
        <v>1268</v>
      </c>
      <c r="F1846" s="43" t="s">
        <v>1782</v>
      </c>
      <c r="G1846" t="s">
        <v>1718</v>
      </c>
    </row>
    <row r="1847" spans="1:7">
      <c r="A1847" s="961" t="s">
        <v>1017</v>
      </c>
      <c r="B1847" s="395" t="s">
        <v>129</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976</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1017</v>
      </c>
      <c r="B1866" s="141" t="s">
        <v>129</v>
      </c>
      <c r="C1866" s="56">
        <v>45957</v>
      </c>
      <c r="D1866" s="43">
        <v>587</v>
      </c>
      <c r="F1866" s="43" t="s">
        <v>1794</v>
      </c>
      <c r="G1866" t="s">
        <v>1718</v>
      </c>
    </row>
    <row r="1867" spans="1:7">
      <c r="A1867" s="961" t="s">
        <v>592</v>
      </c>
      <c r="B1867" s="395" t="s">
        <v>129</v>
      </c>
      <c r="C1867" s="56">
        <v>45957</v>
      </c>
      <c r="D1867" s="155">
        <v>1310</v>
      </c>
      <c r="F1867" s="43" t="s">
        <v>1795</v>
      </c>
      <c r="G1867" t="s">
        <v>1718</v>
      </c>
    </row>
    <row r="1868" spans="1:7">
      <c r="A1868" s="169" t="s">
        <v>547</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129</v>
      </c>
      <c r="C1879" s="56">
        <v>45958</v>
      </c>
      <c r="D1879" s="155">
        <v>1509</v>
      </c>
      <c r="F1879" s="43" t="s">
        <v>1800</v>
      </c>
      <c r="G1879" t="s">
        <v>1718</v>
      </c>
    </row>
    <row r="1880" spans="1:7">
      <c r="A1880" s="961" t="s">
        <v>578</v>
      </c>
      <c r="B1880" s="395" t="s">
        <v>129</v>
      </c>
      <c r="C1880" s="56">
        <v>45958</v>
      </c>
      <c r="D1880" s="155">
        <v>1678</v>
      </c>
      <c r="F1880" s="43" t="s">
        <v>1801</v>
      </c>
      <c r="G1880" t="s">
        <v>1718</v>
      </c>
    </row>
    <row r="1881" spans="1:7">
      <c r="A1881" s="961" t="s">
        <v>1017</v>
      </c>
      <c r="B1881" s="395" t="s">
        <v>129</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129</v>
      </c>
      <c r="C1904" s="56">
        <v>45960</v>
      </c>
      <c r="D1904" s="43">
        <v>777</v>
      </c>
      <c r="F1904" s="43" t="s">
        <v>1818</v>
      </c>
      <c r="G1904" t="s">
        <v>1718</v>
      </c>
    </row>
    <row r="1905" spans="1:7">
      <c r="A1905" s="43" t="s">
        <v>578</v>
      </c>
      <c r="B1905" s="988" t="s">
        <v>129</v>
      </c>
      <c r="C1905" s="56">
        <v>45960</v>
      </c>
      <c r="D1905" s="43">
        <v>394</v>
      </c>
      <c r="E1905" s="321">
        <v>1275</v>
      </c>
      <c r="F1905" s="43" t="s">
        <v>1819</v>
      </c>
      <c r="G1905" t="s">
        <v>1718</v>
      </c>
    </row>
    <row r="1906" spans="1:7">
      <c r="A1906" s="989" t="s">
        <v>617</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1017</v>
      </c>
      <c r="B1908" s="169" t="s">
        <v>1093</v>
      </c>
      <c r="C1908" s="56">
        <v>45960</v>
      </c>
      <c r="D1908" s="139"/>
      <c r="E1908" s="43">
        <v>669</v>
      </c>
      <c r="G1908" t="s">
        <v>1718</v>
      </c>
    </row>
    <row r="1909" spans="1:7">
      <c r="A1909" s="169" t="s">
        <v>582</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129</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976</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129</v>
      </c>
      <c r="C1928" s="56">
        <v>45964</v>
      </c>
      <c r="D1928" s="155">
        <v>1420</v>
      </c>
      <c r="F1928" s="43" t="s">
        <v>1540</v>
      </c>
      <c r="G1928" t="s">
        <v>1828</v>
      </c>
    </row>
    <row r="1929" spans="1:7">
      <c r="A1929" s="346" t="s">
        <v>592</v>
      </c>
      <c r="B1929" s="349" t="s">
        <v>129</v>
      </c>
      <c r="C1929" s="56">
        <v>45964</v>
      </c>
      <c r="D1929" s="43">
        <v>701</v>
      </c>
      <c r="F1929" s="43" t="s">
        <v>1661</v>
      </c>
      <c r="G1929" t="s">
        <v>1828</v>
      </c>
    </row>
    <row r="1930" spans="1:7">
      <c r="A1930" s="141" t="s">
        <v>590</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976</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233</v>
      </c>
      <c r="C1943" s="56">
        <v>45965</v>
      </c>
      <c r="D1943" s="43">
        <v>778</v>
      </c>
      <c r="G1943" t="s">
        <v>1828</v>
      </c>
    </row>
    <row r="1944" spans="1:7">
      <c r="A1944" s="148" t="s">
        <v>649</v>
      </c>
      <c r="B1944" s="43" t="s">
        <v>1709</v>
      </c>
      <c r="C1944" s="56">
        <v>45965</v>
      </c>
      <c r="D1944" s="43">
        <v>550</v>
      </c>
      <c r="G1944" t="s">
        <v>1828</v>
      </c>
    </row>
    <row r="1945" spans="1:7">
      <c r="A1945" s="961" t="s">
        <v>590</v>
      </c>
      <c r="B1945" s="43" t="s">
        <v>129</v>
      </c>
      <c r="C1945" s="56">
        <v>45965</v>
      </c>
      <c r="D1945" s="155">
        <v>1120</v>
      </c>
      <c r="F1945" s="43" t="s">
        <v>1836</v>
      </c>
      <c r="G1945" t="s">
        <v>1828</v>
      </c>
    </row>
    <row r="1946" spans="1:7">
      <c r="A1946" s="141" t="s">
        <v>617</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976</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233</v>
      </c>
      <c r="C1957" s="56">
        <v>45966</v>
      </c>
      <c r="D1957" s="43">
        <v>885</v>
      </c>
      <c r="G1957" t="s">
        <v>1828</v>
      </c>
    </row>
    <row r="1958" spans="1:7">
      <c r="A1958" s="141" t="s">
        <v>590</v>
      </c>
      <c r="B1958" s="141" t="s">
        <v>129</v>
      </c>
      <c r="C1958" s="56">
        <v>45966</v>
      </c>
      <c r="D1958" s="155">
        <v>1488</v>
      </c>
      <c r="F1958" s="43" t="s">
        <v>1841</v>
      </c>
      <c r="G1958" t="s">
        <v>1828</v>
      </c>
    </row>
    <row r="1959" spans="1:7">
      <c r="A1959" s="304" t="s">
        <v>617</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129</v>
      </c>
      <c r="C1962" s="56">
        <v>45966</v>
      </c>
      <c r="D1962" s="155">
        <v>1031</v>
      </c>
      <c r="G1962" t="s">
        <v>1828</v>
      </c>
    </row>
    <row r="1963" spans="1:7">
      <c r="A1963" s="141" t="s">
        <v>976</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976</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471</v>
      </c>
      <c r="B1990" s="43" t="s">
        <v>129</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129</v>
      </c>
      <c r="C1994" s="56">
        <v>45971</v>
      </c>
      <c r="D1994" s="155">
        <v>1351</v>
      </c>
      <c r="G1994" t="s">
        <v>1828</v>
      </c>
    </row>
    <row r="1995" spans="1:7">
      <c r="A1995" s="315" t="s">
        <v>592</v>
      </c>
      <c r="B1995" s="315" t="s">
        <v>129</v>
      </c>
      <c r="C1995" s="56">
        <v>45971</v>
      </c>
      <c r="D1995" s="43">
        <v>138</v>
      </c>
      <c r="F1995" s="43" t="s">
        <v>1850</v>
      </c>
      <c r="G1995" t="s">
        <v>1828</v>
      </c>
    </row>
    <row r="1996" spans="1:7">
      <c r="A1996" s="315" t="s">
        <v>617</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471</v>
      </c>
      <c r="B2001" s="311" t="s">
        <v>129</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620</v>
      </c>
      <c r="B2009" s="115" t="s">
        <v>129</v>
      </c>
      <c r="C2009" s="56">
        <v>45973</v>
      </c>
      <c r="D2009" s="43">
        <v>890</v>
      </c>
      <c r="G2009" t="s">
        <v>1828</v>
      </c>
    </row>
    <row r="2010" spans="1:7">
      <c r="A2010" s="43" t="s">
        <v>620</v>
      </c>
      <c r="B2010" s="115" t="s">
        <v>446</v>
      </c>
      <c r="C2010" s="56">
        <v>45973</v>
      </c>
      <c r="F2010" s="43" t="s">
        <v>1535</v>
      </c>
      <c r="G2010" t="s">
        <v>1828</v>
      </c>
    </row>
    <row r="2011" spans="1:7">
      <c r="A2011" s="43" t="s">
        <v>588</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471</v>
      </c>
      <c r="B2017" s="43" t="s">
        <v>129</v>
      </c>
      <c r="C2017" s="56">
        <v>45973</v>
      </c>
      <c r="D2017" s="43">
        <v>242</v>
      </c>
      <c r="G2017" t="s">
        <v>1828</v>
      </c>
    </row>
    <row r="2018" spans="1:7">
      <c r="A2018" s="43" t="s">
        <v>463</v>
      </c>
      <c r="B2018" s="43" t="s">
        <v>129</v>
      </c>
      <c r="C2018" s="56">
        <v>45973</v>
      </c>
      <c r="D2018" s="155">
        <v>1264</v>
      </c>
      <c r="G2018" t="s">
        <v>1828</v>
      </c>
    </row>
    <row r="2019" spans="1:7">
      <c r="A2019" s="43" t="s">
        <v>476</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588</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476</v>
      </c>
      <c r="B2029" s="43" t="s">
        <v>129</v>
      </c>
      <c r="C2029" s="56">
        <v>45974</v>
      </c>
      <c r="D2029" s="155">
        <v>3382</v>
      </c>
      <c r="G2029" t="s">
        <v>1828</v>
      </c>
    </row>
    <row r="2030" spans="1:7">
      <c r="A2030" s="43" t="s">
        <v>463</v>
      </c>
      <c r="B2030" s="43" t="s">
        <v>129</v>
      </c>
      <c r="C2030" s="56">
        <v>45974</v>
      </c>
      <c r="D2030" s="155">
        <v>1281</v>
      </c>
      <c r="G2030" t="s">
        <v>1828</v>
      </c>
    </row>
    <row r="2031" spans="1:7">
      <c r="A2031" s="247" t="s">
        <v>506</v>
      </c>
      <c r="B2031" s="43" t="s">
        <v>129</v>
      </c>
      <c r="C2031" s="56">
        <v>45974</v>
      </c>
      <c r="D2031" s="43">
        <v>424</v>
      </c>
      <c r="G2031" t="s">
        <v>1828</v>
      </c>
    </row>
    <row r="2032" spans="1:7">
      <c r="A2032" s="247" t="s">
        <v>478</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129</v>
      </c>
      <c r="C2044" s="56">
        <v>45978</v>
      </c>
      <c r="D2044" s="43">
        <v>762</v>
      </c>
      <c r="G2044" t="s">
        <v>1828</v>
      </c>
    </row>
    <row r="2045" spans="1:7">
      <c r="A2045" s="141" t="s">
        <v>588</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473</v>
      </c>
      <c r="B2050" s="141" t="s">
        <v>129</v>
      </c>
      <c r="C2050" s="56">
        <v>45978</v>
      </c>
      <c r="D2050" s="155">
        <v>5466</v>
      </c>
      <c r="G2050" t="s">
        <v>1828</v>
      </c>
    </row>
    <row r="2051" spans="1:7">
      <c r="A2051" s="304" t="s">
        <v>463</v>
      </c>
      <c r="B2051" s="304" t="s">
        <v>129</v>
      </c>
      <c r="C2051" s="56">
        <v>45978</v>
      </c>
      <c r="D2051" s="155">
        <v>1662</v>
      </c>
      <c r="G2051" t="s">
        <v>1828</v>
      </c>
    </row>
    <row r="2052" spans="1:7">
      <c r="A2052" s="304" t="s">
        <v>478</v>
      </c>
      <c r="B2052" s="304" t="s">
        <v>129</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129</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463</v>
      </c>
      <c r="B2064" s="43" t="s">
        <v>129</v>
      </c>
      <c r="C2064" s="56">
        <v>45979</v>
      </c>
      <c r="D2064" s="155">
        <v>2684</v>
      </c>
      <c r="F2064" s="69"/>
      <c r="G2064" t="s">
        <v>1828</v>
      </c>
    </row>
    <row r="2065" spans="1:7">
      <c r="A2065" s="148" t="s">
        <v>478</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129</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473</v>
      </c>
      <c r="B2086" s="357" t="s">
        <v>129</v>
      </c>
      <c r="C2086" s="56">
        <v>45981</v>
      </c>
      <c r="D2086" s="155">
        <v>2252</v>
      </c>
      <c r="F2086" s="69"/>
      <c r="G2086" t="s">
        <v>1828</v>
      </c>
    </row>
    <row r="2087" spans="1:7">
      <c r="A2087" s="318" t="s">
        <v>478</v>
      </c>
      <c r="B2087" s="387" t="s">
        <v>129</v>
      </c>
      <c r="C2087" s="56">
        <v>45981</v>
      </c>
      <c r="D2087" s="1077">
        <v>1027</v>
      </c>
      <c r="F2087" s="69"/>
      <c r="G2087" t="s">
        <v>1828</v>
      </c>
    </row>
    <row r="2088" spans="1:7">
      <c r="A2088" s="348" t="s">
        <v>481</v>
      </c>
      <c r="B2088" s="357" t="s">
        <v>129</v>
      </c>
      <c r="C2088" s="56">
        <v>45981</v>
      </c>
      <c r="D2088" s="155">
        <v>1420</v>
      </c>
      <c r="F2088" s="69"/>
      <c r="G2088" t="s">
        <v>1828</v>
      </c>
    </row>
    <row r="2089" spans="1:7">
      <c r="A2089" s="318" t="s">
        <v>484</v>
      </c>
      <c r="B2089" s="387" t="s">
        <v>129</v>
      </c>
      <c r="C2089" s="56">
        <v>45981</v>
      </c>
      <c r="D2089" s="155">
        <v>2376</v>
      </c>
      <c r="F2089" s="69"/>
      <c r="G2089" t="s">
        <v>1828</v>
      </c>
    </row>
    <row r="2090" spans="1:7">
      <c r="A2090" s="348" t="s">
        <v>506</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463</v>
      </c>
      <c r="B2097" s="165" t="s">
        <v>129</v>
      </c>
      <c r="C2097" s="56">
        <v>45982</v>
      </c>
      <c r="D2097" s="43">
        <v>51</v>
      </c>
      <c r="F2097" s="69"/>
      <c r="G2097" t="s">
        <v>1828</v>
      </c>
    </row>
    <row r="2098" spans="1:7">
      <c r="A2098" s="404" t="s">
        <v>506</v>
      </c>
      <c r="B2098" s="173" t="s">
        <v>129</v>
      </c>
      <c r="C2098" s="56">
        <v>45982</v>
      </c>
      <c r="D2098" s="155">
        <v>3007</v>
      </c>
      <c r="F2098" s="69"/>
      <c r="G2098" t="s">
        <v>1828</v>
      </c>
    </row>
    <row r="2099" spans="1:7">
      <c r="A2099" s="404" t="s">
        <v>478</v>
      </c>
      <c r="B2099" s="173" t="s">
        <v>129</v>
      </c>
      <c r="C2099" s="56">
        <v>45982</v>
      </c>
      <c r="D2099" s="43">
        <v>490</v>
      </c>
      <c r="F2099" s="69"/>
      <c r="G2099" t="s">
        <v>1828</v>
      </c>
    </row>
    <row r="2100" spans="1:7">
      <c r="A2100" s="404" t="s">
        <v>481</v>
      </c>
      <c r="B2100" s="173" t="s">
        <v>129</v>
      </c>
      <c r="C2100" s="56">
        <v>45982</v>
      </c>
      <c r="D2100" s="155">
        <v>3043</v>
      </c>
      <c r="F2100" s="69"/>
      <c r="G2100" t="s">
        <v>1828</v>
      </c>
    </row>
    <row r="2101" spans="1:7">
      <c r="A2101" s="404" t="s">
        <v>484</v>
      </c>
      <c r="B2101" s="173" t="s">
        <v>129</v>
      </c>
      <c r="C2101" s="56">
        <v>45982</v>
      </c>
      <c r="D2101" s="155">
        <v>1217</v>
      </c>
      <c r="F2101" s="69"/>
      <c r="G2101" t="s">
        <v>1828</v>
      </c>
    </row>
    <row r="2102" spans="1:7">
      <c r="A2102" s="69" t="s">
        <v>1048</v>
      </c>
      <c r="B2102" s="43" t="s">
        <v>1093</v>
      </c>
      <c r="C2102" s="56">
        <v>45982</v>
      </c>
      <c r="E2102" s="321">
        <v>2257</v>
      </c>
      <c r="F2102" s="69" t="s">
        <v>1541</v>
      </c>
      <c r="G2102" t="s">
        <v>1828</v>
      </c>
    </row>
    <row r="2103" spans="1:7">
      <c r="A2103" s="69" t="s">
        <v>1050</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129</v>
      </c>
      <c r="C2111" s="56">
        <v>45985</v>
      </c>
      <c r="D2111" s="43">
        <v>805</v>
      </c>
      <c r="F2111" s="69" t="s">
        <v>1892</v>
      </c>
      <c r="G2111" t="s">
        <v>1828</v>
      </c>
    </row>
    <row r="2112" spans="1:7">
      <c r="A2112" s="43" t="s">
        <v>597</v>
      </c>
      <c r="B2112" s="1085" t="s">
        <v>129</v>
      </c>
      <c r="C2112" s="56">
        <v>45985</v>
      </c>
      <c r="D2112" s="43">
        <v>665</v>
      </c>
      <c r="F2112" s="69"/>
      <c r="G2112" t="s">
        <v>1828</v>
      </c>
    </row>
    <row r="2113" spans="1:7">
      <c r="A2113" s="43" t="s">
        <v>433</v>
      </c>
      <c r="B2113" s="1085" t="s">
        <v>129</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976</v>
      </c>
      <c r="B2118" s="371" t="s">
        <v>1753</v>
      </c>
      <c r="C2118" s="56">
        <v>45985</v>
      </c>
      <c r="D2118" s="139"/>
      <c r="E2118" s="43"/>
      <c r="F2118" s="1084" t="s">
        <v>1895</v>
      </c>
      <c r="G2118" t="s">
        <v>1828</v>
      </c>
    </row>
    <row r="2119" spans="1:7">
      <c r="A2119" s="430" t="s">
        <v>409</v>
      </c>
      <c r="B2119" s="247" t="s">
        <v>1753</v>
      </c>
      <c r="C2119" s="56">
        <v>45985</v>
      </c>
      <c r="D2119" s="139"/>
      <c r="E2119" s="43"/>
      <c r="F2119" s="1084" t="s">
        <v>1896</v>
      </c>
      <c r="G2119" t="s">
        <v>1828</v>
      </c>
    </row>
    <row r="2120" spans="1:7">
      <c r="A2120" s="43" t="s">
        <v>398</v>
      </c>
      <c r="B2120" s="247" t="s">
        <v>1753</v>
      </c>
      <c r="C2120" s="56">
        <v>45985</v>
      </c>
      <c r="D2120" s="139"/>
      <c r="E2120" s="43"/>
      <c r="F2120" s="1084" t="s">
        <v>1897</v>
      </c>
      <c r="G2120" t="s">
        <v>1828</v>
      </c>
    </row>
    <row r="2121" spans="1:7">
      <c r="A2121" s="43" t="s">
        <v>421</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129</v>
      </c>
      <c r="C2128" s="56">
        <v>45986</v>
      </c>
      <c r="D2128" s="155">
        <v>1100</v>
      </c>
      <c r="G2128" t="s">
        <v>1828</v>
      </c>
    </row>
    <row r="2129" spans="1:7">
      <c r="A2129" s="43" t="s">
        <v>597</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976</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465</v>
      </c>
      <c r="B2136" s="165" t="s">
        <v>129</v>
      </c>
      <c r="C2136" s="56">
        <v>45986</v>
      </c>
      <c r="D2136" s="155">
        <v>2382</v>
      </c>
      <c r="G2136" t="s">
        <v>1828</v>
      </c>
    </row>
    <row r="2137" spans="1:7">
      <c r="A2137" s="404" t="s">
        <v>452</v>
      </c>
      <c r="B2137" s="173" t="s">
        <v>129</v>
      </c>
      <c r="C2137" s="56">
        <v>45986</v>
      </c>
      <c r="D2137" s="43">
        <v>996</v>
      </c>
      <c r="G2137" t="s">
        <v>1828</v>
      </c>
    </row>
    <row r="2138" spans="1:7">
      <c r="A2138" s="404" t="s">
        <v>487</v>
      </c>
      <c r="B2138" s="173" t="s">
        <v>129</v>
      </c>
      <c r="C2138" s="56">
        <v>45986</v>
      </c>
      <c r="D2138" s="155">
        <v>3634</v>
      </c>
      <c r="G2138" t="s">
        <v>1828</v>
      </c>
    </row>
    <row r="2139" spans="1:7">
      <c r="A2139" s="69" t="s">
        <v>484</v>
      </c>
      <c r="B2139" s="173" t="s">
        <v>129</v>
      </c>
      <c r="C2139" s="56">
        <v>45986</v>
      </c>
      <c r="D2139" s="155">
        <v>3311</v>
      </c>
      <c r="G2139" t="s">
        <v>1828</v>
      </c>
    </row>
    <row r="2140" spans="1:7">
      <c r="A2140" s="69" t="s">
        <v>317</v>
      </c>
      <c r="B2140" s="173" t="s">
        <v>129</v>
      </c>
      <c r="C2140" s="56">
        <v>45986</v>
      </c>
      <c r="D2140" s="155">
        <v>1175</v>
      </c>
      <c r="G2140" t="s">
        <v>1828</v>
      </c>
    </row>
    <row r="2141" spans="1:7">
      <c r="A2141" s="247" t="s">
        <v>481</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129</v>
      </c>
      <c r="C2147" s="56">
        <v>45987</v>
      </c>
      <c r="D2147" s="155">
        <v>1024</v>
      </c>
      <c r="F2147" s="43" t="s">
        <v>1903</v>
      </c>
      <c r="G2147" t="s">
        <v>1828</v>
      </c>
    </row>
    <row r="2148" spans="1:7">
      <c r="A2148" s="306" t="s">
        <v>600</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976</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129</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129</v>
      </c>
      <c r="C2176" s="56">
        <v>45992</v>
      </c>
      <c r="D2176" s="155">
        <v>1610</v>
      </c>
      <c r="F2176" s="43" t="s">
        <v>1916</v>
      </c>
      <c r="G2176" t="s">
        <v>1913</v>
      </c>
    </row>
    <row r="2177" spans="1:7">
      <c r="A2177" s="1086" t="s">
        <v>600</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487</v>
      </c>
      <c r="B2182" s="357" t="s">
        <v>129</v>
      </c>
      <c r="C2182" s="56">
        <v>45992</v>
      </c>
      <c r="D2182" s="155">
        <v>3376</v>
      </c>
      <c r="G2182" t="s">
        <v>1913</v>
      </c>
    </row>
    <row r="2183" spans="1:7">
      <c r="A2183" s="317" t="s">
        <v>465</v>
      </c>
      <c r="B2183" s="308" t="s">
        <v>129</v>
      </c>
      <c r="C2183" s="56">
        <v>45992</v>
      </c>
      <c r="D2183" s="155">
        <v>3084</v>
      </c>
      <c r="G2183" t="s">
        <v>1913</v>
      </c>
    </row>
    <row r="2184" spans="1:7">
      <c r="A2184" s="311" t="s">
        <v>503</v>
      </c>
      <c r="B2184" s="311" t="s">
        <v>129</v>
      </c>
      <c r="C2184" s="56">
        <v>45992</v>
      </c>
      <c r="D2184" s="155">
        <v>1829</v>
      </c>
      <c r="G2184" t="s">
        <v>1913</v>
      </c>
    </row>
    <row r="2185" spans="1:7">
      <c r="A2185" s="247" t="s">
        <v>468</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129</v>
      </c>
      <c r="C2194" s="56">
        <v>45993</v>
      </c>
      <c r="D2194" s="155">
        <v>2916</v>
      </c>
      <c r="G2194" t="s">
        <v>1913</v>
      </c>
    </row>
    <row r="2195" spans="1:7">
      <c r="A2195" s="315" t="s">
        <v>503</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141</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129</v>
      </c>
      <c r="C2204" s="56">
        <v>45994</v>
      </c>
      <c r="D2204" s="155">
        <v>1379</v>
      </c>
      <c r="F2204" s="43" t="s">
        <v>1928</v>
      </c>
      <c r="G2204" t="s">
        <v>1913</v>
      </c>
    </row>
    <row r="2205" spans="1:7">
      <c r="A2205" s="753" t="s">
        <v>421</v>
      </c>
      <c r="B2205" s="753" t="s">
        <v>1753</v>
      </c>
      <c r="C2205" s="56">
        <v>45994</v>
      </c>
      <c r="D2205" s="155">
        <v>1677</v>
      </c>
      <c r="G2205" t="s">
        <v>1913</v>
      </c>
    </row>
    <row r="2206" spans="1:7">
      <c r="A2206" s="1121" t="s">
        <v>468</v>
      </c>
      <c r="B2206" s="1122" t="s">
        <v>129</v>
      </c>
      <c r="C2206" s="56">
        <v>45994</v>
      </c>
      <c r="D2206" s="155">
        <v>2430</v>
      </c>
      <c r="G2206" t="s">
        <v>1913</v>
      </c>
    </row>
    <row r="2207" spans="1:7">
      <c r="A2207" s="756" t="s">
        <v>503</v>
      </c>
      <c r="B2207" s="756" t="s">
        <v>129</v>
      </c>
      <c r="C2207" s="56">
        <v>45994</v>
      </c>
      <c r="D2207" s="43">
        <v>694</v>
      </c>
      <c r="G2207" t="s">
        <v>1913</v>
      </c>
    </row>
    <row r="2208" spans="1:7">
      <c r="A2208" s="1121" t="s">
        <v>322</v>
      </c>
      <c r="B2208" s="1122"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569</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2" t="s">
        <v>129</v>
      </c>
      <c r="C2233" s="56">
        <v>45996</v>
      </c>
      <c r="E2233" s="139">
        <v>636</v>
      </c>
      <c r="F2233" s="944"/>
      <c r="G2233" t="s">
        <v>1913</v>
      </c>
    </row>
    <row r="2234" spans="1:7">
      <c r="A2234" s="311" t="s">
        <v>476</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141</v>
      </c>
      <c r="C2241" s="56">
        <v>45999</v>
      </c>
      <c r="D2241" s="155">
        <v>1172</v>
      </c>
      <c r="E2241" s="201"/>
      <c r="F2241" s="115" t="s">
        <v>1947</v>
      </c>
      <c r="G2241" t="s">
        <v>1913</v>
      </c>
    </row>
    <row r="2242" spans="1:7">
      <c r="A2242" s="1132" t="s">
        <v>436</v>
      </c>
      <c r="B2242" s="1133" t="s">
        <v>129</v>
      </c>
      <c r="C2242" s="56">
        <v>45999</v>
      </c>
      <c r="D2242" s="321">
        <v>1583</v>
      </c>
      <c r="E2242" s="43"/>
      <c r="F2242" s="43" t="s">
        <v>1948</v>
      </c>
      <c r="G2242" t="s">
        <v>1913</v>
      </c>
    </row>
    <row r="2243" spans="1:7">
      <c r="A2243" s="247" t="s">
        <v>575</v>
      </c>
      <c r="B2243" s="1133" t="s">
        <v>129</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496</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436</v>
      </c>
      <c r="B2253" s="247" t="s">
        <v>129</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141</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490</v>
      </c>
      <c r="B2258" s="173" t="s">
        <v>129</v>
      </c>
      <c r="C2258" s="56">
        <v>46000</v>
      </c>
      <c r="D2258" s="155">
        <v>1980</v>
      </c>
      <c r="F2258" s="43" t="s">
        <v>1957</v>
      </c>
      <c r="G2258" t="s">
        <v>1913</v>
      </c>
    </row>
    <row r="2259" spans="1:7">
      <c r="A2259" s="404" t="s">
        <v>496</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499</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436</v>
      </c>
      <c r="B2268" s="1135" t="s">
        <v>129</v>
      </c>
      <c r="C2268" s="56">
        <v>46001</v>
      </c>
      <c r="D2268" s="43">
        <v>621</v>
      </c>
      <c r="F2268" s="43" t="s">
        <v>1960</v>
      </c>
      <c r="G2268" t="s">
        <v>1913</v>
      </c>
    </row>
    <row r="2269" spans="1:7">
      <c r="A2269" s="741" t="s">
        <v>566</v>
      </c>
      <c r="B2269" s="756" t="s">
        <v>141</v>
      </c>
      <c r="C2269" s="56">
        <v>46001</v>
      </c>
      <c r="D2269" s="155">
        <v>1084</v>
      </c>
      <c r="F2269" s="43" t="s">
        <v>1961</v>
      </c>
      <c r="G2269" t="s">
        <v>1913</v>
      </c>
    </row>
    <row r="2270" spans="1:7">
      <c r="A2270" s="924" t="s">
        <v>597</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490</v>
      </c>
      <c r="B2273" s="753" t="s">
        <v>129</v>
      </c>
      <c r="C2273" s="56">
        <v>46001</v>
      </c>
      <c r="D2273" s="155">
        <v>1251</v>
      </c>
      <c r="G2273" t="s">
        <v>1913</v>
      </c>
    </row>
    <row r="2274" spans="1:7">
      <c r="A2274" s="1136" t="s">
        <v>496</v>
      </c>
      <c r="B2274" s="1120" t="s">
        <v>129</v>
      </c>
      <c r="C2274" s="56">
        <v>46001</v>
      </c>
      <c r="D2274" s="43">
        <v>931</v>
      </c>
      <c r="G2274" t="s">
        <v>1913</v>
      </c>
    </row>
    <row r="2275" spans="1:7">
      <c r="A2275" s="753" t="s">
        <v>499</v>
      </c>
      <c r="B2275" s="997" t="s">
        <v>129</v>
      </c>
      <c r="C2275" s="56">
        <v>46001</v>
      </c>
      <c r="D2275" s="43">
        <v>522</v>
      </c>
      <c r="G2275" t="s">
        <v>1913</v>
      </c>
    </row>
    <row r="2276" spans="1:7">
      <c r="A2276" s="753" t="s">
        <v>503</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8" t="s">
        <v>490</v>
      </c>
      <c r="B2287" s="69" t="s">
        <v>129</v>
      </c>
      <c r="C2287" s="56">
        <v>46002</v>
      </c>
      <c r="D2287" s="155">
        <v>3172</v>
      </c>
      <c r="G2287" t="s">
        <v>1913</v>
      </c>
    </row>
    <row r="2288" spans="1:7">
      <c r="A2288" s="1138" t="s">
        <v>478</v>
      </c>
      <c r="B2288" s="69" t="s">
        <v>129</v>
      </c>
      <c r="C2288" s="56">
        <v>46002</v>
      </c>
      <c r="D2288" s="43">
        <v>242</v>
      </c>
      <c r="F2288" s="43" t="s">
        <v>1971</v>
      </c>
      <c r="G2288" t="s">
        <v>1913</v>
      </c>
    </row>
    <row r="2289" spans="1:7">
      <c r="A2289" s="395" t="s">
        <v>499</v>
      </c>
      <c r="B2289" s="43" t="s">
        <v>129</v>
      </c>
      <c r="C2289" s="56">
        <v>46002</v>
      </c>
      <c r="D2289" s="155">
        <v>1194</v>
      </c>
      <c r="G2289" t="s">
        <v>1913</v>
      </c>
    </row>
    <row r="2290" spans="1:7">
      <c r="A2290" s="1139"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0" t="s">
        <v>478</v>
      </c>
      <c r="B2298" s="1120" t="s">
        <v>129</v>
      </c>
      <c r="C2298" s="56">
        <v>46003</v>
      </c>
      <c r="F2298" s="337" t="s">
        <v>1977</v>
      </c>
      <c r="G2298" t="s">
        <v>1913</v>
      </c>
    </row>
    <row r="2299" spans="1:7">
      <c r="A2299" s="1136" t="s">
        <v>499</v>
      </c>
      <c r="B2299" s="1136"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22"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141</v>
      </c>
      <c r="C2306" s="56">
        <v>46006</v>
      </c>
      <c r="D2306" s="43">
        <v>689</v>
      </c>
      <c r="F2306" s="43" t="s">
        <v>1981</v>
      </c>
      <c r="G2306" t="s">
        <v>1913</v>
      </c>
    </row>
    <row r="2307" spans="1:7">
      <c r="A2307" s="1086" t="s">
        <v>550</v>
      </c>
      <c r="B2307" s="247" t="s">
        <v>129</v>
      </c>
      <c r="C2307" s="310">
        <v>46006</v>
      </c>
      <c r="D2307" s="155">
        <v>1095</v>
      </c>
      <c r="G2307" t="s">
        <v>1913</v>
      </c>
    </row>
    <row r="2308" spans="1:7">
      <c r="A2308" s="1330" t="s">
        <v>572</v>
      </c>
      <c r="B2308" s="43" t="s">
        <v>129</v>
      </c>
      <c r="C2308" s="310">
        <v>46006</v>
      </c>
      <c r="D2308" s="155">
        <v>1344</v>
      </c>
      <c r="F2308" s="43" t="s">
        <v>1982</v>
      </c>
      <c r="G2308" t="s">
        <v>1913</v>
      </c>
    </row>
    <row r="2309" spans="1:7">
      <c r="A2309" s="1330" t="s">
        <v>597</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8" t="s">
        <v>490</v>
      </c>
      <c r="B2311" s="69" t="s">
        <v>129</v>
      </c>
      <c r="C2311" s="56">
        <v>46006</v>
      </c>
      <c r="D2311" s="43">
        <v>29</v>
      </c>
      <c r="E2311" s="201"/>
      <c r="F2311" s="115"/>
      <c r="G2311" t="s">
        <v>1913</v>
      </c>
    </row>
    <row r="2312" spans="1:7">
      <c r="A2312" s="1138" t="s">
        <v>457</v>
      </c>
      <c r="B2312" s="69" t="s">
        <v>129</v>
      </c>
      <c r="C2312" s="56">
        <v>46006</v>
      </c>
      <c r="D2312" s="139"/>
      <c r="E2312" s="43"/>
      <c r="F2312" s="753" t="s">
        <v>1394</v>
      </c>
      <c r="G2312" t="s">
        <v>1913</v>
      </c>
    </row>
    <row r="2313" spans="1:7">
      <c r="A2313" s="1138" t="s">
        <v>484</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141</v>
      </c>
      <c r="C2318" s="56">
        <v>46007</v>
      </c>
      <c r="D2318" s="43">
        <v>586</v>
      </c>
      <c r="F2318" s="43" t="s">
        <v>1988</v>
      </c>
      <c r="G2318" t="s">
        <v>1913</v>
      </c>
    </row>
    <row r="2319" spans="1:7">
      <c r="A2319" s="1086" t="s">
        <v>550</v>
      </c>
      <c r="B2319" s="1133" t="s">
        <v>129</v>
      </c>
      <c r="C2319" s="56">
        <v>46007</v>
      </c>
      <c r="D2319" s="155">
        <v>1676</v>
      </c>
      <c r="F2319" s="43" t="s">
        <v>1989</v>
      </c>
      <c r="G2319" t="s">
        <v>1913</v>
      </c>
    </row>
    <row r="2320" spans="1:7">
      <c r="A2320" s="1132" t="s">
        <v>572</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490</v>
      </c>
      <c r="B2324" s="69" t="s">
        <v>129</v>
      </c>
      <c r="C2324" s="56">
        <v>46007</v>
      </c>
      <c r="F2324" s="337" t="s">
        <v>1993</v>
      </c>
      <c r="G2324" t="s">
        <v>1913</v>
      </c>
    </row>
    <row r="2325" spans="1:7">
      <c r="A2325" s="69" t="s">
        <v>493</v>
      </c>
      <c r="B2325" s="69" t="s">
        <v>129</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9"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9" t="s">
        <v>1973</v>
      </c>
      <c r="G2330" t="s">
        <v>1913</v>
      </c>
    </row>
    <row r="2331" spans="1:7">
      <c r="A2331" s="247" t="s">
        <v>1159</v>
      </c>
      <c r="B2331" s="1133" t="s">
        <v>449</v>
      </c>
      <c r="C2331" s="56">
        <v>46008</v>
      </c>
      <c r="D2331" s="43">
        <v>235</v>
      </c>
      <c r="F2331" s="43" t="s">
        <v>1987</v>
      </c>
      <c r="G2331" t="s">
        <v>1913</v>
      </c>
    </row>
    <row r="2332" spans="1:7">
      <c r="A2332" s="1132" t="s">
        <v>560</v>
      </c>
      <c r="B2332" s="1133" t="s">
        <v>141</v>
      </c>
      <c r="C2332" s="56">
        <v>46008</v>
      </c>
      <c r="D2332" s="43">
        <v>199</v>
      </c>
      <c r="F2332" s="43" t="s">
        <v>1996</v>
      </c>
      <c r="G2332" t="s">
        <v>1913</v>
      </c>
    </row>
    <row r="2333" spans="1:7">
      <c r="A2333" s="1086" t="s">
        <v>550</v>
      </c>
      <c r="B2333" s="1133" t="s">
        <v>129</v>
      </c>
      <c r="C2333" s="56">
        <v>46008</v>
      </c>
      <c r="D2333" s="155">
        <v>1139</v>
      </c>
      <c r="F2333" s="43" t="s">
        <v>1997</v>
      </c>
      <c r="G2333" t="s">
        <v>1913</v>
      </c>
    </row>
    <row r="2334" spans="1:7">
      <c r="A2334" s="1132" t="s">
        <v>572</v>
      </c>
      <c r="B2334" t="s">
        <v>129</v>
      </c>
      <c r="C2334" s="56">
        <v>46008</v>
      </c>
      <c r="D2334" s="155">
        <v>1027</v>
      </c>
      <c r="F2334" s="43" t="s">
        <v>1998</v>
      </c>
      <c r="G2334" t="s">
        <v>1913</v>
      </c>
    </row>
    <row r="2335" spans="1:7">
      <c r="A2335" s="1338" t="s">
        <v>569</v>
      </c>
      <c r="B2335" s="1133"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503</v>
      </c>
      <c r="B2339" s="69" t="s">
        <v>129</v>
      </c>
      <c r="C2339" s="56">
        <v>46008</v>
      </c>
      <c r="D2339" s="43">
        <v>320</v>
      </c>
      <c r="G2339" t="s">
        <v>1913</v>
      </c>
    </row>
    <row r="2340" spans="1:7">
      <c r="A2340" s="148" t="s">
        <v>493</v>
      </c>
      <c r="B2340" s="148" t="s">
        <v>129</v>
      </c>
      <c r="C2340" s="56">
        <v>46008</v>
      </c>
      <c r="D2340" s="155">
        <v>1083</v>
      </c>
      <c r="G2340" t="s">
        <v>1913</v>
      </c>
    </row>
    <row r="2341" spans="1:7">
      <c r="A2341" s="148" t="s">
        <v>478</v>
      </c>
      <c r="B2341" s="148" t="s">
        <v>129</v>
      </c>
      <c r="C2341" s="56">
        <v>46008</v>
      </c>
      <c r="F2341" s="311" t="s">
        <v>1183</v>
      </c>
      <c r="G2341" t="s">
        <v>1913</v>
      </c>
    </row>
    <row r="2342" spans="1:7">
      <c r="A2342" s="1138" t="s">
        <v>322</v>
      </c>
      <c r="B2342" s="69" t="s">
        <v>129</v>
      </c>
      <c r="C2342" s="56">
        <v>46008</v>
      </c>
      <c r="D2342" s="43">
        <v>372</v>
      </c>
      <c r="G2342" t="s">
        <v>1913</v>
      </c>
    </row>
    <row r="2343" spans="1:7">
      <c r="A2343" s="1138" t="s">
        <v>334</v>
      </c>
      <c r="B2343" s="69" t="s">
        <v>129</v>
      </c>
      <c r="C2343" s="56">
        <v>46008</v>
      </c>
      <c r="D2343" s="43">
        <v>95</v>
      </c>
      <c r="G2343" t="s">
        <v>1913</v>
      </c>
    </row>
    <row r="2344" spans="1:7">
      <c r="A2344" s="1138" t="s">
        <v>499</v>
      </c>
      <c r="B2344" s="69" t="s">
        <v>129</v>
      </c>
      <c r="C2344" s="56">
        <v>46008</v>
      </c>
      <c r="D2344" s="155">
        <v>1049</v>
      </c>
      <c r="G2344" t="s">
        <v>1913</v>
      </c>
    </row>
    <row r="2345" spans="1:7">
      <c r="A2345" s="148" t="s">
        <v>476</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9" t="s">
        <v>1973</v>
      </c>
      <c r="G2347" t="s">
        <v>1913</v>
      </c>
    </row>
    <row r="2348" spans="1:7">
      <c r="A2348" s="317" t="s">
        <v>1158</v>
      </c>
      <c r="B2348" s="306" t="s">
        <v>1533</v>
      </c>
      <c r="C2348" s="56">
        <v>46009</v>
      </c>
      <c r="D2348" s="139"/>
      <c r="E2348" s="155">
        <v>1506</v>
      </c>
      <c r="F2348" s="1341"/>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0" t="s">
        <v>560</v>
      </c>
      <c r="B2353" s="307" t="s">
        <v>141</v>
      </c>
      <c r="C2353" s="56">
        <v>46009</v>
      </c>
      <c r="F2353" s="304" t="s">
        <v>1825</v>
      </c>
      <c r="G2353" t="s">
        <v>1913</v>
      </c>
    </row>
    <row r="2354" spans="1:7">
      <c r="A2354" s="799" t="s">
        <v>572</v>
      </c>
      <c r="B2354" s="346" t="s">
        <v>129</v>
      </c>
      <c r="C2354" s="56">
        <v>46009</v>
      </c>
      <c r="D2354" s="155">
        <v>1596</v>
      </c>
      <c r="F2354" s="43" t="s">
        <v>2004</v>
      </c>
      <c r="G2354" t="s">
        <v>1913</v>
      </c>
    </row>
    <row r="2355" spans="1:7">
      <c r="A2355" s="349" t="s">
        <v>566</v>
      </c>
      <c r="B2355" s="387" t="s">
        <v>141</v>
      </c>
      <c r="C2355" s="56">
        <v>46009</v>
      </c>
      <c r="F2355" s="304" t="s">
        <v>1825</v>
      </c>
      <c r="G2355" t="s">
        <v>1913</v>
      </c>
    </row>
    <row r="2356" spans="1:7">
      <c r="A2356" s="349" t="s">
        <v>569</v>
      </c>
      <c r="B2356" s="307" t="s">
        <v>141</v>
      </c>
      <c r="C2356" s="56">
        <v>46009</v>
      </c>
      <c r="F2356" s="304" t="s">
        <v>1825</v>
      </c>
      <c r="G2356" t="s">
        <v>1913</v>
      </c>
    </row>
    <row r="2357" spans="1:7">
      <c r="A2357" s="348" t="s">
        <v>612</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503</v>
      </c>
      <c r="B2361" s="141" t="s">
        <v>129</v>
      </c>
      <c r="C2361" s="310">
        <v>46009</v>
      </c>
      <c r="D2361" s="43">
        <v>652</v>
      </c>
      <c r="G2361" t="s">
        <v>1913</v>
      </c>
    </row>
    <row r="2362" spans="1:7">
      <c r="A2362" s="304" t="s">
        <v>506</v>
      </c>
      <c r="B2362" s="304" t="s">
        <v>129</v>
      </c>
      <c r="C2362" s="56">
        <v>46009</v>
      </c>
      <c r="D2362" s="43">
        <v>396</v>
      </c>
      <c r="G2362" t="s">
        <v>1913</v>
      </c>
    </row>
    <row r="2363" spans="1:7">
      <c r="A2363" s="305" t="s">
        <v>493</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476</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141</v>
      </c>
      <c r="C2374" s="310">
        <v>46010</v>
      </c>
      <c r="E2374" s="139">
        <v>765</v>
      </c>
      <c r="G2374" t="s">
        <v>1913</v>
      </c>
    </row>
    <row r="2375" spans="1:7">
      <c r="A2375" s="802" t="s">
        <v>550</v>
      </c>
      <c r="B2375" s="141" t="s">
        <v>129</v>
      </c>
      <c r="C2375" s="310">
        <v>46010</v>
      </c>
      <c r="E2375" s="139">
        <v>883</v>
      </c>
      <c r="F2375" s="311" t="s">
        <v>2012</v>
      </c>
      <c r="G2375" t="s">
        <v>1913</v>
      </c>
    </row>
    <row r="2376" spans="1:7">
      <c r="A2376" s="141" t="s">
        <v>566</v>
      </c>
      <c r="B2376" s="141" t="s">
        <v>141</v>
      </c>
      <c r="C2376" s="310">
        <v>46010</v>
      </c>
      <c r="E2376" s="139">
        <v>765</v>
      </c>
      <c r="G2376" t="s">
        <v>1913</v>
      </c>
    </row>
    <row r="2377" spans="1:7">
      <c r="A2377" s="141" t="s">
        <v>569</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42" t="s">
        <v>322</v>
      </c>
      <c r="B2380" s="1343" t="s">
        <v>129</v>
      </c>
      <c r="C2380" s="56">
        <v>46010</v>
      </c>
      <c r="D2380" s="43">
        <v>582</v>
      </c>
      <c r="G2380" t="s">
        <v>1913</v>
      </c>
    </row>
    <row r="2381" spans="1:7">
      <c r="A2381" s="1342" t="s">
        <v>493</v>
      </c>
      <c r="B2381" s="1343" t="s">
        <v>129</v>
      </c>
      <c r="C2381" s="56">
        <v>46010</v>
      </c>
      <c r="D2381" s="155">
        <v>2064</v>
      </c>
      <c r="G2381" t="s">
        <v>1913</v>
      </c>
    </row>
    <row r="2382" spans="1:7">
      <c r="A2382" s="1342" t="s">
        <v>328</v>
      </c>
      <c r="B2382" s="1343" t="s">
        <v>129</v>
      </c>
      <c r="C2382" s="56">
        <v>46010</v>
      </c>
      <c r="D2382" s="155">
        <v>1683</v>
      </c>
      <c r="G2382" t="s">
        <v>1913</v>
      </c>
    </row>
    <row r="2383" spans="1:7">
      <c r="A2383" s="1342" t="s">
        <v>325</v>
      </c>
      <c r="B2383" s="1343" t="s">
        <v>129</v>
      </c>
      <c r="C2383" s="56">
        <v>46010</v>
      </c>
      <c r="D2383" s="155">
        <v>1235</v>
      </c>
      <c r="G2383" t="s">
        <v>1913</v>
      </c>
    </row>
    <row r="2384" spans="1:7">
      <c r="A2384" s="1342" t="s">
        <v>490</v>
      </c>
      <c r="B2384" s="1343" t="s">
        <v>129</v>
      </c>
      <c r="C2384" s="56">
        <v>46010</v>
      </c>
      <c r="F2384" s="43" t="s">
        <v>2015</v>
      </c>
      <c r="G2384" t="s">
        <v>1913</v>
      </c>
    </row>
    <row r="2385" spans="1:7">
      <c r="A2385" s="1342" t="s">
        <v>503</v>
      </c>
      <c r="B2385" s="1343" t="s">
        <v>129</v>
      </c>
      <c r="C2385" s="56">
        <v>46010</v>
      </c>
      <c r="D2385" s="43">
        <v>780</v>
      </c>
      <c r="E2385" s="201"/>
      <c r="F2385" s="115"/>
      <c r="G2385" t="s">
        <v>1913</v>
      </c>
    </row>
    <row r="2386" spans="1:7">
      <c r="A2386" s="1342" t="s">
        <v>1162</v>
      </c>
      <c r="B2386" s="1343"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129</v>
      </c>
      <c r="C2390" s="56">
        <v>46013</v>
      </c>
      <c r="D2390" s="43">
        <v>380</v>
      </c>
      <c r="G2390" t="s">
        <v>1913</v>
      </c>
    </row>
    <row r="2391" spans="1:7">
      <c r="A2391" s="315" t="s">
        <v>615</v>
      </c>
      <c r="B2391" s="315" t="s">
        <v>129</v>
      </c>
      <c r="C2391" s="56">
        <v>46013</v>
      </c>
      <c r="D2391" s="43">
        <v>523</v>
      </c>
      <c r="G2391" t="s">
        <v>1913</v>
      </c>
    </row>
    <row r="2392" spans="1:7">
      <c r="A2392" s="315" t="s">
        <v>572</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0" t="s">
        <v>493</v>
      </c>
      <c r="B2395" s="1120" t="s">
        <v>129</v>
      </c>
      <c r="C2395" s="56">
        <v>46013</v>
      </c>
      <c r="F2395" s="337" t="s">
        <v>2019</v>
      </c>
      <c r="G2395" t="s">
        <v>1913</v>
      </c>
    </row>
    <row r="2396" spans="1:7">
      <c r="A2396" s="1120" t="s">
        <v>328</v>
      </c>
      <c r="B2396" s="1120" t="s">
        <v>129</v>
      </c>
      <c r="C2396" s="56">
        <v>46013</v>
      </c>
      <c r="D2396" s="43">
        <v>362</v>
      </c>
      <c r="G2396" t="s">
        <v>1913</v>
      </c>
    </row>
    <row r="2397" spans="1:7">
      <c r="A2397" s="1136" t="s">
        <v>334</v>
      </c>
      <c r="B2397" s="1136" t="s">
        <v>129</v>
      </c>
      <c r="C2397" s="56">
        <v>46013</v>
      </c>
      <c r="D2397" s="155">
        <v>3523</v>
      </c>
      <c r="G2397" t="s">
        <v>1913</v>
      </c>
    </row>
    <row r="2398" spans="1:7">
      <c r="A2398" s="756" t="s">
        <v>503</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129</v>
      </c>
      <c r="C2401" s="56">
        <v>46014</v>
      </c>
      <c r="F2401" s="337" t="s">
        <v>1559</v>
      </c>
      <c r="G2401" t="s">
        <v>1913</v>
      </c>
    </row>
    <row r="2402" spans="1:7">
      <c r="A2402" s="802" t="s">
        <v>615</v>
      </c>
      <c r="B2402" s="1000" t="s">
        <v>129</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52" t="s">
        <v>129</v>
      </c>
      <c r="C2404" s="56">
        <v>46014</v>
      </c>
      <c r="E2404" s="321">
        <v>14727</v>
      </c>
      <c r="F2404" s="430" t="s">
        <v>2020</v>
      </c>
      <c r="G2404" t="s">
        <v>1913</v>
      </c>
    </row>
    <row r="2405" spans="1:7">
      <c r="A2405" s="247" t="s">
        <v>334</v>
      </c>
      <c r="B2405" s="1343" t="s">
        <v>129</v>
      </c>
      <c r="C2405" s="56">
        <v>46014</v>
      </c>
      <c r="D2405" s="155">
        <v>2384</v>
      </c>
      <c r="G2405" t="s">
        <v>1913</v>
      </c>
    </row>
    <row r="2406" spans="1:7">
      <c r="A2406" s="318" t="s">
        <v>612</v>
      </c>
      <c r="B2406" s="387" t="s">
        <v>1093</v>
      </c>
      <c r="C2406" s="56">
        <v>46015</v>
      </c>
      <c r="E2406" s="321">
        <v>2448</v>
      </c>
      <c r="F2406" s="43" t="s">
        <v>2021</v>
      </c>
      <c r="G2406" t="s">
        <v>1913</v>
      </c>
    </row>
    <row r="2407" spans="1:7">
      <c r="A2407" s="1340" t="s">
        <v>615</v>
      </c>
      <c r="B2407" s="307" t="s">
        <v>1093</v>
      </c>
      <c r="C2407" s="56">
        <v>46015</v>
      </c>
      <c r="E2407" s="321">
        <v>1225</v>
      </c>
      <c r="F2407" s="43" t="s">
        <v>2022</v>
      </c>
      <c r="G2407" t="s">
        <v>1913</v>
      </c>
    </row>
    <row r="2408" spans="1:7">
      <c r="C2408" s="56">
        <v>46016</v>
      </c>
      <c r="G2408" t="s">
        <v>1913</v>
      </c>
    </row>
    <row r="2409" spans="1:7">
      <c r="A2409" s="247"/>
      <c r="B2409" s="1343"/>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129</v>
      </c>
      <c r="C2411" s="56">
        <v>46020</v>
      </c>
      <c r="D2411" s="155">
        <v>1188</v>
      </c>
      <c r="F2411" s="43" t="s">
        <v>2023</v>
      </c>
      <c r="G2411" t="s">
        <v>1913</v>
      </c>
    </row>
    <row r="2412" spans="1:7">
      <c r="A2412" s="1365" t="s">
        <v>606</v>
      </c>
      <c r="B2412" s="1135" t="s">
        <v>129</v>
      </c>
      <c r="C2412" s="56">
        <v>46020</v>
      </c>
      <c r="D2412" s="43">
        <v>900</v>
      </c>
      <c r="F2412" s="43" t="s">
        <v>2024</v>
      </c>
      <c r="G2412" t="s">
        <v>1913</v>
      </c>
    </row>
    <row r="2413" spans="1:7">
      <c r="A2413" s="741" t="s">
        <v>612</v>
      </c>
      <c r="B2413" s="756" t="s">
        <v>1093</v>
      </c>
      <c r="C2413" s="56">
        <v>46020</v>
      </c>
      <c r="D2413" s="43">
        <v>100</v>
      </c>
      <c r="G2413" t="s">
        <v>1913</v>
      </c>
    </row>
    <row r="2414" spans="1:7">
      <c r="A2414" s="756" t="s">
        <v>322</v>
      </c>
      <c r="B2414" s="756" t="s">
        <v>129</v>
      </c>
      <c r="C2414" s="56">
        <v>46020</v>
      </c>
      <c r="D2414" s="43">
        <v>738</v>
      </c>
      <c r="G2414" t="s">
        <v>1913</v>
      </c>
    </row>
    <row r="2415" spans="1:7">
      <c r="A2415" s="1120" t="s">
        <v>328</v>
      </c>
      <c r="B2415" s="1120" t="s">
        <v>129</v>
      </c>
      <c r="C2415" s="56">
        <v>46020</v>
      </c>
      <c r="D2415" s="155">
        <v>1297</v>
      </c>
      <c r="G2415" t="s">
        <v>1913</v>
      </c>
    </row>
    <row r="2416" spans="1:7">
      <c r="A2416" s="1120" t="s">
        <v>331</v>
      </c>
      <c r="B2416" s="1120" t="s">
        <v>129</v>
      </c>
      <c r="C2416" s="56">
        <v>46020</v>
      </c>
      <c r="D2416" s="155">
        <v>2583</v>
      </c>
      <c r="G2416" t="s">
        <v>1913</v>
      </c>
    </row>
    <row r="2417" spans="1:7">
      <c r="A2417" s="1120" t="s">
        <v>463</v>
      </c>
      <c r="B2417" s="1120" t="s">
        <v>129</v>
      </c>
      <c r="C2417" s="56">
        <v>46020</v>
      </c>
      <c r="D2417" s="43">
        <v>0</v>
      </c>
      <c r="F2417" s="311" t="s">
        <v>2025</v>
      </c>
      <c r="G2417" t="s">
        <v>1913</v>
      </c>
    </row>
    <row r="2418" spans="1:7">
      <c r="A2418" s="1120" t="s">
        <v>468</v>
      </c>
      <c r="B2418" s="1120" t="s">
        <v>129</v>
      </c>
      <c r="C2418" s="56">
        <v>46020</v>
      </c>
      <c r="D2418" s="43">
        <v>0</v>
      </c>
      <c r="F2418" s="311" t="s">
        <v>2025</v>
      </c>
      <c r="G2418" t="s">
        <v>1913</v>
      </c>
    </row>
    <row r="2419" spans="1:7">
      <c r="A2419" s="1120" t="s">
        <v>499</v>
      </c>
      <c r="B2419" s="1120"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5" t="s">
        <v>606</v>
      </c>
      <c r="B2422" s="307" t="s">
        <v>1093</v>
      </c>
      <c r="C2422" s="56">
        <v>46021</v>
      </c>
      <c r="E2422" s="139">
        <v>343</v>
      </c>
      <c r="F2422" s="304"/>
      <c r="G2422" t="s">
        <v>1913</v>
      </c>
    </row>
    <row r="2423" spans="1:7">
      <c r="A2423" s="741" t="s">
        <v>603</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0" t="s">
        <v>129</v>
      </c>
      <c r="C2425" s="56">
        <v>46021</v>
      </c>
      <c r="D2425" s="155">
        <v>3099</v>
      </c>
      <c r="G2425" t="s">
        <v>1913</v>
      </c>
    </row>
    <row r="2426" spans="1:7">
      <c r="A2426" s="304" t="s">
        <v>465</v>
      </c>
      <c r="B2426" s="1120"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57">
        <v>1789</v>
      </c>
      <c r="E2439" s="43"/>
      <c r="G2439" t="s">
        <v>2026</v>
      </c>
    </row>
    <row r="2440" spans="1:7">
      <c r="A2440" s="247" t="s">
        <v>337</v>
      </c>
      <c r="B2440" s="157" t="s">
        <v>129</v>
      </c>
      <c r="C2440" s="56">
        <v>46028</v>
      </c>
      <c r="D2440" s="1457">
        <v>2362</v>
      </c>
      <c r="E2440" s="43"/>
      <c r="G2440" t="s">
        <v>2026</v>
      </c>
    </row>
    <row r="2441" spans="1:7">
      <c r="A2441" s="247" t="s">
        <v>128</v>
      </c>
      <c r="B2441" s="157" t="s">
        <v>129</v>
      </c>
      <c r="C2441" s="56">
        <v>46028</v>
      </c>
      <c r="D2441" s="1457">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57">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129</v>
      </c>
      <c r="C2446" s="56">
        <v>46029</v>
      </c>
      <c r="D2446" s="88">
        <v>0</v>
      </c>
      <c r="E2446" s="43"/>
      <c r="F2446" s="311" t="s">
        <v>2029</v>
      </c>
      <c r="G2446" t="s">
        <v>2026</v>
      </c>
    </row>
    <row r="2447" spans="1:7">
      <c r="A2447" s="247" t="s">
        <v>134</v>
      </c>
      <c r="B2447" s="157" t="s">
        <v>129</v>
      </c>
      <c r="C2447" s="56">
        <v>46029</v>
      </c>
      <c r="D2447" s="1457">
        <v>1687</v>
      </c>
      <c r="E2447" s="43"/>
      <c r="G2447" t="s">
        <v>2026</v>
      </c>
    </row>
    <row r="2448" spans="1:7">
      <c r="A2448" s="247" t="s">
        <v>137</v>
      </c>
      <c r="B2448" s="157" t="s">
        <v>129</v>
      </c>
      <c r="C2448" s="56">
        <v>46029</v>
      </c>
      <c r="D2448" s="1457">
        <v>1056</v>
      </c>
      <c r="E2448" s="43"/>
      <c r="F2448" s="1480" t="s">
        <v>2030</v>
      </c>
      <c r="G2448" t="s">
        <v>2026</v>
      </c>
    </row>
    <row r="2449" spans="1:7">
      <c r="A2449" s="247" t="s">
        <v>128</v>
      </c>
      <c r="B2449" s="157" t="s">
        <v>129</v>
      </c>
      <c r="C2449" s="56">
        <v>46029</v>
      </c>
      <c r="D2449" s="88">
        <v>180</v>
      </c>
      <c r="E2449" s="43"/>
      <c r="F2449" s="1480" t="s">
        <v>1174</v>
      </c>
      <c r="G2449" t="s">
        <v>2026</v>
      </c>
    </row>
    <row r="2450" spans="1:7">
      <c r="A2450" s="247" t="s">
        <v>269</v>
      </c>
      <c r="B2450" s="157" t="s">
        <v>233</v>
      </c>
      <c r="C2450" s="56">
        <v>46029</v>
      </c>
      <c r="D2450" s="1457">
        <v>2151</v>
      </c>
      <c r="E2450" s="43"/>
      <c r="F2450" s="1480"/>
      <c r="G2450" t="s">
        <v>2026</v>
      </c>
    </row>
    <row r="2451" spans="1:7">
      <c r="A2451" s="247" t="s">
        <v>337</v>
      </c>
      <c r="B2451" s="157" t="s">
        <v>129</v>
      </c>
      <c r="C2451" s="56">
        <v>46029</v>
      </c>
      <c r="D2451" s="1457">
        <v>3079</v>
      </c>
      <c r="E2451" s="43"/>
      <c r="F2451" s="1480"/>
      <c r="G2451" t="s">
        <v>2026</v>
      </c>
    </row>
    <row r="2452" spans="1:7">
      <c r="A2452" s="247" t="s">
        <v>496</v>
      </c>
      <c r="B2452" s="157" t="s">
        <v>129</v>
      </c>
      <c r="C2452" s="56">
        <v>46029</v>
      </c>
      <c r="D2452" s="88">
        <v>0</v>
      </c>
      <c r="E2452" s="43"/>
      <c r="F2452" s="1481" t="s">
        <v>2025</v>
      </c>
      <c r="G2452" t="s">
        <v>2026</v>
      </c>
    </row>
    <row r="2453" spans="1:7">
      <c r="A2453" s="247" t="s">
        <v>83</v>
      </c>
      <c r="B2453" s="157" t="s">
        <v>1093</v>
      </c>
      <c r="C2453" s="56">
        <v>46030</v>
      </c>
      <c r="D2453" s="88">
        <v>85</v>
      </c>
      <c r="E2453" s="43"/>
      <c r="F2453" s="1480"/>
      <c r="G2453" t="s">
        <v>2026</v>
      </c>
    </row>
    <row r="2454" spans="1:7">
      <c r="A2454" s="247" t="s">
        <v>1128</v>
      </c>
      <c r="B2454" s="157" t="s">
        <v>1093</v>
      </c>
      <c r="C2454" s="56">
        <v>46030</v>
      </c>
      <c r="D2454" s="88">
        <v>113</v>
      </c>
      <c r="E2454" s="43"/>
      <c r="F2454" s="1480" t="s">
        <v>2031</v>
      </c>
      <c r="G2454" t="s">
        <v>2026</v>
      </c>
    </row>
    <row r="2455" spans="1:7">
      <c r="A2455" s="247" t="s">
        <v>134</v>
      </c>
      <c r="B2455" s="157" t="s">
        <v>129</v>
      </c>
      <c r="C2455" s="56">
        <v>46030</v>
      </c>
      <c r="D2455" s="1457">
        <v>1053</v>
      </c>
      <c r="E2455" s="43"/>
      <c r="F2455" s="1480" t="s">
        <v>2032</v>
      </c>
      <c r="G2455" t="s">
        <v>2026</v>
      </c>
    </row>
    <row r="2456" spans="1:7">
      <c r="A2456" s="247" t="s">
        <v>269</v>
      </c>
      <c r="B2456" s="157" t="s">
        <v>233</v>
      </c>
      <c r="C2456" s="56">
        <v>46030</v>
      </c>
      <c r="D2456" s="1457">
        <v>1926</v>
      </c>
      <c r="E2456" s="43"/>
      <c r="F2456" s="1480"/>
      <c r="G2456" t="s">
        <v>2026</v>
      </c>
    </row>
    <row r="2457" spans="1:7">
      <c r="A2457" s="247" t="s">
        <v>340</v>
      </c>
      <c r="B2457" s="157" t="s">
        <v>129</v>
      </c>
      <c r="C2457" s="56">
        <v>46030</v>
      </c>
      <c r="D2457" s="1457">
        <v>2367</v>
      </c>
      <c r="E2457" s="43"/>
      <c r="F2457" s="1480"/>
      <c r="G2457" t="s">
        <v>2026</v>
      </c>
    </row>
    <row r="2458" spans="1:7">
      <c r="A2458" s="247" t="s">
        <v>409</v>
      </c>
      <c r="B2458" s="157" t="s">
        <v>2033</v>
      </c>
      <c r="C2458" s="56">
        <v>46030</v>
      </c>
      <c r="D2458" s="1457"/>
      <c r="E2458" s="1457">
        <v>2706</v>
      </c>
      <c r="F2458" s="1480"/>
      <c r="G2458" t="s">
        <v>2026</v>
      </c>
    </row>
    <row r="2459" spans="1:7">
      <c r="A2459" s="247" t="s">
        <v>269</v>
      </c>
      <c r="B2459" s="157" t="s">
        <v>233</v>
      </c>
      <c r="C2459" s="56">
        <v>46030</v>
      </c>
      <c r="D2459" s="1457">
        <v>1926</v>
      </c>
      <c r="E2459" s="43"/>
      <c r="F2459" s="1480"/>
      <c r="G2459" t="s">
        <v>2026</v>
      </c>
    </row>
    <row r="2460" spans="1:7">
      <c r="A2460" s="247" t="s">
        <v>409</v>
      </c>
      <c r="B2460" s="157" t="s">
        <v>2033</v>
      </c>
      <c r="C2460" s="56">
        <v>46031</v>
      </c>
      <c r="D2460" s="88">
        <v>0</v>
      </c>
      <c r="E2460" s="88"/>
      <c r="F2460" s="1482" t="s">
        <v>2034</v>
      </c>
      <c r="G2460" t="s">
        <v>2026</v>
      </c>
    </row>
    <row r="2461" spans="1:7">
      <c r="A2461" s="247" t="s">
        <v>284</v>
      </c>
      <c r="B2461" s="157" t="s">
        <v>2033</v>
      </c>
      <c r="C2461" s="56">
        <v>46031</v>
      </c>
      <c r="D2461" s="88">
        <v>0</v>
      </c>
      <c r="E2461" s="88"/>
      <c r="F2461" s="1480" t="s">
        <v>1221</v>
      </c>
      <c r="G2461" t="s">
        <v>2026</v>
      </c>
    </row>
    <row r="2462" spans="1:7">
      <c r="A2462" s="247" t="s">
        <v>269</v>
      </c>
      <c r="B2462" s="157" t="s">
        <v>233</v>
      </c>
      <c r="C2462" s="56">
        <v>46031</v>
      </c>
      <c r="D2462" s="1457">
        <v>1000</v>
      </c>
      <c r="E2462" s="88"/>
      <c r="F2462" s="1482"/>
      <c r="G2462" t="s">
        <v>2026</v>
      </c>
    </row>
    <row r="2463" spans="1:7">
      <c r="A2463" s="247" t="s">
        <v>493</v>
      </c>
      <c r="B2463" s="157" t="s">
        <v>129</v>
      </c>
      <c r="C2463" s="56">
        <v>46031</v>
      </c>
      <c r="D2463" s="1457">
        <v>104</v>
      </c>
      <c r="E2463" s="88"/>
      <c r="F2463" s="1482"/>
      <c r="G2463" t="s">
        <v>2026</v>
      </c>
    </row>
    <row r="2464" spans="1:7">
      <c r="A2464" s="247" t="s">
        <v>325</v>
      </c>
      <c r="B2464" s="157" t="s">
        <v>129</v>
      </c>
      <c r="C2464" s="56">
        <v>46031</v>
      </c>
      <c r="D2464" s="88"/>
      <c r="E2464" s="1457">
        <v>1056</v>
      </c>
      <c r="F2464" s="1482"/>
      <c r="G2464" t="s">
        <v>2026</v>
      </c>
    </row>
    <row r="2465" spans="1:7">
      <c r="A2465" s="247" t="s">
        <v>487</v>
      </c>
      <c r="B2465" s="157" t="s">
        <v>129</v>
      </c>
      <c r="C2465" s="56">
        <v>46031</v>
      </c>
      <c r="D2465" s="88"/>
      <c r="E2465" s="1457">
        <v>1090</v>
      </c>
      <c r="F2465" s="1480"/>
      <c r="G2465" t="s">
        <v>2026</v>
      </c>
    </row>
    <row r="2466" spans="1:7">
      <c r="A2466" s="247" t="s">
        <v>340</v>
      </c>
      <c r="B2466" s="157" t="s">
        <v>129</v>
      </c>
      <c r="C2466" s="56">
        <v>46031</v>
      </c>
      <c r="D2466" s="88">
        <v>447</v>
      </c>
      <c r="E2466" s="88"/>
      <c r="F2466" s="1482"/>
      <c r="G2466" t="s">
        <v>2026</v>
      </c>
    </row>
    <row r="2467" spans="1:7">
      <c r="A2467" s="247" t="s">
        <v>295</v>
      </c>
      <c r="B2467" s="157" t="s">
        <v>233</v>
      </c>
      <c r="C2467" s="56">
        <v>46031</v>
      </c>
      <c r="D2467" s="1457">
        <v>1319</v>
      </c>
      <c r="E2467" s="88"/>
      <c r="F2467" s="1482" t="s">
        <v>2035</v>
      </c>
      <c r="G2467" t="s">
        <v>2026</v>
      </c>
    </row>
    <row r="2468" spans="1:7">
      <c r="A2468" s="247" t="s">
        <v>134</v>
      </c>
      <c r="B2468" s="157" t="s">
        <v>129</v>
      </c>
      <c r="C2468" s="56">
        <v>46034</v>
      </c>
      <c r="D2468" s="1455">
        <v>0</v>
      </c>
      <c r="E2468" s="43"/>
      <c r="F2468" s="1481" t="s">
        <v>1394</v>
      </c>
      <c r="G2468" t="s">
        <v>2026</v>
      </c>
    </row>
    <row r="2469" spans="1:7">
      <c r="A2469" s="247" t="s">
        <v>542</v>
      </c>
      <c r="B2469" s="157" t="s">
        <v>2033</v>
      </c>
      <c r="C2469" s="56">
        <v>46034</v>
      </c>
      <c r="E2469" s="1455">
        <v>640</v>
      </c>
      <c r="F2469" s="1482"/>
      <c r="G2469" t="s">
        <v>2026</v>
      </c>
    </row>
    <row r="2470" spans="1:7">
      <c r="A2470" s="247" t="s">
        <v>411</v>
      </c>
      <c r="B2470" s="157" t="s">
        <v>2033</v>
      </c>
      <c r="C2470" s="56">
        <v>46034</v>
      </c>
      <c r="E2470" s="1455">
        <v>428</v>
      </c>
      <c r="F2470" s="1482"/>
      <c r="G2470" t="s">
        <v>2026</v>
      </c>
    </row>
    <row r="2471" spans="1:7">
      <c r="A2471" s="247" t="s">
        <v>80</v>
      </c>
      <c r="B2471" s="157" t="s">
        <v>1093</v>
      </c>
      <c r="C2471" s="56">
        <v>46034</v>
      </c>
      <c r="D2471" s="1455">
        <v>205</v>
      </c>
      <c r="E2471" s="43"/>
      <c r="F2471" s="1480" t="s">
        <v>1852</v>
      </c>
      <c r="G2471" t="s">
        <v>2026</v>
      </c>
    </row>
    <row r="2472" spans="1:7">
      <c r="A2472" s="247" t="s">
        <v>340</v>
      </c>
      <c r="B2472" s="157" t="s">
        <v>129</v>
      </c>
      <c r="C2472" s="56">
        <v>46034</v>
      </c>
      <c r="D2472" s="1455">
        <v>858</v>
      </c>
      <c r="E2472" s="43"/>
      <c r="F2472" s="1482"/>
      <c r="G2472" t="s">
        <v>2026</v>
      </c>
    </row>
    <row r="2473" spans="1:7">
      <c r="A2473" s="247" t="s">
        <v>346</v>
      </c>
      <c r="B2473" s="157" t="s">
        <v>129</v>
      </c>
      <c r="C2473" s="56">
        <v>46034</v>
      </c>
      <c r="D2473" s="1456">
        <v>4915</v>
      </c>
      <c r="E2473" s="43"/>
      <c r="F2473" s="1482"/>
      <c r="G2473" t="s">
        <v>2026</v>
      </c>
    </row>
    <row r="2474" spans="1:7">
      <c r="A2474" s="247" t="s">
        <v>343</v>
      </c>
      <c r="B2474" s="157" t="s">
        <v>129</v>
      </c>
      <c r="C2474" s="56">
        <v>46034</v>
      </c>
      <c r="D2474" s="1455">
        <v>813</v>
      </c>
      <c r="E2474" s="43"/>
      <c r="F2474" s="1482"/>
      <c r="G2474" t="s">
        <v>2026</v>
      </c>
    </row>
    <row r="2475" spans="1:7">
      <c r="A2475" s="247" t="s">
        <v>137</v>
      </c>
      <c r="B2475" s="157" t="s">
        <v>129</v>
      </c>
      <c r="C2475" s="56">
        <v>46034</v>
      </c>
      <c r="D2475" s="1456">
        <v>1356</v>
      </c>
      <c r="E2475" s="43"/>
      <c r="F2475" s="1482" t="s">
        <v>2036</v>
      </c>
      <c r="G2475" t="s">
        <v>2026</v>
      </c>
    </row>
    <row r="2476" spans="1:7">
      <c r="A2476" s="247" t="s">
        <v>2037</v>
      </c>
      <c r="B2476" s="157" t="s">
        <v>1619</v>
      </c>
      <c r="C2476" s="56">
        <v>46034</v>
      </c>
      <c r="D2476" s="1455">
        <v>607</v>
      </c>
      <c r="E2476" s="43"/>
      <c r="F2476" s="1482"/>
      <c r="G2476" t="s">
        <v>2026</v>
      </c>
    </row>
    <row r="2477" spans="1:7">
      <c r="A2477" s="247" t="s">
        <v>269</v>
      </c>
      <c r="B2477" s="157" t="s">
        <v>233</v>
      </c>
      <c r="C2477" s="56">
        <v>46034</v>
      </c>
      <c r="D2477" s="1456">
        <v>1812</v>
      </c>
      <c r="E2477" s="43"/>
      <c r="F2477" s="1482"/>
      <c r="G2477" t="s">
        <v>2026</v>
      </c>
    </row>
    <row r="2478" spans="1:7">
      <c r="A2478" s="247" t="s">
        <v>172</v>
      </c>
      <c r="B2478" s="157" t="s">
        <v>129</v>
      </c>
      <c r="C2478" s="56">
        <v>46034</v>
      </c>
      <c r="D2478" s="1456">
        <v>1314</v>
      </c>
      <c r="E2478" s="43"/>
      <c r="F2478" s="1482" t="s">
        <v>1600</v>
      </c>
      <c r="G2478" t="s">
        <v>2026</v>
      </c>
    </row>
    <row r="2479" spans="1:7">
      <c r="A2479" s="247" t="s">
        <v>295</v>
      </c>
      <c r="B2479" s="157" t="s">
        <v>233</v>
      </c>
      <c r="C2479" s="56">
        <v>46034</v>
      </c>
      <c r="D2479" s="1455">
        <v>926</v>
      </c>
      <c r="E2479" s="43"/>
      <c r="F2479" s="1482" t="s">
        <v>2038</v>
      </c>
      <c r="G2479" t="s">
        <v>2026</v>
      </c>
    </row>
    <row r="2480" spans="1:7">
      <c r="A2480" s="247" t="s">
        <v>448</v>
      </c>
      <c r="B2480" s="157" t="s">
        <v>1093</v>
      </c>
      <c r="C2480" s="56">
        <v>46035</v>
      </c>
      <c r="E2480" s="1456">
        <v>2112</v>
      </c>
      <c r="F2480" s="1482"/>
      <c r="G2480" t="s">
        <v>2026</v>
      </c>
    </row>
    <row r="2481" spans="1:7">
      <c r="A2481" s="247" t="s">
        <v>160</v>
      </c>
      <c r="B2481" s="157" t="s">
        <v>129</v>
      </c>
      <c r="C2481" s="56">
        <v>46035</v>
      </c>
      <c r="E2481" s="1456">
        <v>1208</v>
      </c>
      <c r="F2481" s="1480"/>
      <c r="G2481" t="s">
        <v>2026</v>
      </c>
    </row>
    <row r="2482" spans="1:7">
      <c r="A2482" s="247" t="s">
        <v>346</v>
      </c>
      <c r="B2482" s="157" t="s">
        <v>129</v>
      </c>
      <c r="C2482" s="56">
        <v>46035</v>
      </c>
      <c r="D2482" s="1455">
        <v>914</v>
      </c>
      <c r="E2482" s="43"/>
      <c r="F2482" s="1482" t="s">
        <v>2039</v>
      </c>
      <c r="G2482" t="s">
        <v>2026</v>
      </c>
    </row>
    <row r="2483" spans="1:7">
      <c r="A2483" s="247" t="s">
        <v>348</v>
      </c>
      <c r="B2483" s="157" t="s">
        <v>129</v>
      </c>
      <c r="C2483" s="56">
        <v>46035</v>
      </c>
      <c r="D2483" s="1456">
        <v>6092</v>
      </c>
      <c r="E2483" s="43"/>
      <c r="F2483" s="1482"/>
      <c r="G2483" t="s">
        <v>2026</v>
      </c>
    </row>
    <row r="2484" spans="1:7">
      <c r="A2484" s="247" t="s">
        <v>343</v>
      </c>
      <c r="B2484" s="157" t="s">
        <v>129</v>
      </c>
      <c r="C2484" s="56">
        <v>46035</v>
      </c>
      <c r="D2484" s="1456">
        <v>1491</v>
      </c>
      <c r="E2484" s="43"/>
      <c r="F2484" s="1482"/>
      <c r="G2484" t="s">
        <v>2026</v>
      </c>
    </row>
    <row r="2485" spans="1:7">
      <c r="A2485" s="247" t="s">
        <v>350</v>
      </c>
      <c r="B2485" s="157" t="s">
        <v>129</v>
      </c>
      <c r="C2485" s="56">
        <v>46035</v>
      </c>
      <c r="D2485" s="1455">
        <v>822</v>
      </c>
      <c r="E2485" s="43"/>
      <c r="F2485" s="1482"/>
      <c r="G2485" t="s">
        <v>2026</v>
      </c>
    </row>
    <row r="2486" spans="1:7">
      <c r="A2486" s="247" t="s">
        <v>137</v>
      </c>
      <c r="B2486" s="157" t="s">
        <v>129</v>
      </c>
      <c r="C2486" s="56">
        <v>46035</v>
      </c>
      <c r="D2486" s="1456">
        <v>1435</v>
      </c>
      <c r="E2486" s="43"/>
      <c r="F2486" s="1482" t="s">
        <v>2040</v>
      </c>
      <c r="G2486" t="s">
        <v>2026</v>
      </c>
    </row>
    <row r="2487" spans="1:7">
      <c r="A2487" s="247" t="s">
        <v>83</v>
      </c>
      <c r="B2487" s="157" t="s">
        <v>1093</v>
      </c>
      <c r="C2487" s="56">
        <v>46035</v>
      </c>
      <c r="D2487" s="1455">
        <v>312</v>
      </c>
      <c r="E2487" s="43"/>
      <c r="F2487" s="1480" t="s">
        <v>1295</v>
      </c>
      <c r="G2487" t="s">
        <v>2026</v>
      </c>
    </row>
    <row r="2488" spans="1:7">
      <c r="A2488" s="247" t="s">
        <v>269</v>
      </c>
      <c r="B2488" s="157" t="s">
        <v>233</v>
      </c>
      <c r="C2488" s="56">
        <v>46035</v>
      </c>
      <c r="D2488" s="1456">
        <v>1838</v>
      </c>
      <c r="E2488" s="43"/>
      <c r="F2488" s="1480"/>
      <c r="G2488" t="s">
        <v>2026</v>
      </c>
    </row>
    <row r="2489" spans="1:7">
      <c r="A2489" s="247" t="s">
        <v>387</v>
      </c>
      <c r="B2489" s="157" t="s">
        <v>2041</v>
      </c>
      <c r="C2489" s="56">
        <v>46035</v>
      </c>
      <c r="E2489" s="1456">
        <v>5312</v>
      </c>
      <c r="F2489" s="1482" t="s">
        <v>2042</v>
      </c>
      <c r="G2489" t="s">
        <v>2026</v>
      </c>
    </row>
    <row r="2490" spans="1:7">
      <c r="A2490" s="247" t="s">
        <v>2037</v>
      </c>
      <c r="B2490" s="157" t="s">
        <v>1619</v>
      </c>
      <c r="C2490" s="56">
        <v>46035</v>
      </c>
      <c r="D2490" s="1455">
        <v>662</v>
      </c>
      <c r="E2490" s="43"/>
      <c r="F2490" s="1482"/>
      <c r="G2490" t="s">
        <v>2026</v>
      </c>
    </row>
    <row r="2491" spans="1:7">
      <c r="A2491" s="247" t="s">
        <v>295</v>
      </c>
      <c r="B2491" s="157" t="s">
        <v>233</v>
      </c>
      <c r="C2491" s="56">
        <v>46035</v>
      </c>
      <c r="D2491" s="1456">
        <v>1128</v>
      </c>
      <c r="E2491" s="43"/>
      <c r="F2491" s="1482" t="s">
        <v>2043</v>
      </c>
      <c r="G2491" t="s">
        <v>2026</v>
      </c>
    </row>
    <row r="2492" spans="1:7">
      <c r="A2492" s="247" t="s">
        <v>128</v>
      </c>
      <c r="B2492" s="157" t="s">
        <v>1093</v>
      </c>
      <c r="C2492" s="56">
        <v>46035</v>
      </c>
      <c r="D2492" s="155"/>
      <c r="E2492" s="43">
        <v>576</v>
      </c>
      <c r="F2492" s="1482" t="s">
        <v>2044</v>
      </c>
      <c r="G2492" t="s">
        <v>2026</v>
      </c>
    </row>
    <row r="2493" spans="1:7">
      <c r="A2493" s="247" t="s">
        <v>128</v>
      </c>
      <c r="B2493" s="157" t="s">
        <v>129</v>
      </c>
      <c r="C2493" s="56">
        <v>46036</v>
      </c>
      <c r="D2493" s="1455">
        <v>0</v>
      </c>
      <c r="E2493" s="43"/>
      <c r="F2493" s="1481" t="s">
        <v>1394</v>
      </c>
      <c r="G2493" t="s">
        <v>2026</v>
      </c>
    </row>
    <row r="2494" spans="1:7">
      <c r="A2494" s="247" t="s">
        <v>348</v>
      </c>
      <c r="B2494" s="157" t="s">
        <v>129</v>
      </c>
      <c r="C2494" s="56">
        <v>46036</v>
      </c>
      <c r="D2494" s="1455">
        <v>0</v>
      </c>
      <c r="E2494" s="43"/>
      <c r="F2494" s="1482" t="s">
        <v>2045</v>
      </c>
      <c r="G2494" t="s">
        <v>2026</v>
      </c>
    </row>
    <row r="2495" spans="1:7">
      <c r="A2495" s="247" t="s">
        <v>343</v>
      </c>
      <c r="B2495" s="157" t="s">
        <v>129</v>
      </c>
      <c r="C2495" s="56">
        <v>46036</v>
      </c>
      <c r="D2495" s="1456">
        <v>1062</v>
      </c>
      <c r="E2495" s="43"/>
      <c r="F2495" s="1482"/>
      <c r="G2495" t="s">
        <v>2026</v>
      </c>
    </row>
    <row r="2496" spans="1:7">
      <c r="A2496" s="247" t="s">
        <v>350</v>
      </c>
      <c r="B2496" s="157" t="s">
        <v>129</v>
      </c>
      <c r="C2496" s="56">
        <v>46036</v>
      </c>
      <c r="D2496" s="1456">
        <v>2611</v>
      </c>
      <c r="E2496" s="43"/>
      <c r="F2496" s="1482"/>
      <c r="G2496" t="s">
        <v>2026</v>
      </c>
    </row>
    <row r="2497" spans="1:7">
      <c r="A2497" s="247" t="s">
        <v>2037</v>
      </c>
      <c r="B2497" s="157" t="s">
        <v>1619</v>
      </c>
      <c r="C2497" s="56">
        <v>46036</v>
      </c>
      <c r="D2497" s="1455">
        <v>877</v>
      </c>
      <c r="E2497" s="43"/>
      <c r="F2497" s="1482" t="s">
        <v>2046</v>
      </c>
      <c r="G2497" t="s">
        <v>2026</v>
      </c>
    </row>
    <row r="2498" spans="1:7">
      <c r="A2498" s="247" t="s">
        <v>265</v>
      </c>
      <c r="B2498" s="157" t="s">
        <v>233</v>
      </c>
      <c r="C2498" s="56">
        <v>46036</v>
      </c>
      <c r="D2498" s="1456">
        <v>1200</v>
      </c>
      <c r="E2498" s="43"/>
      <c r="F2498" s="1482"/>
      <c r="G2498" t="s">
        <v>2026</v>
      </c>
    </row>
    <row r="2499" spans="1:7">
      <c r="A2499" s="247" t="s">
        <v>295</v>
      </c>
      <c r="B2499" s="157" t="s">
        <v>233</v>
      </c>
      <c r="C2499" s="56">
        <v>46036</v>
      </c>
      <c r="D2499" s="1456">
        <v>1082</v>
      </c>
      <c r="E2499" s="43"/>
      <c r="F2499" s="1482" t="s">
        <v>2047</v>
      </c>
      <c r="G2499" t="s">
        <v>2026</v>
      </c>
    </row>
    <row r="2500" spans="1:7">
      <c r="A2500" s="247" t="s">
        <v>137</v>
      </c>
      <c r="B2500" s="157" t="s">
        <v>129</v>
      </c>
      <c r="C2500" s="56">
        <v>46036</v>
      </c>
      <c r="D2500" s="155">
        <v>1295</v>
      </c>
      <c r="E2500" s="43"/>
      <c r="F2500" s="1482" t="s">
        <v>2048</v>
      </c>
      <c r="G2500" t="s">
        <v>2026</v>
      </c>
    </row>
    <row r="2501" spans="1:7">
      <c r="A2501" s="247" t="s">
        <v>354</v>
      </c>
      <c r="B2501" s="157" t="s">
        <v>129</v>
      </c>
      <c r="C2501" s="56">
        <v>46036</v>
      </c>
      <c r="D2501" s="43">
        <v>544</v>
      </c>
      <c r="E2501" s="43"/>
      <c r="F2501" s="1482" t="s">
        <v>2049</v>
      </c>
      <c r="G2501" t="s">
        <v>2026</v>
      </c>
    </row>
    <row r="2502" spans="1:7">
      <c r="A2502" s="247" t="s">
        <v>325</v>
      </c>
      <c r="B2502" s="157" t="s">
        <v>1093</v>
      </c>
      <c r="C2502" s="56">
        <v>46036</v>
      </c>
      <c r="E2502" s="155">
        <v>1562</v>
      </c>
      <c r="F2502" s="1482" t="s">
        <v>2050</v>
      </c>
      <c r="G2502" t="s">
        <v>2026</v>
      </c>
    </row>
    <row r="2503" spans="1:7">
      <c r="A2503" s="247" t="s">
        <v>346</v>
      </c>
      <c r="B2503" s="157" t="s">
        <v>129</v>
      </c>
      <c r="C2503" s="56">
        <v>46036</v>
      </c>
      <c r="D2503" s="43">
        <v>0</v>
      </c>
      <c r="E2503" s="43"/>
      <c r="F2503" s="1482" t="s">
        <v>2051</v>
      </c>
      <c r="G2503" t="s">
        <v>2026</v>
      </c>
    </row>
    <row r="2504" spans="1:7">
      <c r="A2504" s="247" t="s">
        <v>352</v>
      </c>
      <c r="B2504" s="157" t="s">
        <v>129</v>
      </c>
      <c r="C2504" s="56">
        <v>46036</v>
      </c>
      <c r="D2504" s="155">
        <v>1728</v>
      </c>
      <c r="E2504" s="43"/>
      <c r="F2504" s="1482" t="s">
        <v>2052</v>
      </c>
      <c r="G2504" t="s">
        <v>2026</v>
      </c>
    </row>
    <row r="2505" spans="1:7">
      <c r="A2505" s="247" t="s">
        <v>343</v>
      </c>
      <c r="B2505" s="157" t="s">
        <v>129</v>
      </c>
      <c r="C2505" s="56">
        <v>46037</v>
      </c>
      <c r="D2505" s="43">
        <v>527</v>
      </c>
      <c r="E2505" s="43"/>
      <c r="F2505" s="1482" t="s">
        <v>2053</v>
      </c>
      <c r="G2505" t="s">
        <v>2026</v>
      </c>
    </row>
    <row r="2506" spans="1:7">
      <c r="A2506" s="247" t="s">
        <v>356</v>
      </c>
      <c r="B2506" s="157" t="s">
        <v>129</v>
      </c>
      <c r="C2506" s="56">
        <v>46037</v>
      </c>
      <c r="D2506" s="155">
        <v>1562</v>
      </c>
      <c r="E2506" s="43"/>
      <c r="F2506" s="1482" t="s">
        <v>2054</v>
      </c>
      <c r="G2506" t="s">
        <v>2026</v>
      </c>
    </row>
    <row r="2507" spans="1:7">
      <c r="A2507" s="247" t="s">
        <v>354</v>
      </c>
      <c r="B2507" s="157" t="s">
        <v>129</v>
      </c>
      <c r="C2507" s="56">
        <v>46037</v>
      </c>
      <c r="D2507" s="155">
        <v>2832</v>
      </c>
      <c r="E2507" s="43"/>
      <c r="F2507" s="1482" t="s">
        <v>2055</v>
      </c>
      <c r="G2507" t="s">
        <v>2026</v>
      </c>
    </row>
    <row r="2508" spans="1:7">
      <c r="A2508" s="247" t="s">
        <v>348</v>
      </c>
      <c r="B2508" s="157" t="s">
        <v>129</v>
      </c>
      <c r="C2508" s="56">
        <v>46037</v>
      </c>
      <c r="D2508" s="43">
        <v>0</v>
      </c>
      <c r="E2508" s="43"/>
      <c r="F2508" s="1482" t="s">
        <v>2056</v>
      </c>
      <c r="G2508" t="s">
        <v>2026</v>
      </c>
    </row>
    <row r="2509" spans="1:7">
      <c r="A2509" s="247" t="s">
        <v>360</v>
      </c>
      <c r="B2509" s="157" t="s">
        <v>129</v>
      </c>
      <c r="C2509" s="56">
        <v>46037</v>
      </c>
      <c r="D2509" s="155">
        <v>1639</v>
      </c>
      <c r="E2509" s="43"/>
      <c r="F2509" s="1482" t="s">
        <v>2057</v>
      </c>
      <c r="G2509" t="s">
        <v>2026</v>
      </c>
    </row>
    <row r="2510" spans="1:7">
      <c r="A2510" s="247" t="s">
        <v>265</v>
      </c>
      <c r="B2510" s="157" t="s">
        <v>233</v>
      </c>
      <c r="C2510" s="56">
        <v>46037</v>
      </c>
      <c r="D2510" s="43">
        <v>445</v>
      </c>
      <c r="E2510" s="43"/>
      <c r="F2510" s="1482" t="s">
        <v>2058</v>
      </c>
      <c r="G2510" t="s">
        <v>2026</v>
      </c>
    </row>
    <row r="2511" spans="1:7">
      <c r="A2511" s="247" t="s">
        <v>2037</v>
      </c>
      <c r="B2511" s="157" t="s">
        <v>1619</v>
      </c>
      <c r="C2511" s="56">
        <v>46037</v>
      </c>
      <c r="D2511" s="43">
        <v>499</v>
      </c>
      <c r="E2511" s="43"/>
      <c r="F2511" s="1482" t="s">
        <v>2059</v>
      </c>
      <c r="G2511" t="s">
        <v>2026</v>
      </c>
    </row>
    <row r="2512" spans="1:7">
      <c r="A2512" s="247" t="s">
        <v>295</v>
      </c>
      <c r="B2512" s="157" t="s">
        <v>233</v>
      </c>
      <c r="C2512" s="56">
        <v>46037</v>
      </c>
      <c r="D2512" s="155">
        <v>1325</v>
      </c>
      <c r="E2512" s="43"/>
      <c r="F2512" s="1482" t="s">
        <v>2060</v>
      </c>
      <c r="G2512" t="s">
        <v>2026</v>
      </c>
    </row>
    <row r="2513" spans="1:7">
      <c r="A2513" s="247" t="s">
        <v>1111</v>
      </c>
      <c r="B2513" s="157" t="s">
        <v>1093</v>
      </c>
      <c r="C2513" s="56">
        <v>46037</v>
      </c>
      <c r="D2513" s="43">
        <v>142</v>
      </c>
      <c r="E2513" s="43"/>
      <c r="F2513" s="1484" t="s">
        <v>2061</v>
      </c>
      <c r="G2513" t="s">
        <v>2026</v>
      </c>
    </row>
    <row r="2514" spans="1:7">
      <c r="A2514" s="399" t="s">
        <v>269</v>
      </c>
      <c r="B2514" s="1438" t="s">
        <v>233</v>
      </c>
      <c r="C2514" s="344">
        <v>46037</v>
      </c>
      <c r="D2514" s="169">
        <v>0</v>
      </c>
      <c r="E2514" s="253"/>
      <c r="F2514" s="1342" t="s">
        <v>2062</v>
      </c>
      <c r="G2514" t="s">
        <v>2026</v>
      </c>
    </row>
    <row r="2515" spans="1:7">
      <c r="A2515" s="399" t="s">
        <v>360</v>
      </c>
      <c r="B2515" s="1438" t="s">
        <v>129</v>
      </c>
      <c r="C2515" s="344">
        <v>46038</v>
      </c>
      <c r="D2515" s="169">
        <v>987</v>
      </c>
      <c r="E2515" s="253"/>
      <c r="F2515" s="1482" t="s">
        <v>2063</v>
      </c>
      <c r="G2515" t="s">
        <v>2026</v>
      </c>
    </row>
    <row r="2516" spans="1:7">
      <c r="A2516" s="247" t="s">
        <v>354</v>
      </c>
      <c r="B2516" s="157" t="s">
        <v>129</v>
      </c>
      <c r="C2516" s="56">
        <v>46038</v>
      </c>
      <c r="D2516" s="43">
        <v>457</v>
      </c>
      <c r="F2516" s="1482" t="s">
        <v>2064</v>
      </c>
      <c r="G2516" t="s">
        <v>2026</v>
      </c>
    </row>
    <row r="2517" spans="1:7">
      <c r="A2517" s="247" t="s">
        <v>352</v>
      </c>
      <c r="B2517" s="157" t="s">
        <v>129</v>
      </c>
      <c r="C2517" s="56">
        <v>46038</v>
      </c>
      <c r="D2517" s="155">
        <v>3082</v>
      </c>
      <c r="F2517" s="1482" t="s">
        <v>2065</v>
      </c>
      <c r="G2517" t="s">
        <v>2026</v>
      </c>
    </row>
    <row r="2518" spans="1:7">
      <c r="A2518" s="247" t="s">
        <v>2037</v>
      </c>
      <c r="B2518" s="157" t="s">
        <v>1619</v>
      </c>
      <c r="C2518" s="56">
        <v>46038</v>
      </c>
      <c r="D2518" s="43">
        <v>186</v>
      </c>
      <c r="F2518" s="1482" t="s">
        <v>2066</v>
      </c>
      <c r="G2518" t="s">
        <v>2026</v>
      </c>
    </row>
    <row r="2519" spans="1:7">
      <c r="A2519" s="247" t="s">
        <v>265</v>
      </c>
      <c r="B2519" s="157" t="s">
        <v>233</v>
      </c>
      <c r="C2519" s="56">
        <v>46038</v>
      </c>
      <c r="D2519" s="43">
        <v>686</v>
      </c>
      <c r="F2519" s="1485" t="s">
        <v>2067</v>
      </c>
      <c r="G2519" t="s">
        <v>2026</v>
      </c>
    </row>
    <row r="2520" spans="1:7">
      <c r="A2520" s="247" t="s">
        <v>356</v>
      </c>
      <c r="B2520" s="157" t="s">
        <v>129</v>
      </c>
      <c r="C2520" s="56">
        <v>46038</v>
      </c>
      <c r="D2520" s="155">
        <v>1798</v>
      </c>
      <c r="F2520" s="1482" t="s">
        <v>2068</v>
      </c>
      <c r="G2520" t="s">
        <v>2026</v>
      </c>
    </row>
    <row r="2521" spans="1:7">
      <c r="A2521" s="247" t="s">
        <v>858</v>
      </c>
      <c r="B2521" s="157" t="s">
        <v>1093</v>
      </c>
      <c r="C2521" s="56">
        <v>46038</v>
      </c>
      <c r="D2521" s="43">
        <v>50</v>
      </c>
      <c r="F2521" s="1342" t="s">
        <v>2069</v>
      </c>
      <c r="G2521" t="s">
        <v>2026</v>
      </c>
    </row>
    <row r="2522" spans="1:7">
      <c r="A2522" s="247" t="s">
        <v>80</v>
      </c>
      <c r="B2522" s="157" t="s">
        <v>1093</v>
      </c>
      <c r="C2522" s="56">
        <v>46038</v>
      </c>
      <c r="D2522" s="43">
        <v>107</v>
      </c>
      <c r="F2522" s="1483" t="s">
        <v>2070</v>
      </c>
      <c r="G2522" t="s">
        <v>2026</v>
      </c>
    </row>
    <row r="2523" spans="1:7">
      <c r="A2523" s="247" t="s">
        <v>295</v>
      </c>
      <c r="B2523" s="157" t="s">
        <v>233</v>
      </c>
      <c r="C2523" s="56">
        <v>46038</v>
      </c>
      <c r="D2523" s="43">
        <v>441</v>
      </c>
      <c r="F2523" s="1482" t="s">
        <v>2071</v>
      </c>
      <c r="G2523" t="s">
        <v>2026</v>
      </c>
    </row>
    <row r="2524" spans="1:7">
      <c r="A2524" s="247"/>
      <c r="B2524" s="157"/>
      <c r="F2524" s="1480"/>
      <c r="G2524" t="s">
        <v>2026</v>
      </c>
    </row>
    <row r="2525" spans="1:7">
      <c r="A2525" s="247"/>
      <c r="B2525" s="157"/>
      <c r="F2525" s="1486"/>
      <c r="G2525" t="s">
        <v>2026</v>
      </c>
    </row>
    <row r="2526" spans="1:7">
      <c r="A2526" s="247"/>
      <c r="B2526" s="157"/>
      <c r="F2526" s="1480"/>
      <c r="G2526" t="s">
        <v>2026</v>
      </c>
    </row>
    <row r="2527" spans="1:7">
      <c r="A2527" s="247"/>
      <c r="B2527" s="157"/>
      <c r="F2527" s="1480"/>
      <c r="G2527" t="s">
        <v>2026</v>
      </c>
    </row>
    <row r="2528" spans="1:7">
      <c r="A2528" s="247"/>
      <c r="B2528" s="157"/>
      <c r="F2528" s="1480"/>
      <c r="G2528" t="s">
        <v>2026</v>
      </c>
    </row>
    <row r="2529" spans="1:7">
      <c r="A2529" s="247"/>
      <c r="B2529" s="157"/>
      <c r="F2529" s="1480"/>
      <c r="G2529" t="s">
        <v>2026</v>
      </c>
    </row>
    <row r="2530" spans="1:7">
      <c r="A2530" s="247"/>
      <c r="B2530" s="157"/>
      <c r="F2530" s="1480"/>
      <c r="G2530" t="s">
        <v>2026</v>
      </c>
    </row>
    <row r="2531" spans="1:7">
      <c r="A2531" s="247"/>
      <c r="B2531" s="157"/>
      <c r="F2531" s="1480"/>
      <c r="G2531" t="s">
        <v>2026</v>
      </c>
    </row>
    <row r="2532" spans="1:7">
      <c r="A2532" s="247"/>
      <c r="B2532" s="157"/>
      <c r="F2532" s="1480"/>
    </row>
    <row r="2533" spans="1:7">
      <c r="A2533" s="247"/>
      <c r="B2533" s="157"/>
      <c r="F2533" s="1480"/>
    </row>
    <row r="2534" spans="1:7">
      <c r="A2534" s="247"/>
      <c r="B2534" s="157"/>
      <c r="F2534" s="1480"/>
    </row>
    <row r="2535" spans="1:7">
      <c r="A2535" s="247"/>
      <c r="B2535" s="157"/>
      <c r="F2535" s="1480"/>
    </row>
    <row r="2536" spans="1:7">
      <c r="A2536" s="247"/>
      <c r="B2536" s="157"/>
      <c r="F2536" s="1480"/>
    </row>
    <row r="2537" spans="1:7">
      <c r="A2537" s="247"/>
      <c r="B2537" s="157"/>
      <c r="F2537" s="1480"/>
    </row>
    <row r="2538" spans="1:7">
      <c r="A2538" s="247"/>
      <c r="B2538" s="157"/>
      <c r="F2538" s="1480"/>
    </row>
    <row r="2539" spans="1:7">
      <c r="A2539" s="247"/>
      <c r="B2539" s="157"/>
      <c r="F2539" s="1480"/>
    </row>
    <row r="2540" spans="1:7">
      <c r="A2540" s="247"/>
      <c r="B2540" s="157"/>
      <c r="F2540" s="1480"/>
    </row>
    <row r="2541" spans="1:7">
      <c r="A2541" s="247"/>
      <c r="B2541" s="157"/>
      <c r="F2541" s="1480"/>
    </row>
    <row r="2542" spans="1:7">
      <c r="A2542" s="247"/>
      <c r="B2542" s="157"/>
      <c r="F2542" s="1480"/>
    </row>
    <row r="2543" spans="1:7">
      <c r="A2543" s="247"/>
      <c r="B2543" s="157"/>
      <c r="F2543" s="1480"/>
    </row>
    <row r="2544" spans="1:7">
      <c r="A2544" s="247"/>
      <c r="B2544" s="157"/>
      <c r="F2544" s="1480"/>
    </row>
    <row r="2545" spans="1:6">
      <c r="A2545" s="247"/>
      <c r="B2545" s="157"/>
      <c r="F2545" s="1480"/>
    </row>
    <row r="2546" spans="1:6">
      <c r="A2546" s="247"/>
      <c r="B2546" s="157"/>
      <c r="F2546" s="1480"/>
    </row>
    <row r="2547" spans="1:6">
      <c r="A2547" s="247"/>
      <c r="B2547" s="157"/>
      <c r="F2547" s="1480"/>
    </row>
    <row r="2548" spans="1:6">
      <c r="A2548" s="247"/>
      <c r="B2548" s="157"/>
      <c r="F2548" s="1480"/>
    </row>
    <row r="2549" spans="1:6">
      <c r="A2549" s="247"/>
      <c r="B2549" s="157"/>
      <c r="F2549" s="1480"/>
    </row>
    <row r="2550" spans="1:6">
      <c r="A2550" s="247"/>
      <c r="B2550" s="157"/>
      <c r="F2550" s="1480"/>
    </row>
    <row r="2551" spans="1:6">
      <c r="A2551" s="247"/>
      <c r="B2551" s="157"/>
      <c r="F2551" s="1480"/>
    </row>
    <row r="2552" spans="1:6">
      <c r="A2552" s="247"/>
      <c r="B2552" s="157"/>
      <c r="F2552" s="1480"/>
    </row>
    <row r="2553" spans="1:6">
      <c r="A2553" s="247"/>
      <c r="B2553" s="157"/>
      <c r="F2553" s="1480"/>
    </row>
    <row r="2554" spans="1:6">
      <c r="A2554" s="247"/>
      <c r="B2554" s="157"/>
      <c r="F2554" s="1480"/>
    </row>
    <row r="2555" spans="1:6">
      <c r="A2555" s="247"/>
      <c r="B2555" s="157"/>
      <c r="F2555" s="1480"/>
    </row>
    <row r="2556" spans="1:6">
      <c r="A2556" s="247"/>
      <c r="B2556" s="157"/>
      <c r="F2556" s="1480"/>
    </row>
    <row r="2557" spans="1:6">
      <c r="A2557" s="247"/>
      <c r="B2557" s="157"/>
      <c r="F2557" s="1480"/>
    </row>
    <row r="2558" spans="1:6">
      <c r="A2558" s="247"/>
      <c r="B2558" s="157"/>
      <c r="F2558" s="1480"/>
    </row>
    <row r="2559" spans="1:6">
      <c r="A2559" s="247"/>
      <c r="B2559" s="157"/>
      <c r="F2559" s="1480"/>
    </row>
    <row r="2560" spans="1:6">
      <c r="A2560" s="247"/>
      <c r="B2560" s="157"/>
      <c r="F2560" s="1480"/>
    </row>
    <row r="2561" spans="1:6">
      <c r="A2561" s="247"/>
      <c r="B2561" s="157"/>
      <c r="F2561" s="1480"/>
    </row>
    <row r="2562" spans="1:6">
      <c r="A2562" s="247"/>
      <c r="B2562" s="157"/>
      <c r="F2562" s="1480"/>
    </row>
    <row r="2563" spans="1:6">
      <c r="A2563" s="247"/>
      <c r="B2563" s="157"/>
      <c r="F2563" s="1480"/>
    </row>
    <row r="2564" spans="1:6">
      <c r="A2564" s="247"/>
      <c r="B2564" s="157"/>
      <c r="F2564" s="1480"/>
    </row>
    <row r="2565" spans="1:6">
      <c r="A2565" s="247"/>
      <c r="B2565" s="157"/>
      <c r="F2565" s="1480"/>
    </row>
    <row r="2566" spans="1:6">
      <c r="A2566" s="247"/>
      <c r="B2566" s="157"/>
      <c r="F2566" s="1480"/>
    </row>
    <row r="2567" spans="1:6">
      <c r="A2567" s="247"/>
      <c r="B2567" s="157"/>
      <c r="F2567" s="1480"/>
    </row>
    <row r="2568" spans="1:6">
      <c r="A2568" s="247"/>
      <c r="B2568" s="157"/>
      <c r="F2568" s="1480"/>
    </row>
    <row r="2569" spans="1:6">
      <c r="A2569" s="247"/>
      <c r="B2569" s="157"/>
      <c r="F2569" s="1480"/>
    </row>
    <row r="2570" spans="1:6">
      <c r="A2570" s="247"/>
      <c r="B2570" s="157"/>
      <c r="F2570" s="1480"/>
    </row>
    <row r="2571" spans="1:6">
      <c r="A2571" s="247"/>
      <c r="B2571" s="157"/>
      <c r="F2571" s="1480"/>
    </row>
    <row r="2572" spans="1:6">
      <c r="F2572" s="1480"/>
    </row>
    <row r="2573" spans="1:6">
      <c r="F2573" s="1480"/>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67"/>
      <c r="B1" s="1467"/>
      <c r="C1" s="1467"/>
      <c r="D1" s="1467"/>
      <c r="E1" s="1467"/>
      <c r="F1" s="1467"/>
      <c r="G1" s="1467"/>
      <c r="H1" s="1467"/>
      <c r="I1" s="1467"/>
      <c r="J1" s="1"/>
      <c r="K1" s="1"/>
      <c r="L1" s="1"/>
      <c r="M1" s="1"/>
      <c r="N1" s="1"/>
      <c r="O1" s="1"/>
      <c r="P1" s="1468" t="s">
        <v>34</v>
      </c>
      <c r="Q1" s="1468"/>
      <c r="R1" s="1468"/>
      <c r="S1" s="1468"/>
      <c r="T1" s="1468"/>
      <c r="U1" s="1468"/>
      <c r="V1" s="1468"/>
      <c r="W1" s="1468"/>
      <c r="X1" s="1468"/>
      <c r="Y1" s="1468"/>
      <c r="Z1" s="1468"/>
      <c r="AA1" s="1468"/>
      <c r="AB1" s="66"/>
    </row>
    <row r="2" spans="1:30" ht="15.75" thickBot="1">
      <c r="A2" s="2"/>
      <c r="B2" s="2"/>
      <c r="C2" s="2"/>
      <c r="D2" s="2"/>
      <c r="E2" s="2"/>
      <c r="F2" s="2"/>
      <c r="G2" s="2"/>
      <c r="H2" s="2"/>
      <c r="I2" s="2"/>
      <c r="J2" s="6"/>
      <c r="K2" s="6"/>
      <c r="L2" s="6"/>
      <c r="M2" s="6"/>
      <c r="N2" s="6"/>
      <c r="O2" s="6"/>
      <c r="P2" s="8"/>
      <c r="Q2" s="8"/>
      <c r="R2" s="3"/>
      <c r="S2" s="3"/>
      <c r="T2" s="3"/>
      <c r="U2" s="3"/>
      <c r="V2" s="3" t="s">
        <v>2072</v>
      </c>
      <c r="W2" s="3" t="s">
        <v>2073</v>
      </c>
      <c r="X2" s="3" t="s">
        <v>2073</v>
      </c>
      <c r="Y2" s="3" t="s">
        <v>2073</v>
      </c>
      <c r="Z2" s="3" t="s">
        <v>2073</v>
      </c>
      <c r="AA2" s="8" t="s">
        <v>2074</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2075</v>
      </c>
      <c r="T3" s="19" t="s">
        <v>2076</v>
      </c>
      <c r="U3" s="19" t="s">
        <v>2077</v>
      </c>
      <c r="V3" s="5" t="s">
        <v>2078</v>
      </c>
      <c r="W3" s="5" t="s">
        <v>44</v>
      </c>
      <c r="X3" s="5" t="s">
        <v>43</v>
      </c>
      <c r="Y3" s="5" t="s">
        <v>2079</v>
      </c>
      <c r="Z3" s="5" t="s">
        <v>46</v>
      </c>
      <c r="AA3" s="89" t="s">
        <v>654</v>
      </c>
      <c r="AB3" s="68" t="s">
        <v>48</v>
      </c>
    </row>
    <row r="4" spans="1:30" ht="24.75" customHeight="1" thickBot="1">
      <c r="A4" s="440" t="s">
        <v>2080</v>
      </c>
      <c r="B4" s="440" t="s">
        <v>2081</v>
      </c>
      <c r="C4" s="16">
        <v>45717</v>
      </c>
      <c r="D4" s="63" t="s">
        <v>2082</v>
      </c>
      <c r="E4" s="51">
        <v>45707</v>
      </c>
      <c r="F4" s="51" t="s">
        <v>208</v>
      </c>
      <c r="G4" s="382" t="s">
        <v>2083</v>
      </c>
      <c r="H4" s="97">
        <v>0</v>
      </c>
      <c r="I4" s="105"/>
      <c r="J4" s="76" t="s">
        <v>63</v>
      </c>
      <c r="K4" s="76" t="s">
        <v>2084</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2085</v>
      </c>
    </row>
    <row r="5" spans="1:30" ht="24.75" customHeight="1" thickBot="1">
      <c r="A5" s="440" t="s">
        <v>2086</v>
      </c>
      <c r="B5" s="440" t="s">
        <v>2081</v>
      </c>
      <c r="C5" s="16">
        <v>45717</v>
      </c>
      <c r="D5" s="63" t="s">
        <v>2082</v>
      </c>
      <c r="E5" s="51">
        <v>45707</v>
      </c>
      <c r="F5" s="381" t="s">
        <v>208</v>
      </c>
      <c r="G5" s="382" t="s">
        <v>2087</v>
      </c>
      <c r="H5" s="97">
        <v>0</v>
      </c>
      <c r="I5" s="105"/>
      <c r="J5" s="76" t="s">
        <v>63</v>
      </c>
      <c r="K5" s="76" t="s">
        <v>2084</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2088</v>
      </c>
      <c r="B6" s="440" t="s">
        <v>2081</v>
      </c>
      <c r="C6" s="16">
        <v>45717</v>
      </c>
      <c r="D6" s="63" t="s">
        <v>2082</v>
      </c>
      <c r="E6" s="51">
        <v>45707</v>
      </c>
      <c r="F6" s="381" t="s">
        <v>208</v>
      </c>
      <c r="G6" s="382" t="s">
        <v>2089</v>
      </c>
      <c r="H6" s="97">
        <v>0</v>
      </c>
      <c r="I6" s="105"/>
      <c r="J6" s="76" t="s">
        <v>63</v>
      </c>
      <c r="K6" s="76" t="s">
        <v>2084</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755</v>
      </c>
      <c r="B7" s="374" t="s">
        <v>109</v>
      </c>
      <c r="C7" s="51">
        <v>45930</v>
      </c>
      <c r="D7" s="587" t="s">
        <v>84</v>
      </c>
      <c r="E7" s="375"/>
      <c r="F7" s="587" t="s">
        <v>163</v>
      </c>
      <c r="G7" s="384" t="s">
        <v>757</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2090</v>
      </c>
      <c r="B8" s="440" t="s">
        <v>2091</v>
      </c>
      <c r="C8" s="16">
        <v>45748</v>
      </c>
      <c r="D8" s="16" t="s">
        <v>2082</v>
      </c>
      <c r="E8" s="94" t="s">
        <v>52</v>
      </c>
      <c r="F8" s="95" t="s">
        <v>52</v>
      </c>
      <c r="G8" s="618" t="s">
        <v>2092</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2093</v>
      </c>
      <c r="AC8" s="435"/>
      <c r="AD8" s="70"/>
    </row>
    <row r="9" spans="1:30" ht="24.75" customHeight="1">
      <c r="A9" s="449" t="s">
        <v>2094</v>
      </c>
      <c r="B9" s="449" t="s">
        <v>2095</v>
      </c>
      <c r="C9" s="23">
        <v>45741</v>
      </c>
      <c r="D9" s="16" t="s">
        <v>2082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2096</v>
      </c>
    </row>
    <row r="10" spans="1:30" ht="24.75" customHeight="1" thickBot="1">
      <c r="A10" s="26" t="s">
        <v>2097</v>
      </c>
      <c r="B10" s="26" t="s">
        <v>2095</v>
      </c>
      <c r="C10" s="27">
        <v>45741</v>
      </c>
      <c r="D10" s="16" t="s">
        <v>2082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2098</v>
      </c>
      <c r="B11" s="36" t="s">
        <v>2095</v>
      </c>
      <c r="C11" s="37">
        <v>45747</v>
      </c>
      <c r="D11" s="16" t="s">
        <v>2082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2099</v>
      </c>
      <c r="B12" s="26" t="s">
        <v>2095</v>
      </c>
      <c r="C12" s="27">
        <v>45741</v>
      </c>
      <c r="D12" s="16" t="s">
        <v>2082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2096</v>
      </c>
    </row>
    <row r="13" spans="1:30" ht="24.75" customHeight="1" thickBot="1">
      <c r="A13" s="26" t="s">
        <v>2100</v>
      </c>
      <c r="B13" s="26" t="s">
        <v>2095</v>
      </c>
      <c r="C13" s="27">
        <v>45741</v>
      </c>
      <c r="D13" s="27" t="s">
        <v>2082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2096</v>
      </c>
    </row>
    <row r="14" spans="1:30" ht="24.75" customHeight="1" thickBot="1">
      <c r="A14" s="26" t="s">
        <v>2101</v>
      </c>
      <c r="B14" s="26" t="s">
        <v>2095</v>
      </c>
      <c r="C14" s="27">
        <v>45747</v>
      </c>
      <c r="D14" s="27" t="s">
        <v>2082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2102</v>
      </c>
      <c r="B15" s="26" t="s">
        <v>2095</v>
      </c>
      <c r="C15" s="27">
        <v>45741</v>
      </c>
      <c r="D15" s="27" t="s">
        <v>2082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2096</v>
      </c>
    </row>
    <row r="16" spans="1:30" ht="24.75" customHeight="1" thickBot="1">
      <c r="A16" s="26" t="s">
        <v>2103</v>
      </c>
      <c r="B16" s="26" t="s">
        <v>2095</v>
      </c>
      <c r="C16" s="27">
        <v>45741</v>
      </c>
      <c r="D16" s="27" t="s">
        <v>2082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2096</v>
      </c>
    </row>
    <row r="17" spans="1:30" ht="24.75" customHeight="1" thickBot="1">
      <c r="A17" s="36" t="s">
        <v>2104</v>
      </c>
      <c r="B17" s="36" t="s">
        <v>2095</v>
      </c>
      <c r="C17" s="37">
        <v>45747</v>
      </c>
      <c r="D17" s="37" t="s">
        <v>2082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2105</v>
      </c>
      <c r="B18" s="374" t="s">
        <v>2095</v>
      </c>
      <c r="C18" s="51">
        <v>45717</v>
      </c>
      <c r="D18" s="27" t="s">
        <v>2082</v>
      </c>
      <c r="E18" s="85">
        <v>45700</v>
      </c>
      <c r="F18" s="51"/>
      <c r="G18" s="51" t="s">
        <v>2106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2096</v>
      </c>
    </row>
    <row r="19" spans="1:30" ht="24.75" customHeight="1" thickBot="1">
      <c r="A19" s="50" t="s">
        <v>2107</v>
      </c>
      <c r="B19" s="26" t="s">
        <v>2095</v>
      </c>
      <c r="C19" s="51">
        <v>45747</v>
      </c>
      <c r="D19" s="27" t="s">
        <v>2082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2108</v>
      </c>
    </row>
    <row r="20" spans="1:30" ht="24.75" customHeight="1" thickBot="1">
      <c r="A20" s="374" t="s">
        <v>2109</v>
      </c>
      <c r="B20" s="374" t="s">
        <v>2095</v>
      </c>
      <c r="C20" s="375">
        <v>45717</v>
      </c>
      <c r="D20" s="27" t="s">
        <v>2082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2096</v>
      </c>
    </row>
    <row r="21" spans="1:30" ht="24.75" customHeight="1" thickBot="1">
      <c r="A21" s="374" t="s">
        <v>2110</v>
      </c>
      <c r="B21" s="112" t="s">
        <v>50</v>
      </c>
      <c r="C21" s="51">
        <v>45717</v>
      </c>
      <c r="D21" s="27" t="s">
        <v>2111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2112</v>
      </c>
      <c r="B22" s="378" t="s">
        <v>50</v>
      </c>
      <c r="C22" s="51">
        <v>45717</v>
      </c>
      <c r="D22" s="51" t="s">
        <v>2111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2113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2114</v>
      </c>
      <c r="B24" s="378" t="s">
        <v>50</v>
      </c>
      <c r="C24" s="381">
        <v>45688</v>
      </c>
      <c r="D24" s="390" t="s">
        <v>2113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2115</v>
      </c>
      <c r="B25" s="113" t="s">
        <v>50</v>
      </c>
      <c r="C25" s="51">
        <v>45747</v>
      </c>
      <c r="D25" s="51" t="s">
        <v>2111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2116</v>
      </c>
    </row>
    <row r="26" spans="1:30" ht="24.75" customHeight="1">
      <c r="A26" s="101" t="s">
        <v>2117</v>
      </c>
      <c r="B26" s="102" t="s">
        <v>50</v>
      </c>
      <c r="C26" s="77">
        <v>45716</v>
      </c>
      <c r="D26" s="26" t="s">
        <v>2113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2118</v>
      </c>
      <c r="B27" s="102" t="s">
        <v>50</v>
      </c>
      <c r="C27" s="77">
        <v>45716</v>
      </c>
      <c r="D27" s="50" t="s">
        <v>2113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2119</v>
      </c>
      <c r="B28" s="1109" t="s">
        <v>50</v>
      </c>
      <c r="C28" s="1102">
        <v>45991</v>
      </c>
      <c r="D28" s="375" t="s">
        <v>84</v>
      </c>
      <c r="E28" s="77">
        <v>45734</v>
      </c>
      <c r="F28" s="1100" t="s">
        <v>68</v>
      </c>
      <c r="G28" s="1111" t="s">
        <v>2120</v>
      </c>
      <c r="H28" s="76">
        <v>85</v>
      </c>
      <c r="I28" s="1112" t="s">
        <v>55</v>
      </c>
      <c r="J28" s="76" t="s">
        <v>63</v>
      </c>
      <c r="K28" s="76"/>
      <c r="L28" s="77">
        <v>45735</v>
      </c>
      <c r="M28" s="76" t="s">
        <v>57</v>
      </c>
      <c r="N28" s="1116">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2121</v>
      </c>
      <c r="B29" s="1109" t="s">
        <v>50</v>
      </c>
      <c r="C29" s="1102">
        <v>46021</v>
      </c>
      <c r="D29" s="375" t="s">
        <v>84</v>
      </c>
      <c r="E29" s="77">
        <v>45743</v>
      </c>
      <c r="F29" s="1100" t="s">
        <v>68</v>
      </c>
      <c r="G29" s="1110" t="s">
        <v>2122</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2123</v>
      </c>
      <c r="AC29" s="1106"/>
      <c r="AD29" s="1108"/>
    </row>
    <row r="30" spans="1:30" ht="24.75" customHeight="1">
      <c r="A30" s="374" t="s">
        <v>2124</v>
      </c>
      <c r="B30" s="667" t="s">
        <v>50</v>
      </c>
      <c r="C30" s="375">
        <v>45991</v>
      </c>
      <c r="D30" s="50" t="s">
        <v>84</v>
      </c>
      <c r="E30" s="51">
        <v>45743</v>
      </c>
      <c r="F30" s="50" t="s">
        <v>68</v>
      </c>
      <c r="G30" s="379" t="s">
        <v>2125</v>
      </c>
      <c r="H30" s="52">
        <v>87</v>
      </c>
      <c r="I30" s="665" t="s">
        <v>55</v>
      </c>
      <c r="J30" s="376" t="s">
        <v>63</v>
      </c>
      <c r="K30" s="1114"/>
      <c r="L30" s="77">
        <v>45741</v>
      </c>
      <c r="M30" s="1115" t="s">
        <v>57</v>
      </c>
      <c r="N30" s="1117">
        <v>75191.5</v>
      </c>
      <c r="O30" s="376" t="s">
        <v>57</v>
      </c>
      <c r="P30" s="58" t="s">
        <v>101</v>
      </c>
      <c r="Q30" s="479">
        <v>45748</v>
      </c>
      <c r="R30" s="42">
        <v>6387</v>
      </c>
      <c r="S30" s="987">
        <v>0</v>
      </c>
      <c r="T30" s="330">
        <v>0</v>
      </c>
      <c r="U30" s="22">
        <v>0</v>
      </c>
      <c r="V30" s="30"/>
      <c r="W30" s="34">
        <v>0</v>
      </c>
      <c r="X30" s="34">
        <v>0</v>
      </c>
      <c r="Y30" s="34">
        <v>0</v>
      </c>
      <c r="Z30" s="34">
        <v>0</v>
      </c>
      <c r="AA30" s="34">
        <v>0</v>
      </c>
      <c r="AB30" s="208" t="s">
        <v>2126</v>
      </c>
      <c r="AC30" s="333"/>
      <c r="AD30" s="115"/>
    </row>
    <row r="31" spans="1:30" ht="24.75" customHeight="1">
      <c r="A31" s="374" t="s">
        <v>1110</v>
      </c>
      <c r="B31" s="667" t="s">
        <v>50</v>
      </c>
      <c r="C31" s="375">
        <v>46021</v>
      </c>
      <c r="D31" s="375" t="s">
        <v>84</v>
      </c>
      <c r="E31" s="51">
        <v>45735</v>
      </c>
      <c r="F31" s="50" t="s">
        <v>68</v>
      </c>
      <c r="G31" s="668" t="s">
        <v>2127</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2128</v>
      </c>
      <c r="W31" s="34">
        <v>0</v>
      </c>
      <c r="X31" s="34">
        <v>0</v>
      </c>
      <c r="Y31" s="31">
        <v>0</v>
      </c>
      <c r="Z31" s="34">
        <v>0</v>
      </c>
      <c r="AA31" s="31">
        <v>0</v>
      </c>
      <c r="AB31" s="353" t="s">
        <v>2123</v>
      </c>
    </row>
    <row r="32" spans="1:30" ht="24.75" customHeight="1">
      <c r="A32" s="901" t="s">
        <v>2129</v>
      </c>
      <c r="B32" s="1101" t="s">
        <v>50</v>
      </c>
      <c r="C32" s="979">
        <v>45717</v>
      </c>
      <c r="D32" s="979" t="s">
        <v>2111</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2130</v>
      </c>
      <c r="B33" s="983" t="s">
        <v>50</v>
      </c>
      <c r="C33" s="903">
        <v>45989</v>
      </c>
      <c r="D33" s="903" t="s">
        <v>2131</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2132</v>
      </c>
    </row>
    <row r="34" spans="1:30" ht="24.75" customHeight="1">
      <c r="A34" s="901" t="s">
        <v>2133</v>
      </c>
      <c r="B34" s="1101" t="s">
        <v>50</v>
      </c>
      <c r="C34" s="979">
        <v>45717</v>
      </c>
      <c r="D34" s="979" t="s">
        <v>2111</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2134</v>
      </c>
      <c r="B35" s="1101" t="s">
        <v>50</v>
      </c>
      <c r="C35" s="979">
        <v>45717</v>
      </c>
      <c r="D35" s="979" t="s">
        <v>2111</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2135</v>
      </c>
      <c r="B36" s="1101" t="s">
        <v>50</v>
      </c>
      <c r="C36" s="979">
        <v>45717</v>
      </c>
      <c r="D36" s="979" t="s">
        <v>2111</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2136</v>
      </c>
      <c r="Q1" s="159" t="s">
        <v>2137</v>
      </c>
      <c r="R1" s="127" t="s">
        <v>2138</v>
      </c>
      <c r="S1" s="127" t="s">
        <v>2139</v>
      </c>
      <c r="T1" s="159" t="s">
        <v>2140</v>
      </c>
      <c r="U1" s="127" t="s">
        <v>1238</v>
      </c>
      <c r="V1" s="160" t="s">
        <v>2141</v>
      </c>
      <c r="W1" s="160" t="s">
        <v>2142</v>
      </c>
      <c r="X1" s="163" t="s">
        <v>2143</v>
      </c>
      <c r="Y1" s="258" t="e" cm="1">
        <f t="array" ref="Y1">VLOOKUP(#REF!,#REF!, FALSE)</f>
        <v>#REF!</v>
      </c>
    </row>
    <row r="2" spans="1:25">
      <c r="A2" s="178" t="s">
        <v>526</v>
      </c>
      <c r="B2" s="180" t="s">
        <v>207</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529</v>
      </c>
      <c r="B3" s="530" t="s">
        <v>207</v>
      </c>
      <c r="C3" s="687">
        <v>45742</v>
      </c>
      <c r="D3" s="688" t="s">
        <v>531</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2144</v>
      </c>
      <c r="B4" s="407" t="s">
        <v>207</v>
      </c>
      <c r="C4" s="408">
        <v>45742</v>
      </c>
      <c r="D4" s="694" t="s">
        <v>2145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535</v>
      </c>
      <c r="B5" s="407" t="s">
        <v>207</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656</v>
      </c>
      <c r="B6" s="407" t="s">
        <v>207</v>
      </c>
      <c r="C6" s="408">
        <v>45747</v>
      </c>
      <c r="D6" s="691" t="s">
        <v>658</v>
      </c>
      <c r="E6" s="190"/>
      <c r="F6" s="137"/>
      <c r="G6" s="137"/>
      <c r="H6" s="185">
        <v>56</v>
      </c>
      <c r="I6" s="181"/>
      <c r="J6" s="188" t="s">
        <v>57</v>
      </c>
      <c r="K6" s="188" t="s">
        <v>57</v>
      </c>
      <c r="L6" s="185" t="s">
        <v>63</v>
      </c>
      <c r="M6" s="195">
        <v>45701</v>
      </c>
      <c r="N6" s="30" t="s">
        <v>86</v>
      </c>
      <c r="O6" s="356">
        <v>45718</v>
      </c>
      <c r="P6" s="30" t="s">
        <v>86</v>
      </c>
      <c r="Q6" s="334" t="s">
        <v>86</v>
      </c>
      <c r="R6" s="43" t="s">
        <v>2146</v>
      </c>
      <c r="S6" s="43" t="s">
        <v>86</v>
      </c>
      <c r="T6" s="43" t="s">
        <v>86</v>
      </c>
      <c r="U6" s="157" t="s">
        <v>86</v>
      </c>
      <c r="V6" s="69" t="s">
        <v>91</v>
      </c>
      <c r="W6" s="79"/>
      <c r="X6" s="69" t="s">
        <v>91</v>
      </c>
      <c r="Y6" t="e">
        <f>VLOOKUP(A6,#REF!,2,FALSE)</f>
        <v>#REF!</v>
      </c>
    </row>
    <row r="7" spans="1:25">
      <c r="A7" s="385" t="s">
        <v>1061</v>
      </c>
      <c r="B7" s="684" t="s">
        <v>207</v>
      </c>
      <c r="C7" s="386">
        <v>45742</v>
      </c>
      <c r="D7" s="411" t="s">
        <v>662</v>
      </c>
      <c r="E7" s="522"/>
      <c r="F7" s="523"/>
      <c r="G7" s="523"/>
      <c r="H7" s="179">
        <v>60</v>
      </c>
      <c r="I7" s="181"/>
      <c r="J7" s="185" t="s">
        <v>57</v>
      </c>
      <c r="K7" s="185" t="s">
        <v>57</v>
      </c>
      <c r="L7" s="185" t="s">
        <v>63</v>
      </c>
      <c r="M7" s="193">
        <v>45716</v>
      </c>
      <c r="N7" s="30" t="s">
        <v>86</v>
      </c>
      <c r="O7" s="79" t="s">
        <v>86</v>
      </c>
      <c r="P7" s="30" t="s">
        <v>86</v>
      </c>
      <c r="Q7" s="334" t="s">
        <v>86</v>
      </c>
      <c r="R7" s="43" t="s">
        <v>2146</v>
      </c>
      <c r="S7" s="43" t="s">
        <v>86</v>
      </c>
      <c r="T7" s="43" t="s">
        <v>86</v>
      </c>
      <c r="U7" s="43" t="s">
        <v>86</v>
      </c>
      <c r="V7" s="69" t="s">
        <v>91</v>
      </c>
      <c r="W7" s="30"/>
      <c r="X7" s="69" t="s">
        <v>91</v>
      </c>
      <c r="Y7" t="e">
        <f>VLOOKUP(A7,#REF!,2,FALSE)</f>
        <v>#REF!</v>
      </c>
    </row>
    <row r="8" spans="1:25">
      <c r="A8" s="175" t="s">
        <v>538</v>
      </c>
      <c r="B8" s="180" t="s">
        <v>207</v>
      </c>
      <c r="C8" s="176">
        <v>45742</v>
      </c>
      <c r="D8" s="185" t="s">
        <v>2147</v>
      </c>
      <c r="E8" s="120"/>
      <c r="F8" s="108"/>
      <c r="G8" s="108"/>
      <c r="H8" s="179">
        <v>84</v>
      </c>
      <c r="I8" s="181"/>
      <c r="J8" s="185" t="s">
        <v>57</v>
      </c>
      <c r="K8" s="185" t="s">
        <v>57</v>
      </c>
      <c r="L8" s="185" t="s">
        <v>63</v>
      </c>
      <c r="M8" s="193">
        <v>45716</v>
      </c>
      <c r="N8" s="30" t="s">
        <v>86</v>
      </c>
      <c r="O8" s="30" t="s">
        <v>86</v>
      </c>
      <c r="P8" s="709" t="s">
        <v>86</v>
      </c>
      <c r="Q8" s="69" t="s">
        <v>86</v>
      </c>
      <c r="R8" s="43" t="s">
        <v>2146</v>
      </c>
      <c r="S8" s="43" t="s">
        <v>86</v>
      </c>
      <c r="T8" s="43" t="s">
        <v>86</v>
      </c>
      <c r="U8" s="43" t="s">
        <v>86</v>
      </c>
      <c r="V8" s="69" t="s">
        <v>91</v>
      </c>
      <c r="W8" s="30"/>
      <c r="X8" s="69" t="s">
        <v>91</v>
      </c>
      <c r="Y8" t="e">
        <f>VLOOKUP(A8,#REF!,2,FALSE)</f>
        <v>#REF!</v>
      </c>
    </row>
    <row r="9" spans="1:25">
      <c r="A9" s="175" t="s">
        <v>1063</v>
      </c>
      <c r="B9" s="180" t="s">
        <v>207</v>
      </c>
      <c r="C9" s="176">
        <v>45742</v>
      </c>
      <c r="D9" s="519" t="s">
        <v>539</v>
      </c>
      <c r="E9" s="191"/>
      <c r="F9" s="138"/>
      <c r="G9" s="138"/>
      <c r="H9" s="185">
        <v>79</v>
      </c>
      <c r="I9" s="181"/>
      <c r="J9" s="185" t="s">
        <v>57</v>
      </c>
      <c r="K9" s="185" t="s">
        <v>57</v>
      </c>
      <c r="L9" s="185" t="s">
        <v>63</v>
      </c>
      <c r="M9" s="193">
        <v>45716</v>
      </c>
      <c r="N9" s="119" t="s">
        <v>86</v>
      </c>
      <c r="O9" s="54">
        <v>45718</v>
      </c>
      <c r="P9" s="119" t="s">
        <v>86</v>
      </c>
      <c r="Q9" s="69" t="s">
        <v>86</v>
      </c>
      <c r="R9" s="43" t="s">
        <v>2146</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2146</v>
      </c>
      <c r="S10" s="43" t="s">
        <v>86</v>
      </c>
      <c r="T10" s="43" t="s">
        <v>86</v>
      </c>
      <c r="U10" s="161" t="s">
        <v>86</v>
      </c>
      <c r="V10" s="334" t="s">
        <v>91</v>
      </c>
      <c r="W10" s="30"/>
      <c r="X10" s="69" t="s">
        <v>91</v>
      </c>
      <c r="Y10" t="e">
        <f>VLOOKUP(A10,#REF!,2,FALSE)</f>
        <v>#REF!</v>
      </c>
    </row>
    <row r="11" spans="1:25">
      <c r="A11" s="181" t="s">
        <v>660</v>
      </c>
      <c r="B11" s="422" t="s">
        <v>207</v>
      </c>
      <c r="C11" s="176">
        <v>45991</v>
      </c>
      <c r="D11" s="534" t="s">
        <v>662</v>
      </c>
      <c r="E11" s="120">
        <v>31</v>
      </c>
      <c r="F11" s="108"/>
      <c r="G11" s="108"/>
      <c r="H11" s="185">
        <v>31</v>
      </c>
      <c r="I11" s="181"/>
      <c r="J11" s="185" t="s">
        <v>57</v>
      </c>
      <c r="K11" s="185" t="s">
        <v>57</v>
      </c>
      <c r="L11" s="185" t="s">
        <v>63</v>
      </c>
      <c r="M11" s="195">
        <v>45716</v>
      </c>
      <c r="N11" s="30" t="s">
        <v>64</v>
      </c>
      <c r="O11" s="54">
        <v>45716</v>
      </c>
      <c r="P11" s="87" t="s">
        <v>86</v>
      </c>
      <c r="Q11" s="69" t="s">
        <v>86</v>
      </c>
      <c r="R11" s="43" t="s">
        <v>2146</v>
      </c>
      <c r="S11" s="43" t="s">
        <v>86</v>
      </c>
      <c r="T11" s="43" t="s">
        <v>86</v>
      </c>
      <c r="U11" s="334" t="s">
        <v>91</v>
      </c>
      <c r="V11" s="69" t="s">
        <v>91</v>
      </c>
      <c r="W11" s="30"/>
      <c r="X11" s="43"/>
    </row>
    <row r="12" spans="1:25">
      <c r="A12" s="175" t="s">
        <v>401</v>
      </c>
      <c r="B12" s="180" t="s">
        <v>207</v>
      </c>
      <c r="C12" s="176">
        <v>45772</v>
      </c>
      <c r="D12" s="199" t="s">
        <v>662</v>
      </c>
      <c r="E12" s="191"/>
      <c r="F12" s="138"/>
      <c r="G12" s="138"/>
      <c r="H12" s="185">
        <v>31</v>
      </c>
      <c r="I12" s="181"/>
      <c r="J12" s="185" t="s">
        <v>57</v>
      </c>
      <c r="K12" s="185" t="s">
        <v>57</v>
      </c>
      <c r="L12" s="185" t="s">
        <v>63</v>
      </c>
      <c r="M12" s="193">
        <v>45716</v>
      </c>
      <c r="N12" s="30" t="s">
        <v>64</v>
      </c>
      <c r="O12" s="54">
        <v>45716</v>
      </c>
      <c r="P12" s="87" t="s">
        <v>86</v>
      </c>
      <c r="Q12" s="69" t="s">
        <v>86</v>
      </c>
      <c r="R12" s="43" t="s">
        <v>2146</v>
      </c>
      <c r="S12" s="43" t="s">
        <v>86</v>
      </c>
      <c r="T12" s="43" t="s">
        <v>86</v>
      </c>
      <c r="U12" s="69" t="s">
        <v>91</v>
      </c>
      <c r="V12" s="69" t="s">
        <v>91</v>
      </c>
      <c r="W12" s="30"/>
      <c r="X12" s="69" t="s">
        <v>91</v>
      </c>
      <c r="Y12" t="e">
        <f>VLOOKUP(A12,#REF!,2,FALSE)</f>
        <v>#REF!</v>
      </c>
    </row>
    <row r="13" spans="1:25">
      <c r="A13" s="178" t="s">
        <v>265</v>
      </c>
      <c r="B13" s="180" t="s">
        <v>207</v>
      </c>
      <c r="C13" s="409">
        <v>45960</v>
      </c>
      <c r="D13" s="418" t="s">
        <v>2148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973</v>
      </c>
      <c r="B15" s="180" t="s">
        <v>207</v>
      </c>
      <c r="C15" s="314">
        <v>45711</v>
      </c>
      <c r="D15" s="633" t="s">
        <v>975</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2149</v>
      </c>
      <c r="Y15" t="e">
        <f>VLOOKUP(A15,#REF!,2,FALSE)</f>
        <v>#REF!</v>
      </c>
    </row>
    <row r="16" spans="1:25">
      <c r="A16" s="175" t="s">
        <v>664</v>
      </c>
      <c r="B16" s="180" t="s">
        <v>207</v>
      </c>
      <c r="C16" s="314">
        <v>45742</v>
      </c>
      <c r="D16" s="697" t="s">
        <v>666</v>
      </c>
      <c r="E16" s="191"/>
      <c r="F16" s="138"/>
      <c r="G16" s="138"/>
      <c r="H16" s="185">
        <v>0</v>
      </c>
      <c r="I16" s="181"/>
      <c r="J16" s="185" t="s">
        <v>57</v>
      </c>
      <c r="K16" s="185" t="s">
        <v>57</v>
      </c>
      <c r="L16" s="185" t="s">
        <v>63</v>
      </c>
      <c r="M16" s="195" t="s">
        <v>2150</v>
      </c>
      <c r="N16" s="30" t="s">
        <v>86</v>
      </c>
      <c r="O16" s="54" t="s">
        <v>2150</v>
      </c>
      <c r="P16" s="30" t="s">
        <v>86</v>
      </c>
      <c r="Q16" s="69" t="s">
        <v>86</v>
      </c>
      <c r="R16" s="43" t="s">
        <v>86</v>
      </c>
      <c r="S16" s="43" t="s">
        <v>56</v>
      </c>
      <c r="T16" s="43" t="s">
        <v>86</v>
      </c>
      <c r="U16" s="69" t="s">
        <v>91</v>
      </c>
      <c r="V16" s="69" t="s">
        <v>91</v>
      </c>
      <c r="W16" s="30"/>
      <c r="X16" s="69" t="s">
        <v>91</v>
      </c>
      <c r="Y16" t="e">
        <f>VLOOKUP(A16,#REF!,2,FALSE)</f>
        <v>#REF!</v>
      </c>
    </row>
    <row r="17" spans="1:25">
      <c r="A17" s="178" t="s">
        <v>540</v>
      </c>
      <c r="B17" s="180" t="s">
        <v>207</v>
      </c>
      <c r="C17" s="177">
        <v>45991</v>
      </c>
      <c r="D17" s="711" t="s">
        <v>541</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542</v>
      </c>
      <c r="B18" s="180" t="s">
        <v>207</v>
      </c>
      <c r="C18" s="409">
        <v>45991</v>
      </c>
      <c r="D18" s="410" t="s">
        <v>543</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978</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667</v>
      </c>
      <c r="B20" s="175" t="s">
        <v>109</v>
      </c>
      <c r="C20" s="176">
        <v>45742</v>
      </c>
      <c r="D20" s="179" t="s">
        <v>668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2149</v>
      </c>
      <c r="Y20" t="e">
        <f>VLOOKUP(A20,#REF!,2,FALSE)</f>
        <v>#REF!</v>
      </c>
    </row>
    <row r="21" spans="1:25">
      <c r="A21" s="178" t="s">
        <v>669</v>
      </c>
      <c r="B21" s="175" t="s">
        <v>109</v>
      </c>
      <c r="C21" s="176">
        <v>45772</v>
      </c>
      <c r="D21" s="617" t="s">
        <v>671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2149</v>
      </c>
      <c r="Y21" t="e">
        <f>VLOOKUP(A21,#REF!,2,FALSE)</f>
        <v>#REF!</v>
      </c>
    </row>
    <row r="22" spans="1:25">
      <c r="A22" s="175" t="s">
        <v>673</v>
      </c>
      <c r="B22" s="175" t="s">
        <v>109</v>
      </c>
      <c r="C22" s="176">
        <v>45868</v>
      </c>
      <c r="D22" s="617" t="s">
        <v>674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2149</v>
      </c>
    </row>
    <row r="23" spans="1:25">
      <c r="A23" s="175" t="s">
        <v>979</v>
      </c>
      <c r="B23" s="175" t="s">
        <v>109</v>
      </c>
      <c r="C23" s="176">
        <v>45838</v>
      </c>
      <c r="D23" s="179" t="s">
        <v>980</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676</v>
      </c>
      <c r="B24" s="175" t="s">
        <v>109</v>
      </c>
      <c r="C24" s="176">
        <v>45807</v>
      </c>
      <c r="D24" s="200" t="s">
        <v>677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2149</v>
      </c>
    </row>
    <row r="25" spans="1:25">
      <c r="A25" s="175" t="s">
        <v>679</v>
      </c>
      <c r="B25" s="175" t="s">
        <v>109</v>
      </c>
      <c r="C25" s="176">
        <v>45787</v>
      </c>
      <c r="D25" s="200" t="s">
        <v>680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2149</v>
      </c>
      <c r="Y25" t="e">
        <f>VLOOKUP(A25,#REF!,2,FALSE)</f>
        <v>#REF!</v>
      </c>
    </row>
    <row r="26" spans="1:25">
      <c r="A26" s="180" t="s">
        <v>681</v>
      </c>
      <c r="B26" s="175" t="s">
        <v>109</v>
      </c>
      <c r="C26" s="183">
        <v>45868</v>
      </c>
      <c r="D26" s="200" t="s">
        <v>682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984</v>
      </c>
      <c r="B27" s="175" t="s">
        <v>109</v>
      </c>
      <c r="C27" s="183">
        <v>45868</v>
      </c>
      <c r="D27" s="179" t="s">
        <v>985</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987</v>
      </c>
      <c r="B28" s="175" t="s">
        <v>109</v>
      </c>
      <c r="C28" s="183">
        <v>45868</v>
      </c>
      <c r="D28" s="179" t="s">
        <v>988</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684</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2149</v>
      </c>
      <c r="Y29" t="e">
        <f>VLOOKUP(A29,#REF!,2,FALSE)</f>
        <v>#REF!</v>
      </c>
    </row>
    <row r="30" spans="1:25">
      <c r="A30" s="175" t="s">
        <v>686</v>
      </c>
      <c r="B30" s="175" t="s">
        <v>109</v>
      </c>
      <c r="C30" s="176">
        <v>45711</v>
      </c>
      <c r="D30" s="176" t="s">
        <v>687</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2149</v>
      </c>
      <c r="Y30" t="e">
        <f>VLOOKUP(A30,#REF!,2,FALSE)</f>
        <v>#REF!</v>
      </c>
    </row>
    <row r="31" spans="1:25">
      <c r="A31" s="178" t="s">
        <v>688</v>
      </c>
      <c r="B31" s="175" t="s">
        <v>109</v>
      </c>
      <c r="C31" s="176">
        <v>45716</v>
      </c>
      <c r="D31" s="179" t="s">
        <v>689</v>
      </c>
      <c r="E31" s="172"/>
      <c r="F31" s="129"/>
      <c r="G31" s="129"/>
      <c r="H31" s="179">
        <v>56</v>
      </c>
      <c r="I31" s="181"/>
      <c r="J31" s="179" t="s">
        <v>57</v>
      </c>
      <c r="K31" s="179" t="s">
        <v>57</v>
      </c>
      <c r="L31" s="179" t="s">
        <v>63</v>
      </c>
      <c r="M31" s="195">
        <v>45707</v>
      </c>
      <c r="N31" s="30" t="s">
        <v>86</v>
      </c>
      <c r="O31" s="54">
        <v>45707</v>
      </c>
      <c r="P31" s="87" t="s">
        <v>86</v>
      </c>
      <c r="Q31" s="43" t="s">
        <v>86</v>
      </c>
      <c r="R31" s="43" t="s">
        <v>2146</v>
      </c>
      <c r="S31" s="43" t="s">
        <v>86</v>
      </c>
      <c r="T31" s="139" t="s">
        <v>86</v>
      </c>
      <c r="U31" s="115" t="s">
        <v>86</v>
      </c>
      <c r="V31" s="69" t="s">
        <v>86</v>
      </c>
      <c r="W31" s="54">
        <v>45779</v>
      </c>
      <c r="X31" s="69" t="s">
        <v>2149</v>
      </c>
      <c r="Y31" t="e">
        <f>VLOOKUP(A31,#REF!,2,FALSE)</f>
        <v>#REF!</v>
      </c>
    </row>
    <row r="32" spans="1:25">
      <c r="A32" s="178" t="s">
        <v>690</v>
      </c>
      <c r="B32" s="175" t="s">
        <v>109</v>
      </c>
      <c r="C32" s="176">
        <v>45772</v>
      </c>
      <c r="D32" s="617" t="s">
        <v>691</v>
      </c>
      <c r="E32" s="172"/>
      <c r="F32" s="129"/>
      <c r="G32" s="129"/>
      <c r="H32" s="179">
        <v>82</v>
      </c>
      <c r="I32" s="181"/>
      <c r="J32" s="179" t="s">
        <v>57</v>
      </c>
      <c r="K32" s="179" t="s">
        <v>57</v>
      </c>
      <c r="L32" s="179" t="s">
        <v>63</v>
      </c>
      <c r="M32" s="195">
        <v>45756</v>
      </c>
      <c r="N32" s="30" t="s">
        <v>86</v>
      </c>
      <c r="O32" s="54">
        <v>45756</v>
      </c>
      <c r="P32" s="30" t="s">
        <v>86</v>
      </c>
      <c r="Q32" s="69" t="s">
        <v>86</v>
      </c>
      <c r="R32" s="69" t="s">
        <v>2146</v>
      </c>
      <c r="S32" s="43" t="s">
        <v>86</v>
      </c>
      <c r="T32" s="139" t="s">
        <v>86</v>
      </c>
      <c r="U32" s="43" t="s">
        <v>86</v>
      </c>
      <c r="V32" s="69" t="s">
        <v>86</v>
      </c>
      <c r="W32" s="54">
        <v>45792</v>
      </c>
      <c r="X32" s="69" t="s">
        <v>2149</v>
      </c>
    </row>
    <row r="33" spans="1:25">
      <c r="A33" s="178" t="s">
        <v>692</v>
      </c>
      <c r="B33" s="175" t="s">
        <v>109</v>
      </c>
      <c r="C33" s="176">
        <v>45772</v>
      </c>
      <c r="D33" s="200" t="s">
        <v>693</v>
      </c>
      <c r="E33" s="191"/>
      <c r="F33" s="138"/>
      <c r="G33" s="138"/>
      <c r="H33" s="185">
        <v>79</v>
      </c>
      <c r="I33" s="181"/>
      <c r="J33" s="179" t="s">
        <v>57</v>
      </c>
      <c r="K33" s="179" t="s">
        <v>57</v>
      </c>
      <c r="L33" s="179" t="s">
        <v>63</v>
      </c>
      <c r="M33" s="193">
        <v>45749</v>
      </c>
      <c r="N33" s="30" t="s">
        <v>86</v>
      </c>
      <c r="O33" s="124">
        <v>45749</v>
      </c>
      <c r="P33" s="30" t="s">
        <v>86</v>
      </c>
      <c r="Q33" s="69" t="s">
        <v>86</v>
      </c>
      <c r="R33" s="69" t="s">
        <v>2146</v>
      </c>
      <c r="S33" s="43" t="s">
        <v>86</v>
      </c>
      <c r="T33" s="139" t="s">
        <v>86</v>
      </c>
      <c r="U33" s="43" t="s">
        <v>86</v>
      </c>
      <c r="V33" s="334" t="s">
        <v>86</v>
      </c>
      <c r="W33" s="54">
        <v>45812</v>
      </c>
      <c r="X33" s="69" t="s">
        <v>2149</v>
      </c>
      <c r="Y33" t="e">
        <f>VLOOKUP(A33,#REF!,2,FALSE)</f>
        <v>#REF!</v>
      </c>
    </row>
    <row r="34" spans="1:25">
      <c r="A34" s="178" t="s">
        <v>694</v>
      </c>
      <c r="B34" s="175" t="s">
        <v>109</v>
      </c>
      <c r="C34" s="176">
        <v>45772</v>
      </c>
      <c r="D34" s="200" t="s">
        <v>695</v>
      </c>
      <c r="E34" s="191"/>
      <c r="F34" s="138"/>
      <c r="G34" s="138"/>
      <c r="H34" s="185">
        <v>59</v>
      </c>
      <c r="I34" s="181"/>
      <c r="J34" s="179" t="s">
        <v>57</v>
      </c>
      <c r="K34" s="179" t="s">
        <v>57</v>
      </c>
      <c r="L34" s="179" t="s">
        <v>63</v>
      </c>
      <c r="M34" s="193">
        <v>45750</v>
      </c>
      <c r="N34" s="30" t="s">
        <v>86</v>
      </c>
      <c r="O34" s="124">
        <v>45750</v>
      </c>
      <c r="P34" s="30" t="s">
        <v>86</v>
      </c>
      <c r="Q34" s="69" t="s">
        <v>86</v>
      </c>
      <c r="R34" s="69" t="s">
        <v>2146</v>
      </c>
      <c r="S34" s="43" t="s">
        <v>86</v>
      </c>
      <c r="T34" s="139" t="s">
        <v>86</v>
      </c>
      <c r="U34" s="43" t="s">
        <v>86</v>
      </c>
      <c r="V34" s="404" t="s">
        <v>86</v>
      </c>
      <c r="W34" s="166">
        <v>45797</v>
      </c>
      <c r="X34" s="69" t="s">
        <v>2149</v>
      </c>
    </row>
    <row r="35" spans="1:25">
      <c r="A35" s="178" t="s">
        <v>696</v>
      </c>
      <c r="B35" s="175" t="s">
        <v>109</v>
      </c>
      <c r="C35" s="176">
        <v>45688</v>
      </c>
      <c r="D35" s="176" t="s">
        <v>698</v>
      </c>
      <c r="E35" s="699"/>
      <c r="F35" s="703"/>
      <c r="G35" s="703"/>
      <c r="H35" s="179">
        <v>23</v>
      </c>
      <c r="I35" s="181"/>
      <c r="J35" s="189" t="s">
        <v>57</v>
      </c>
      <c r="K35" s="189" t="s">
        <v>57</v>
      </c>
      <c r="L35" s="179" t="s">
        <v>63</v>
      </c>
      <c r="M35" s="195">
        <v>45659</v>
      </c>
      <c r="N35" s="30" t="s">
        <v>86</v>
      </c>
      <c r="O35" s="124">
        <v>45659</v>
      </c>
      <c r="P35" s="87" t="s">
        <v>86</v>
      </c>
      <c r="Q35" s="43" t="s">
        <v>86</v>
      </c>
      <c r="R35" s="43" t="s">
        <v>2146</v>
      </c>
      <c r="S35" s="43" t="s">
        <v>86</v>
      </c>
      <c r="T35" s="139" t="s">
        <v>86</v>
      </c>
      <c r="U35" s="169" t="s">
        <v>86</v>
      </c>
      <c r="V35" s="69" t="s">
        <v>86</v>
      </c>
      <c r="W35" s="54">
        <v>45789</v>
      </c>
      <c r="X35" s="334" t="s">
        <v>2149</v>
      </c>
      <c r="Y35" t="e">
        <f>VLOOKUP(A35,#REF!,2,FALSE)</f>
        <v>#REF!</v>
      </c>
    </row>
    <row r="36" spans="1:25">
      <c r="A36" s="178" t="s">
        <v>699</v>
      </c>
      <c r="B36" s="175" t="s">
        <v>109</v>
      </c>
      <c r="C36" s="176">
        <v>45688</v>
      </c>
      <c r="D36" s="176" t="s">
        <v>700</v>
      </c>
      <c r="E36" s="699"/>
      <c r="F36" s="703"/>
      <c r="G36" s="703"/>
      <c r="H36" s="179">
        <v>70</v>
      </c>
      <c r="I36" s="181"/>
      <c r="J36" s="189" t="s">
        <v>57</v>
      </c>
      <c r="K36" s="189" t="s">
        <v>57</v>
      </c>
      <c r="L36" s="179" t="s">
        <v>63</v>
      </c>
      <c r="M36" s="195">
        <v>45659</v>
      </c>
      <c r="N36" s="30" t="s">
        <v>86</v>
      </c>
      <c r="O36" s="124">
        <v>45659</v>
      </c>
      <c r="P36" s="87" t="s">
        <v>86</v>
      </c>
      <c r="Q36" s="43" t="s">
        <v>86</v>
      </c>
      <c r="R36" s="43" t="s">
        <v>2146</v>
      </c>
      <c r="S36" s="43" t="s">
        <v>86</v>
      </c>
      <c r="T36" s="139" t="s">
        <v>86</v>
      </c>
      <c r="U36" s="43" t="s">
        <v>86</v>
      </c>
      <c r="V36" s="69" t="s">
        <v>86</v>
      </c>
      <c r="W36" s="54">
        <v>45824</v>
      </c>
      <c r="X36" s="334" t="s">
        <v>2149</v>
      </c>
      <c r="Y36" t="e">
        <f>VLOOKUP(A36,#REF!,2,FALSE)</f>
        <v>#REF!</v>
      </c>
    </row>
    <row r="37" spans="1:25">
      <c r="A37" s="178" t="s">
        <v>701</v>
      </c>
      <c r="B37" s="175" t="s">
        <v>109</v>
      </c>
      <c r="C37" s="176">
        <v>45688</v>
      </c>
      <c r="D37" s="176" t="s">
        <v>702</v>
      </c>
      <c r="E37" s="699"/>
      <c r="F37" s="703"/>
      <c r="G37" s="703"/>
      <c r="H37" s="179">
        <v>75</v>
      </c>
      <c r="I37" s="181"/>
      <c r="J37" s="189" t="s">
        <v>57</v>
      </c>
      <c r="K37" s="189" t="s">
        <v>57</v>
      </c>
      <c r="L37" s="179" t="s">
        <v>63</v>
      </c>
      <c r="M37" s="49" t="s">
        <v>86</v>
      </c>
      <c r="N37" s="30" t="s">
        <v>86</v>
      </c>
      <c r="O37" s="124">
        <v>45672</v>
      </c>
      <c r="P37" s="30" t="s">
        <v>86</v>
      </c>
      <c r="Q37" s="43" t="s">
        <v>86</v>
      </c>
      <c r="R37" s="43" t="s">
        <v>2146</v>
      </c>
      <c r="S37" s="43" t="s">
        <v>86</v>
      </c>
      <c r="T37" s="43" t="s">
        <v>86</v>
      </c>
      <c r="U37" s="169" t="s">
        <v>86</v>
      </c>
      <c r="V37" s="69" t="s">
        <v>86</v>
      </c>
      <c r="W37" s="156">
        <v>45789</v>
      </c>
      <c r="X37" s="69" t="s">
        <v>2149</v>
      </c>
      <c r="Y37" t="e">
        <f>VLOOKUP(A37,#REF!,2,FALSE)</f>
        <v>#REF!</v>
      </c>
    </row>
    <row r="38" spans="1:25">
      <c r="A38" s="178" t="s">
        <v>703</v>
      </c>
      <c r="B38" s="175" t="s">
        <v>109</v>
      </c>
      <c r="C38" s="176">
        <v>45688</v>
      </c>
      <c r="D38" s="176" t="s">
        <v>705</v>
      </c>
      <c r="E38" s="699"/>
      <c r="F38" s="703"/>
      <c r="G38" s="703"/>
      <c r="H38" s="179">
        <v>65</v>
      </c>
      <c r="I38" s="181"/>
      <c r="J38" s="189" t="s">
        <v>57</v>
      </c>
      <c r="K38" s="189" t="s">
        <v>57</v>
      </c>
      <c r="L38" s="179" t="s">
        <v>63</v>
      </c>
      <c r="M38" s="193">
        <v>45673</v>
      </c>
      <c r="N38" s="30" t="s">
        <v>86</v>
      </c>
      <c r="O38" s="124">
        <v>45673</v>
      </c>
      <c r="P38" s="30" t="s">
        <v>86</v>
      </c>
      <c r="Q38" s="43" t="s">
        <v>86</v>
      </c>
      <c r="R38" s="43" t="s">
        <v>2146</v>
      </c>
      <c r="S38" s="43" t="s">
        <v>86</v>
      </c>
      <c r="T38" s="43" t="s">
        <v>86</v>
      </c>
      <c r="U38" s="169" t="s">
        <v>86</v>
      </c>
      <c r="V38" s="69" t="s">
        <v>86</v>
      </c>
      <c r="W38" s="54">
        <v>45789</v>
      </c>
      <c r="X38" s="69" t="s">
        <v>2149</v>
      </c>
      <c r="Y38" t="e">
        <f>VLOOKUP(A38,#REF!,2,FALSE)</f>
        <v>#REF!</v>
      </c>
    </row>
    <row r="39" spans="1:25">
      <c r="A39" s="178" t="s">
        <v>706</v>
      </c>
      <c r="B39" s="175" t="s">
        <v>109</v>
      </c>
      <c r="C39" s="176">
        <v>45688</v>
      </c>
      <c r="D39" s="176" t="s">
        <v>707</v>
      </c>
      <c r="E39" s="699"/>
      <c r="F39" s="703"/>
      <c r="G39" s="703"/>
      <c r="H39" s="179">
        <v>81</v>
      </c>
      <c r="I39" s="181"/>
      <c r="J39" s="189" t="s">
        <v>57</v>
      </c>
      <c r="K39" s="189" t="s">
        <v>57</v>
      </c>
      <c r="L39" s="179" t="s">
        <v>63</v>
      </c>
      <c r="M39" s="49" t="s">
        <v>86</v>
      </c>
      <c r="N39" s="30" t="s">
        <v>86</v>
      </c>
      <c r="O39" s="124">
        <v>45672</v>
      </c>
      <c r="P39" s="30" t="s">
        <v>86</v>
      </c>
      <c r="Q39" s="43" t="s">
        <v>86</v>
      </c>
      <c r="R39" s="43" t="s">
        <v>2146</v>
      </c>
      <c r="S39" s="43" t="s">
        <v>86</v>
      </c>
      <c r="T39" s="43" t="s">
        <v>86</v>
      </c>
      <c r="U39" s="169" t="s">
        <v>86</v>
      </c>
      <c r="V39" s="69" t="s">
        <v>86</v>
      </c>
      <c r="W39" s="54">
        <v>45789</v>
      </c>
      <c r="X39" s="69" t="s">
        <v>2149</v>
      </c>
      <c r="Y39" t="e">
        <f>VLOOKUP(A39,#REF!,2,FALSE)</f>
        <v>#REF!</v>
      </c>
    </row>
    <row r="40" spans="1:25">
      <c r="A40" s="175" t="s">
        <v>708</v>
      </c>
      <c r="B40" s="175" t="s">
        <v>109</v>
      </c>
      <c r="C40" s="176">
        <v>45742</v>
      </c>
      <c r="D40" s="179" t="s">
        <v>709</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2149</v>
      </c>
      <c r="Y40" t="e">
        <f>VLOOKUP(A40,#REF!,2,FALSE)</f>
        <v>#REF!</v>
      </c>
    </row>
    <row r="41" spans="1:25">
      <c r="A41" s="178" t="s">
        <v>710</v>
      </c>
      <c r="B41" s="175" t="s">
        <v>109</v>
      </c>
      <c r="C41" s="176">
        <v>45742</v>
      </c>
      <c r="D41" s="200" t="s">
        <v>711</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2149</v>
      </c>
      <c r="Y41" t="e">
        <f>VLOOKUP(A41,#REF!,2,FALSE)</f>
        <v>#REF!</v>
      </c>
    </row>
    <row r="42" spans="1:25" ht="13.5" customHeight="1">
      <c r="A42" s="178" t="s">
        <v>712</v>
      </c>
      <c r="B42" s="175" t="s">
        <v>109</v>
      </c>
      <c r="C42" s="176">
        <v>45772</v>
      </c>
      <c r="D42" s="200" t="s">
        <v>713</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2149</v>
      </c>
      <c r="Y42" t="e">
        <f>VLOOKUP(A42,#REF!,2,FALSE)</f>
        <v>#REF!</v>
      </c>
    </row>
    <row r="43" spans="1:25" ht="13.5" customHeight="1">
      <c r="A43" s="175" t="s">
        <v>714</v>
      </c>
      <c r="B43" s="175" t="s">
        <v>109</v>
      </c>
      <c r="C43" s="176">
        <v>45716</v>
      </c>
      <c r="D43" s="200" t="s">
        <v>715</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2149</v>
      </c>
      <c r="Y43" t="e">
        <f>VLOOKUP(A43,#REF!,2,FALSE)</f>
        <v>#REF!</v>
      </c>
    </row>
    <row r="44" spans="1:25">
      <c r="A44" s="178" t="s">
        <v>718</v>
      </c>
      <c r="B44" s="175" t="s">
        <v>109</v>
      </c>
      <c r="C44" s="176">
        <v>45772</v>
      </c>
      <c r="D44" s="200" t="s">
        <v>717</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2149</v>
      </c>
      <c r="Y44" t="e">
        <f>VLOOKUP(A44,#REF!,2,FALSE)</f>
        <v>#REF!</v>
      </c>
    </row>
    <row r="45" spans="1:25">
      <c r="A45" s="178" t="s">
        <v>720</v>
      </c>
      <c r="B45" s="175" t="s">
        <v>109</v>
      </c>
      <c r="C45" s="183">
        <v>45711</v>
      </c>
      <c r="D45" s="183" t="s">
        <v>721</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2149</v>
      </c>
      <c r="Y45" t="e">
        <f>VLOOKUP(A45,#REF!,2,FALSE)</f>
        <v>#REF!</v>
      </c>
    </row>
    <row r="46" spans="1:25">
      <c r="A46" s="178" t="s">
        <v>992</v>
      </c>
      <c r="B46" s="175" t="s">
        <v>109</v>
      </c>
      <c r="C46" s="183">
        <v>45868</v>
      </c>
      <c r="D46" s="179" t="s">
        <v>993</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2149</v>
      </c>
    </row>
    <row r="47" spans="1:25">
      <c r="A47" s="178" t="s">
        <v>995</v>
      </c>
      <c r="B47" s="529" t="s">
        <v>109</v>
      </c>
      <c r="C47" s="177">
        <v>45899</v>
      </c>
      <c r="D47" s="179" t="s">
        <v>996</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998</v>
      </c>
      <c r="B48" s="529" t="s">
        <v>109</v>
      </c>
      <c r="C48" s="177">
        <v>45930</v>
      </c>
      <c r="D48" s="179" t="s">
        <v>999</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722</v>
      </c>
      <c r="B49" s="175" t="s">
        <v>109</v>
      </c>
      <c r="C49" s="177">
        <v>45899</v>
      </c>
      <c r="D49" s="363" t="s">
        <v>723</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2149</v>
      </c>
    </row>
    <row r="50" spans="1:56">
      <c r="A50" s="178" t="s">
        <v>727</v>
      </c>
      <c r="B50" s="175" t="s">
        <v>109</v>
      </c>
      <c r="C50" s="409">
        <v>45899</v>
      </c>
      <c r="D50" s="369" t="s">
        <v>728</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2149</v>
      </c>
    </row>
    <row r="51" spans="1:56">
      <c r="A51" s="178" t="s">
        <v>730</v>
      </c>
      <c r="B51" s="175" t="s">
        <v>109</v>
      </c>
      <c r="C51" s="409">
        <v>45899</v>
      </c>
      <c r="D51" s="369" t="s">
        <v>731</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2149</v>
      </c>
    </row>
    <row r="52" spans="1:56">
      <c r="A52" s="178" t="s">
        <v>733</v>
      </c>
      <c r="B52" s="175" t="s">
        <v>109</v>
      </c>
      <c r="C52" s="177">
        <v>45868</v>
      </c>
      <c r="D52" s="518" t="s">
        <v>734</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2149</v>
      </c>
    </row>
    <row r="53" spans="1:56">
      <c r="A53" s="178" t="s">
        <v>736</v>
      </c>
      <c r="B53" s="175" t="s">
        <v>109</v>
      </c>
      <c r="C53" s="409">
        <v>45868</v>
      </c>
      <c r="D53" s="369" t="s">
        <v>737</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2149</v>
      </c>
    </row>
    <row r="54" spans="1:56">
      <c r="A54" s="178" t="s">
        <v>739</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1005</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1008</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742</v>
      </c>
      <c r="B57" s="178" t="s">
        <v>109</v>
      </c>
      <c r="C57" s="177">
        <v>45862</v>
      </c>
      <c r="D57" s="617" t="s">
        <v>743</v>
      </c>
      <c r="E57" s="191"/>
      <c r="F57" s="138"/>
      <c r="G57" s="138"/>
      <c r="H57" s="185">
        <v>62</v>
      </c>
      <c r="I57" s="181"/>
      <c r="J57" s="185" t="s">
        <v>57</v>
      </c>
      <c r="K57" s="185" t="s">
        <v>57</v>
      </c>
      <c r="L57" s="185" t="s">
        <v>63</v>
      </c>
      <c r="M57" s="195">
        <v>45762</v>
      </c>
      <c r="N57" s="87" t="s">
        <v>86</v>
      </c>
      <c r="O57" s="124">
        <v>45783</v>
      </c>
      <c r="P57" s="328" t="s">
        <v>86</v>
      </c>
      <c r="Q57" s="43" t="s">
        <v>86</v>
      </c>
      <c r="R57" s="43" t="s">
        <v>2146</v>
      </c>
      <c r="S57" s="43" t="s">
        <v>86</v>
      </c>
      <c r="T57" s="43" t="s">
        <v>86</v>
      </c>
      <c r="U57" s="43" t="s">
        <v>86</v>
      </c>
      <c r="V57" s="69" t="s">
        <v>86</v>
      </c>
      <c r="W57" s="54">
        <v>45813</v>
      </c>
      <c r="X57" s="69" t="s">
        <v>2149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109</v>
      </c>
      <c r="C58" s="177">
        <v>45862</v>
      </c>
      <c r="D58" s="617" t="s">
        <v>745</v>
      </c>
      <c r="E58" s="191"/>
      <c r="F58" s="138"/>
      <c r="G58" s="138"/>
      <c r="H58" s="185">
        <v>89</v>
      </c>
      <c r="I58" s="181"/>
      <c r="J58" s="185" t="s">
        <v>57</v>
      </c>
      <c r="K58" s="185" t="s">
        <v>57</v>
      </c>
      <c r="L58" s="185" t="s">
        <v>63</v>
      </c>
      <c r="M58" s="195">
        <v>45762</v>
      </c>
      <c r="N58" s="87" t="s">
        <v>86</v>
      </c>
      <c r="O58" s="54">
        <v>45776</v>
      </c>
      <c r="P58" s="328" t="s">
        <v>86</v>
      </c>
      <c r="Q58" s="43" t="s">
        <v>86</v>
      </c>
      <c r="R58" s="43" t="s">
        <v>2146</v>
      </c>
      <c r="S58" s="43" t="s">
        <v>86</v>
      </c>
      <c r="T58" s="43" t="s">
        <v>86</v>
      </c>
      <c r="U58" s="43" t="s">
        <v>86</v>
      </c>
      <c r="V58" s="334" t="s">
        <v>86</v>
      </c>
      <c r="W58" s="54">
        <v>45796</v>
      </c>
      <c r="X58" s="69" t="s">
        <v>2149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109</v>
      </c>
      <c r="C59" s="177">
        <v>45862</v>
      </c>
      <c r="D59" s="617" t="s">
        <v>747</v>
      </c>
      <c r="E59" s="191"/>
      <c r="F59" s="138"/>
      <c r="G59" s="138"/>
      <c r="H59" s="185">
        <v>87</v>
      </c>
      <c r="I59" s="181"/>
      <c r="J59" s="185" t="s">
        <v>57</v>
      </c>
      <c r="K59" s="185" t="s">
        <v>57</v>
      </c>
      <c r="L59" s="185" t="s">
        <v>63</v>
      </c>
      <c r="M59" s="195">
        <v>45762</v>
      </c>
      <c r="N59" s="87" t="s">
        <v>86</v>
      </c>
      <c r="O59" s="30" t="s">
        <v>2128</v>
      </c>
      <c r="P59" s="328" t="s">
        <v>86</v>
      </c>
      <c r="Q59" s="43" t="s">
        <v>86</v>
      </c>
      <c r="R59" s="43" t="s">
        <v>2146</v>
      </c>
      <c r="S59" s="43" t="s">
        <v>86</v>
      </c>
      <c r="T59" s="43" t="s">
        <v>86</v>
      </c>
      <c r="U59" s="43" t="s">
        <v>86</v>
      </c>
      <c r="V59" s="334" t="s">
        <v>86</v>
      </c>
      <c r="W59" s="54">
        <v>45796</v>
      </c>
      <c r="X59" s="69" t="s">
        <v>2149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109</v>
      </c>
      <c r="C60" s="177">
        <v>45868</v>
      </c>
      <c r="D60" s="200" t="s">
        <v>749</v>
      </c>
      <c r="E60" s="191"/>
      <c r="F60" s="138"/>
      <c r="G60" s="138"/>
      <c r="H60" s="185">
        <v>60</v>
      </c>
      <c r="I60" s="181"/>
      <c r="J60" s="185" t="s">
        <v>57</v>
      </c>
      <c r="K60" s="185" t="s">
        <v>57</v>
      </c>
      <c r="L60" s="185" t="s">
        <v>63</v>
      </c>
      <c r="M60" s="195">
        <v>45790</v>
      </c>
      <c r="N60" s="87" t="s">
        <v>86</v>
      </c>
      <c r="O60" s="54">
        <v>45812</v>
      </c>
      <c r="P60" s="328" t="s">
        <v>86</v>
      </c>
      <c r="Q60" s="43" t="s">
        <v>86</v>
      </c>
      <c r="R60" s="43" t="s">
        <v>2146</v>
      </c>
      <c r="S60" s="43" t="s">
        <v>86</v>
      </c>
      <c r="T60" s="43" t="s">
        <v>86</v>
      </c>
      <c r="U60" s="43" t="s">
        <v>86</v>
      </c>
      <c r="V60" s="334" t="s">
        <v>86</v>
      </c>
      <c r="W60" s="54">
        <v>45824</v>
      </c>
      <c r="X60" s="69" t="s">
        <v>2149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109</v>
      </c>
      <c r="C61" s="176">
        <v>45688</v>
      </c>
      <c r="D61" s="176" t="s">
        <v>753</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2149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109</v>
      </c>
      <c r="C62" s="177">
        <v>45868</v>
      </c>
      <c r="D62" s="200" t="s">
        <v>785</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2149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109</v>
      </c>
      <c r="C64" s="177">
        <v>45899</v>
      </c>
      <c r="D64" s="696" t="s">
        <v>788</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109</v>
      </c>
      <c r="C65" s="177">
        <v>45868</v>
      </c>
      <c r="D65" s="696" t="s">
        <v>791</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109</v>
      </c>
      <c r="C66" s="176">
        <v>45838</v>
      </c>
      <c r="D66" s="698" t="s">
        <v>1021</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2149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1023</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109</v>
      </c>
      <c r="C69" s="177">
        <v>45899</v>
      </c>
      <c r="D69" s="200" t="s">
        <v>762</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109</v>
      </c>
      <c r="C70" s="183">
        <v>45716</v>
      </c>
      <c r="D70" s="183" t="s">
        <v>765</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2149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109</v>
      </c>
      <c r="C71" s="177">
        <v>45899</v>
      </c>
      <c r="D71" s="200" t="s">
        <v>768</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109</v>
      </c>
      <c r="C73" s="183">
        <v>45838</v>
      </c>
      <c r="D73" s="617" t="s">
        <v>774</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109</v>
      </c>
      <c r="C74" s="177">
        <v>45899</v>
      </c>
      <c r="D74" s="200" t="s">
        <v>777</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1026</v>
      </c>
      <c r="B75" s="175" t="s">
        <v>109</v>
      </c>
      <c r="C75" s="177">
        <v>45868</v>
      </c>
      <c r="D75" s="617" t="s">
        <v>1027</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2149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109</v>
      </c>
      <c r="C76" s="177">
        <v>45868</v>
      </c>
      <c r="D76" s="199" t="s">
        <v>780</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2149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1019</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109</v>
      </c>
      <c r="C79" s="408">
        <v>45792</v>
      </c>
      <c r="D79" s="176" t="s">
        <v>795</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2149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109</v>
      </c>
      <c r="C80" s="400">
        <v>45787</v>
      </c>
      <c r="D80" s="617" t="s">
        <v>797</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2151</v>
      </c>
      <c r="B81" s="529" t="s">
        <v>109</v>
      </c>
      <c r="C81" s="176">
        <v>45688</v>
      </c>
      <c r="D81" s="617" t="s">
        <v>799</v>
      </c>
      <c r="E81" s="172"/>
      <c r="F81" s="129"/>
      <c r="G81" s="129"/>
      <c r="H81" s="179">
        <v>48</v>
      </c>
      <c r="I81" s="181"/>
      <c r="J81" s="179" t="s">
        <v>57</v>
      </c>
      <c r="K81" s="179" t="s">
        <v>57</v>
      </c>
      <c r="L81" s="179" t="s">
        <v>56</v>
      </c>
      <c r="M81" s="100" t="s">
        <v>86</v>
      </c>
      <c r="N81" s="87" t="s">
        <v>86</v>
      </c>
      <c r="O81" s="124">
        <v>45678</v>
      </c>
      <c r="P81" s="87" t="s">
        <v>86</v>
      </c>
      <c r="Q81" s="43" t="s">
        <v>86</v>
      </c>
      <c r="R81" s="43" t="s">
        <v>2146</v>
      </c>
      <c r="S81" s="43" t="s">
        <v>86</v>
      </c>
      <c r="T81" s="43" t="s">
        <v>86</v>
      </c>
      <c r="U81" s="115" t="s">
        <v>86</v>
      </c>
      <c r="V81" s="69" t="s">
        <v>86</v>
      </c>
      <c r="W81" s="54">
        <v>45789</v>
      </c>
      <c r="X81" s="69" t="s">
        <v>2149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2146</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86</v>
      </c>
      <c r="O84" s="54">
        <v>45728</v>
      </c>
      <c r="P84" s="30" t="s">
        <v>86</v>
      </c>
      <c r="Q84" s="169" t="s">
        <v>86</v>
      </c>
      <c r="R84" s="169" t="s">
        <v>2146</v>
      </c>
      <c r="S84" s="169" t="s">
        <v>86</v>
      </c>
      <c r="T84" s="169" t="s">
        <v>86</v>
      </c>
      <c r="U84" s="91" t="s">
        <v>86</v>
      </c>
      <c r="V84" s="69" t="s">
        <v>86</v>
      </c>
      <c r="W84" s="195">
        <v>45875</v>
      </c>
      <c r="X84" s="69" t="s">
        <v>2149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86</v>
      </c>
      <c r="O85" s="54">
        <v>45719</v>
      </c>
      <c r="P85" s="30" t="s">
        <v>86</v>
      </c>
      <c r="Q85" s="43" t="s">
        <v>86</v>
      </c>
      <c r="R85" s="169" t="s">
        <v>2146</v>
      </c>
      <c r="S85" s="169" t="s">
        <v>86</v>
      </c>
      <c r="T85" s="169" t="s">
        <v>86</v>
      </c>
      <c r="U85" s="91" t="s">
        <v>86</v>
      </c>
      <c r="V85" s="91" t="s">
        <v>86</v>
      </c>
      <c r="W85" s="195">
        <v>45874</v>
      </c>
      <c r="X85" s="69" t="s">
        <v>2149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86</v>
      </c>
      <c r="O86" s="195">
        <v>45728</v>
      </c>
      <c r="P86" s="30" t="s">
        <v>86</v>
      </c>
      <c r="Q86" s="43" t="s">
        <v>86</v>
      </c>
      <c r="R86" s="43" t="s">
        <v>2146</v>
      </c>
      <c r="S86" s="43" t="s">
        <v>86</v>
      </c>
      <c r="T86" s="43" t="s">
        <v>86</v>
      </c>
      <c r="U86" s="69" t="s">
        <v>86</v>
      </c>
      <c r="V86" s="69" t="s">
        <v>86</v>
      </c>
      <c r="W86" s="54">
        <v>45824</v>
      </c>
      <c r="X86" s="69" t="s">
        <v>2149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2146</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86</v>
      </c>
      <c r="O88" s="54">
        <v>45728</v>
      </c>
      <c r="P88" s="30" t="s">
        <v>86</v>
      </c>
      <c r="Q88" s="43" t="s">
        <v>86</v>
      </c>
      <c r="R88" s="43" t="s">
        <v>2146</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86</v>
      </c>
      <c r="O89" s="54">
        <v>45722</v>
      </c>
      <c r="P89" s="30" t="s">
        <v>86</v>
      </c>
      <c r="Q89" s="69" t="s">
        <v>86</v>
      </c>
      <c r="R89" s="43" t="s">
        <v>2146</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86</v>
      </c>
      <c r="O90" s="54">
        <v>45727</v>
      </c>
      <c r="P90" s="30" t="s">
        <v>86</v>
      </c>
      <c r="Q90" s="69" t="s">
        <v>86</v>
      </c>
      <c r="R90" s="43" t="s">
        <v>2146</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86</v>
      </c>
      <c r="O91" s="54">
        <v>45723</v>
      </c>
      <c r="P91" s="30" t="s">
        <v>86</v>
      </c>
      <c r="Q91" s="69" t="s">
        <v>86</v>
      </c>
      <c r="R91" s="43" t="s">
        <v>2146</v>
      </c>
      <c r="S91" s="69" t="s">
        <v>86</v>
      </c>
      <c r="T91" s="69" t="s">
        <v>86</v>
      </c>
      <c r="U91" s="69" t="s">
        <v>86</v>
      </c>
      <c r="V91" s="69" t="s">
        <v>86</v>
      </c>
      <c r="W91" s="54">
        <v>45831</v>
      </c>
      <c r="X91" s="69" t="s">
        <v>2149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2146</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86</v>
      </c>
      <c r="O93" s="54">
        <v>45727</v>
      </c>
      <c r="P93" s="79" t="s">
        <v>86</v>
      </c>
      <c r="Q93" s="43" t="s">
        <v>86</v>
      </c>
      <c r="R93" s="43" t="s">
        <v>2146</v>
      </c>
      <c r="S93" s="43" t="s">
        <v>86</v>
      </c>
      <c r="T93" s="43" t="s">
        <v>86</v>
      </c>
      <c r="U93" s="334" t="s">
        <v>86</v>
      </c>
      <c r="V93" s="69" t="s">
        <v>86</v>
      </c>
      <c r="W93" s="54">
        <v>45789</v>
      </c>
      <c r="X93" s="69" t="s">
        <v>2149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86</v>
      </c>
      <c r="O94" s="54">
        <v>45693</v>
      </c>
      <c r="P94" s="79" t="s">
        <v>86</v>
      </c>
      <c r="Q94" s="69" t="s">
        <v>86</v>
      </c>
      <c r="R94" s="69" t="s">
        <v>2146</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86</v>
      </c>
      <c r="O95" s="195">
        <v>45694</v>
      </c>
      <c r="P95" s="79" t="s">
        <v>86</v>
      </c>
      <c r="Q95" s="69" t="s">
        <v>86</v>
      </c>
      <c r="R95" s="69" t="s">
        <v>2146</v>
      </c>
      <c r="S95" s="69" t="s">
        <v>86</v>
      </c>
      <c r="T95" s="43" t="s">
        <v>86</v>
      </c>
      <c r="U95" s="69" t="s">
        <v>86</v>
      </c>
      <c r="V95" s="69" t="s">
        <v>86</v>
      </c>
      <c r="W95" s="54">
        <v>45814</v>
      </c>
      <c r="X95" s="69" t="s">
        <v>2149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86</v>
      </c>
      <c r="O96" s="54">
        <v>45694</v>
      </c>
      <c r="P96" s="30" t="s">
        <v>86</v>
      </c>
      <c r="Q96" s="69" t="s">
        <v>86</v>
      </c>
      <c r="R96" s="91" t="s">
        <v>2146</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86</v>
      </c>
      <c r="O97" s="54">
        <v>45688</v>
      </c>
      <c r="P97" s="30" t="s">
        <v>86</v>
      </c>
      <c r="Q97" s="69" t="s">
        <v>86</v>
      </c>
      <c r="R97" s="69" t="s">
        <v>2146</v>
      </c>
      <c r="S97" s="69" t="s">
        <v>86</v>
      </c>
      <c r="T97" s="69" t="s">
        <v>86</v>
      </c>
      <c r="U97" s="69" t="s">
        <v>86</v>
      </c>
      <c r="V97" s="43" t="s">
        <v>86</v>
      </c>
      <c r="W97" s="54">
        <v>45824</v>
      </c>
      <c r="X97" s="69" t="s">
        <v>2149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86</v>
      </c>
      <c r="O98" s="54">
        <v>45692</v>
      </c>
      <c r="P98" s="30" t="s">
        <v>86</v>
      </c>
      <c r="Q98" s="43" t="s">
        <v>86</v>
      </c>
      <c r="R98" s="43" t="s">
        <v>2146</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86</v>
      </c>
      <c r="O99" s="54">
        <v>45692</v>
      </c>
      <c r="P99" s="30" t="s">
        <v>86</v>
      </c>
      <c r="Q99" s="43" t="s">
        <v>86</v>
      </c>
      <c r="R99" s="43" t="s">
        <v>2146</v>
      </c>
      <c r="S99" s="43" t="s">
        <v>86</v>
      </c>
      <c r="T99" s="115" t="s">
        <v>86</v>
      </c>
      <c r="U99" s="148" t="s">
        <v>86</v>
      </c>
      <c r="V99" s="69" t="s">
        <v>86</v>
      </c>
      <c r="W99" s="54">
        <v>45814</v>
      </c>
      <c r="X99" s="69" t="s">
        <v>2149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86</v>
      </c>
      <c r="O100" s="166">
        <v>45691</v>
      </c>
      <c r="P100" s="30" t="s">
        <v>86</v>
      </c>
      <c r="Q100" s="43" t="s">
        <v>86</v>
      </c>
      <c r="R100" s="43" t="s">
        <v>2146</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86</v>
      </c>
      <c r="O101" s="54">
        <v>45695</v>
      </c>
      <c r="P101" s="30" t="s">
        <v>86</v>
      </c>
      <c r="Q101" s="43" t="s">
        <v>86</v>
      </c>
      <c r="R101" s="43" t="s">
        <v>2146</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86</v>
      </c>
      <c r="N102" s="30" t="s">
        <v>86</v>
      </c>
      <c r="O102" s="54">
        <v>45699</v>
      </c>
      <c r="P102" s="87" t="s">
        <v>86</v>
      </c>
      <c r="Q102" s="88" t="s">
        <v>86</v>
      </c>
      <c r="R102" s="43" t="s">
        <v>2146</v>
      </c>
      <c r="S102" s="43" t="s">
        <v>86</v>
      </c>
      <c r="T102" s="43" t="s">
        <v>86</v>
      </c>
      <c r="U102" s="43" t="s">
        <v>86</v>
      </c>
      <c r="V102" s="165" t="s">
        <v>86</v>
      </c>
      <c r="W102" s="54">
        <v>45835</v>
      </c>
      <c r="X102" s="69" t="s">
        <v>2149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86</v>
      </c>
      <c r="O103" s="54">
        <v>45675</v>
      </c>
      <c r="P103" s="87" t="s">
        <v>86</v>
      </c>
      <c r="Q103" s="43" t="s">
        <v>86</v>
      </c>
      <c r="R103" s="43" t="s">
        <v>2146</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86</v>
      </c>
      <c r="N104" s="119" t="s">
        <v>86</v>
      </c>
      <c r="O104" s="54">
        <v>45675</v>
      </c>
      <c r="P104" s="213" t="s">
        <v>86</v>
      </c>
      <c r="Q104" s="43" t="s">
        <v>86</v>
      </c>
      <c r="R104" s="43" t="s">
        <v>2146</v>
      </c>
      <c r="S104" s="43" t="s">
        <v>86</v>
      </c>
      <c r="T104" s="43" t="s">
        <v>86</v>
      </c>
      <c r="U104" s="43" t="s">
        <v>86</v>
      </c>
      <c r="V104" s="139" t="s">
        <v>86</v>
      </c>
      <c r="W104" s="54">
        <v>45820</v>
      </c>
      <c r="X104" s="69" t="s">
        <v>2149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86</v>
      </c>
      <c r="O105" s="54">
        <v>45743</v>
      </c>
      <c r="P105" s="87" t="s">
        <v>86</v>
      </c>
      <c r="Q105" s="157" t="s">
        <v>86</v>
      </c>
      <c r="R105" s="69" t="s">
        <v>2146</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86</v>
      </c>
      <c r="O106" s="54">
        <v>45679</v>
      </c>
      <c r="P106" s="87" t="s">
        <v>86</v>
      </c>
      <c r="Q106" s="43" t="s">
        <v>86</v>
      </c>
      <c r="R106" s="43" t="s">
        <v>2146</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86</v>
      </c>
      <c r="O107" s="54">
        <v>45749</v>
      </c>
      <c r="P107" s="30" t="s">
        <v>86</v>
      </c>
      <c r="Q107" s="43" t="s">
        <v>86</v>
      </c>
      <c r="R107" s="43" t="s">
        <v>2146</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86</v>
      </c>
      <c r="O108" s="54">
        <v>45749</v>
      </c>
      <c r="P108" s="30" t="s">
        <v>86</v>
      </c>
      <c r="Q108" s="43" t="s">
        <v>86</v>
      </c>
      <c r="R108" s="334" t="s">
        <v>2146</v>
      </c>
      <c r="S108" s="43" t="s">
        <v>86</v>
      </c>
      <c r="T108" s="43" t="s">
        <v>86</v>
      </c>
      <c r="U108" s="88" t="s">
        <v>86</v>
      </c>
      <c r="V108" s="481" t="s">
        <v>86</v>
      </c>
      <c r="W108" s="356">
        <v>45798</v>
      </c>
      <c r="X108" s="69" t="s">
        <v>2149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86</v>
      </c>
      <c r="O109" s="54">
        <v>45744</v>
      </c>
      <c r="P109" s="79" t="s">
        <v>86</v>
      </c>
      <c r="Q109" s="43" t="s">
        <v>86</v>
      </c>
      <c r="R109" s="334" t="s">
        <v>2146</v>
      </c>
      <c r="S109" s="43" t="s">
        <v>86</v>
      </c>
      <c r="T109" s="43" t="s">
        <v>86</v>
      </c>
      <c r="U109" s="43" t="s">
        <v>2152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86</v>
      </c>
      <c r="O110" s="54">
        <v>45691</v>
      </c>
      <c r="P110" s="79" t="s">
        <v>86</v>
      </c>
      <c r="Q110" s="43" t="s">
        <v>86</v>
      </c>
      <c r="R110" s="334" t="s">
        <v>2146</v>
      </c>
      <c r="S110" s="43" t="s">
        <v>86</v>
      </c>
      <c r="T110" s="43" t="s">
        <v>86</v>
      </c>
      <c r="U110" s="88" t="s">
        <v>86</v>
      </c>
      <c r="V110" s="481" t="s">
        <v>86</v>
      </c>
      <c r="W110" s="356">
        <v>45902</v>
      </c>
      <c r="X110" s="69" t="s">
        <v>2149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86</v>
      </c>
      <c r="O111" s="54">
        <v>45708</v>
      </c>
      <c r="P111" s="30" t="s">
        <v>86</v>
      </c>
      <c r="Q111" s="169" t="s">
        <v>86</v>
      </c>
      <c r="R111" s="69" t="s">
        <v>2146</v>
      </c>
      <c r="S111" s="43" t="s">
        <v>86</v>
      </c>
      <c r="T111" s="43" t="s">
        <v>86</v>
      </c>
      <c r="U111" s="43" t="s">
        <v>86</v>
      </c>
      <c r="V111" s="201" t="s">
        <v>86</v>
      </c>
      <c r="W111" s="166">
        <v>45790</v>
      </c>
      <c r="X111" s="69" t="s">
        <v>2149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86</v>
      </c>
      <c r="O112" s="166">
        <v>45744</v>
      </c>
      <c r="P112" s="114" t="s">
        <v>86</v>
      </c>
      <c r="Q112" s="115" t="s">
        <v>86</v>
      </c>
      <c r="R112" s="148" t="s">
        <v>2146</v>
      </c>
      <c r="S112" s="43" t="s">
        <v>86</v>
      </c>
      <c r="T112" s="43" t="s">
        <v>86</v>
      </c>
      <c r="U112" s="43" t="s">
        <v>86</v>
      </c>
      <c r="V112" s="201" t="s">
        <v>86</v>
      </c>
      <c r="W112" s="479">
        <v>45791</v>
      </c>
      <c r="X112" s="69" t="s">
        <v>2149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86</v>
      </c>
      <c r="O113" s="166">
        <v>45755</v>
      </c>
      <c r="P113" s="114" t="s">
        <v>86</v>
      </c>
      <c r="Q113" s="115" t="s">
        <v>86</v>
      </c>
      <c r="R113" s="148" t="s">
        <v>2146</v>
      </c>
      <c r="S113" s="115" t="s">
        <v>86</v>
      </c>
      <c r="T113" s="43" t="s">
        <v>86</v>
      </c>
      <c r="U113" s="43" t="s">
        <v>86</v>
      </c>
      <c r="V113" s="201" t="s">
        <v>86</v>
      </c>
      <c r="W113" s="479">
        <v>45791</v>
      </c>
      <c r="X113" s="148" t="s">
        <v>2149</v>
      </c>
    </row>
    <row r="114" spans="1:25">
      <c r="A114" s="178" t="s">
        <v>880</v>
      </c>
      <c r="B114" s="182" t="s">
        <v>50</v>
      </c>
      <c r="C114" s="314">
        <v>45772</v>
      </c>
      <c r="D114" s="410" t="s">
        <v>881</v>
      </c>
      <c r="H114" s="185">
        <v>75</v>
      </c>
      <c r="I114" s="181"/>
      <c r="J114" s="179" t="s">
        <v>57</v>
      </c>
      <c r="K114" s="420" t="s">
        <v>57</v>
      </c>
      <c r="L114" s="179" t="s">
        <v>63</v>
      </c>
      <c r="M114" s="193">
        <v>45741</v>
      </c>
      <c r="N114" s="114" t="s">
        <v>86</v>
      </c>
      <c r="O114" s="54">
        <v>45747</v>
      </c>
      <c r="P114" s="114" t="s">
        <v>86</v>
      </c>
      <c r="Q114" s="115" t="s">
        <v>86</v>
      </c>
      <c r="R114" s="148" t="s">
        <v>2146</v>
      </c>
      <c r="S114" s="115" t="s">
        <v>86</v>
      </c>
      <c r="T114" s="43" t="s">
        <v>86</v>
      </c>
      <c r="U114" s="157" t="s">
        <v>86</v>
      </c>
      <c r="V114" s="201" t="s">
        <v>86</v>
      </c>
      <c r="W114" s="54">
        <v>45798</v>
      </c>
      <c r="X114" s="69" t="s">
        <v>2149</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86</v>
      </c>
      <c r="O115" s="124">
        <v>45757</v>
      </c>
      <c r="P115" s="30" t="s">
        <v>86</v>
      </c>
      <c r="Q115" s="43" t="s">
        <v>86</v>
      </c>
      <c r="R115" s="69" t="s">
        <v>2146</v>
      </c>
      <c r="S115" s="43" t="s">
        <v>86</v>
      </c>
      <c r="T115" s="43" t="s">
        <v>86</v>
      </c>
      <c r="U115" s="43" t="s">
        <v>86</v>
      </c>
      <c r="V115" s="88" t="s">
        <v>86</v>
      </c>
      <c r="W115" s="54">
        <v>45814</v>
      </c>
      <c r="X115" s="69" t="s">
        <v>2149</v>
      </c>
    </row>
    <row r="116" spans="1:25">
      <c r="A116" s="178" t="s">
        <v>884</v>
      </c>
      <c r="B116" s="182" t="s">
        <v>50</v>
      </c>
      <c r="C116" s="314">
        <v>45772</v>
      </c>
      <c r="D116" s="713" t="s">
        <v>886</v>
      </c>
      <c r="H116" s="179">
        <v>50</v>
      </c>
      <c r="I116" s="181"/>
      <c r="J116" s="179" t="s">
        <v>57</v>
      </c>
      <c r="K116" s="420" t="s">
        <v>57</v>
      </c>
      <c r="L116" s="179" t="s">
        <v>63</v>
      </c>
      <c r="M116" s="193">
        <v>45757</v>
      </c>
      <c r="N116" s="30" t="s">
        <v>86</v>
      </c>
      <c r="O116" s="124">
        <v>45757</v>
      </c>
      <c r="P116" s="30" t="s">
        <v>86</v>
      </c>
      <c r="Q116" s="43" t="s">
        <v>86</v>
      </c>
      <c r="R116" s="69" t="s">
        <v>2146</v>
      </c>
      <c r="S116" s="43" t="s">
        <v>86</v>
      </c>
      <c r="T116" s="43" t="s">
        <v>86</v>
      </c>
      <c r="U116" s="43" t="s">
        <v>86</v>
      </c>
      <c r="V116" s="481" t="s">
        <v>86</v>
      </c>
      <c r="W116" s="54">
        <v>45807</v>
      </c>
      <c r="X116" s="69" t="s">
        <v>2149</v>
      </c>
    </row>
    <row r="117" spans="1:25">
      <c r="A117" s="178" t="s">
        <v>888</v>
      </c>
      <c r="B117" s="182" t="s">
        <v>50</v>
      </c>
      <c r="C117" s="314">
        <v>45772</v>
      </c>
      <c r="D117" s="518" t="s">
        <v>889</v>
      </c>
      <c r="H117" s="179">
        <v>76</v>
      </c>
      <c r="I117" s="181"/>
      <c r="J117" s="179" t="s">
        <v>57</v>
      </c>
      <c r="K117" s="420" t="s">
        <v>57</v>
      </c>
      <c r="L117" s="179" t="s">
        <v>63</v>
      </c>
      <c r="M117" s="193">
        <v>45757</v>
      </c>
      <c r="N117" s="87" t="s">
        <v>86</v>
      </c>
      <c r="O117" s="124">
        <v>45757</v>
      </c>
      <c r="P117" s="30" t="s">
        <v>86</v>
      </c>
      <c r="Q117" s="43" t="s">
        <v>86</v>
      </c>
      <c r="R117" s="69" t="s">
        <v>2146</v>
      </c>
      <c r="S117" s="43" t="s">
        <v>86</v>
      </c>
      <c r="T117" s="43" t="s">
        <v>86</v>
      </c>
      <c r="U117" s="43" t="s">
        <v>86</v>
      </c>
      <c r="V117" s="88" t="s">
        <v>86</v>
      </c>
      <c r="W117" s="54">
        <v>45811</v>
      </c>
      <c r="X117" s="69" t="s">
        <v>2149</v>
      </c>
    </row>
    <row r="118" spans="1:25">
      <c r="A118" s="178" t="s">
        <v>890</v>
      </c>
      <c r="B118" s="182" t="s">
        <v>50</v>
      </c>
      <c r="C118" s="314">
        <v>45772</v>
      </c>
      <c r="D118" s="179" t="s">
        <v>892</v>
      </c>
      <c r="H118" s="185">
        <v>88</v>
      </c>
      <c r="I118" s="181"/>
      <c r="J118" s="179" t="s">
        <v>57</v>
      </c>
      <c r="K118" s="420" t="s">
        <v>57</v>
      </c>
      <c r="L118" s="179" t="s">
        <v>63</v>
      </c>
      <c r="M118" s="193">
        <v>45757</v>
      </c>
      <c r="N118" s="87" t="s">
        <v>86</v>
      </c>
      <c r="O118" s="124">
        <v>45757</v>
      </c>
      <c r="P118" s="87" t="s">
        <v>86</v>
      </c>
      <c r="Q118" s="43" t="s">
        <v>86</v>
      </c>
      <c r="R118" s="43" t="s">
        <v>2146</v>
      </c>
      <c r="S118" s="43" t="s">
        <v>86</v>
      </c>
      <c r="T118" s="43" t="s">
        <v>86</v>
      </c>
      <c r="U118" s="157" t="s">
        <v>86</v>
      </c>
      <c r="V118" s="88" t="s">
        <v>86</v>
      </c>
      <c r="W118" s="54">
        <v>45810</v>
      </c>
      <c r="X118" s="69" t="s">
        <v>2149</v>
      </c>
    </row>
    <row r="119" spans="1:25">
      <c r="A119" s="178" t="s">
        <v>894</v>
      </c>
      <c r="B119" s="182" t="s">
        <v>50</v>
      </c>
      <c r="C119" s="314">
        <v>45772</v>
      </c>
      <c r="D119" s="179" t="s">
        <v>895</v>
      </c>
      <c r="H119" s="185">
        <v>86</v>
      </c>
      <c r="I119" s="181"/>
      <c r="J119" s="179" t="s">
        <v>57</v>
      </c>
      <c r="K119" s="420" t="s">
        <v>57</v>
      </c>
      <c r="L119" s="179" t="s">
        <v>63</v>
      </c>
      <c r="M119" s="195">
        <v>45756</v>
      </c>
      <c r="N119" s="30" t="s">
        <v>86</v>
      </c>
      <c r="O119" s="124">
        <v>45757</v>
      </c>
      <c r="P119" s="30" t="s">
        <v>86</v>
      </c>
      <c r="Q119" s="69" t="s">
        <v>86</v>
      </c>
      <c r="R119" s="69" t="s">
        <v>2146</v>
      </c>
      <c r="S119" s="43" t="s">
        <v>86</v>
      </c>
      <c r="T119" s="43" t="s">
        <v>86</v>
      </c>
      <c r="U119" s="157" t="s">
        <v>86</v>
      </c>
      <c r="V119" s="88" t="s">
        <v>86</v>
      </c>
      <c r="W119" s="54">
        <v>45813</v>
      </c>
      <c r="X119" s="69" t="s">
        <v>2149</v>
      </c>
    </row>
    <row r="120" spans="1:25">
      <c r="A120" s="178" t="s">
        <v>896</v>
      </c>
      <c r="B120" s="182" t="s">
        <v>50</v>
      </c>
      <c r="C120" s="314">
        <v>45772</v>
      </c>
      <c r="D120" s="519" t="s">
        <v>897</v>
      </c>
      <c r="H120" s="185">
        <v>84</v>
      </c>
      <c r="I120" s="181"/>
      <c r="J120" s="179" t="s">
        <v>57</v>
      </c>
      <c r="K120" s="420" t="s">
        <v>57</v>
      </c>
      <c r="L120" s="179" t="s">
        <v>63</v>
      </c>
      <c r="M120" s="195">
        <v>45741</v>
      </c>
      <c r="N120" s="30" t="s">
        <v>86</v>
      </c>
      <c r="O120" s="54">
        <v>45748</v>
      </c>
      <c r="P120" s="30" t="s">
        <v>86</v>
      </c>
      <c r="Q120" s="43" t="s">
        <v>86</v>
      </c>
      <c r="R120" s="69" t="s">
        <v>2146</v>
      </c>
      <c r="S120" s="43" t="s">
        <v>86</v>
      </c>
      <c r="T120" s="43" t="s">
        <v>86</v>
      </c>
      <c r="U120" s="43" t="s">
        <v>86</v>
      </c>
      <c r="V120" s="88" t="s">
        <v>86</v>
      </c>
      <c r="W120" s="54">
        <v>45811</v>
      </c>
      <c r="X120" s="69" t="s">
        <v>2149</v>
      </c>
    </row>
    <row r="121" spans="1:25">
      <c r="A121" s="366" t="s">
        <v>898</v>
      </c>
      <c r="B121" s="686" t="s">
        <v>50</v>
      </c>
      <c r="C121" s="687">
        <v>45772</v>
      </c>
      <c r="D121" s="363" t="s">
        <v>899</v>
      </c>
      <c r="H121" s="341">
        <v>87</v>
      </c>
      <c r="I121" s="339"/>
      <c r="J121" s="363" t="s">
        <v>57</v>
      </c>
      <c r="K121" s="707" t="s">
        <v>57</v>
      </c>
      <c r="L121" s="179" t="s">
        <v>63</v>
      </c>
      <c r="M121" s="193">
        <v>45757</v>
      </c>
      <c r="N121" s="30" t="s">
        <v>86</v>
      </c>
      <c r="O121" s="124">
        <v>45757</v>
      </c>
      <c r="P121" s="30" t="s">
        <v>86</v>
      </c>
      <c r="Q121" s="69" t="s">
        <v>86</v>
      </c>
      <c r="R121" s="69" t="s">
        <v>2146</v>
      </c>
      <c r="S121" s="43" t="s">
        <v>86</v>
      </c>
      <c r="T121" s="43" t="s">
        <v>86</v>
      </c>
      <c r="U121" s="43" t="s">
        <v>86</v>
      </c>
      <c r="V121" s="69" t="s">
        <v>91</v>
      </c>
      <c r="W121" s="54">
        <v>45838</v>
      </c>
      <c r="X121" s="69" t="s">
        <v>91</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86</v>
      </c>
      <c r="O122" s="54">
        <v>45747</v>
      </c>
      <c r="P122" s="30" t="s">
        <v>86</v>
      </c>
      <c r="Q122" s="69" t="s">
        <v>86</v>
      </c>
      <c r="R122" s="69" t="s">
        <v>2146</v>
      </c>
      <c r="S122" s="43" t="s">
        <v>86</v>
      </c>
      <c r="T122" s="43" t="s">
        <v>86</v>
      </c>
      <c r="U122" s="157" t="s">
        <v>86</v>
      </c>
      <c r="V122" s="157" t="s">
        <v>86</v>
      </c>
      <c r="W122" s="54">
        <v>45789</v>
      </c>
      <c r="X122" s="69" t="s">
        <v>2149</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86</v>
      </c>
      <c r="O123" s="54">
        <v>45744</v>
      </c>
      <c r="P123" s="30" t="s">
        <v>86</v>
      </c>
      <c r="Q123" s="43" t="s">
        <v>86</v>
      </c>
      <c r="R123" s="69" t="s">
        <v>2146</v>
      </c>
      <c r="S123" s="43" t="s">
        <v>86</v>
      </c>
      <c r="T123" s="43" t="s">
        <v>86</v>
      </c>
      <c r="U123" s="43" t="s">
        <v>86</v>
      </c>
      <c r="V123" s="69" t="s">
        <v>86</v>
      </c>
      <c r="W123" s="54">
        <v>45811</v>
      </c>
      <c r="X123" s="69" t="s">
        <v>2149</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86</v>
      </c>
      <c r="O124" s="54">
        <v>45744</v>
      </c>
      <c r="P124" s="30" t="s">
        <v>86</v>
      </c>
      <c r="Q124" s="43" t="s">
        <v>86</v>
      </c>
      <c r="R124" s="69" t="s">
        <v>2146</v>
      </c>
      <c r="S124" s="43" t="s">
        <v>86</v>
      </c>
      <c r="T124" s="43" t="s">
        <v>86</v>
      </c>
      <c r="U124" s="43" t="s">
        <v>2152</v>
      </c>
      <c r="V124" s="69" t="s">
        <v>91</v>
      </c>
      <c r="W124" s="54">
        <v>45832</v>
      </c>
      <c r="X124" s="69" t="s">
        <v>91</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86</v>
      </c>
      <c r="N125" s="30" t="s">
        <v>86</v>
      </c>
      <c r="O125" s="54">
        <v>45679</v>
      </c>
      <c r="P125" s="30" t="s">
        <v>86</v>
      </c>
      <c r="Q125" s="69" t="s">
        <v>86</v>
      </c>
      <c r="R125" s="43" t="s">
        <v>2146</v>
      </c>
      <c r="S125" s="43" t="s">
        <v>86</v>
      </c>
      <c r="T125" s="43" t="s">
        <v>86</v>
      </c>
      <c r="U125" s="43" t="s">
        <v>86</v>
      </c>
      <c r="V125" s="43" t="s">
        <v>86</v>
      </c>
      <c r="W125" s="54">
        <v>45814</v>
      </c>
      <c r="X125" s="69" t="s">
        <v>2149</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86</v>
      </c>
      <c r="N126" s="30" t="s">
        <v>86</v>
      </c>
      <c r="O126" s="54">
        <v>45720</v>
      </c>
      <c r="P126" s="30" t="s">
        <v>86</v>
      </c>
      <c r="Q126" s="69" t="s">
        <v>86</v>
      </c>
      <c r="R126" s="43" t="s">
        <v>2146</v>
      </c>
      <c r="S126" s="43" t="s">
        <v>86</v>
      </c>
      <c r="T126" s="43" t="s">
        <v>86</v>
      </c>
      <c r="U126" s="43" t="s">
        <v>86</v>
      </c>
      <c r="V126" s="88" t="s">
        <v>86</v>
      </c>
      <c r="W126" s="54">
        <v>45819</v>
      </c>
      <c r="X126" s="69" t="s">
        <v>2149</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86</v>
      </c>
      <c r="O127" s="54">
        <v>45679</v>
      </c>
      <c r="P127" s="30" t="s">
        <v>86</v>
      </c>
      <c r="Q127" s="43" t="s">
        <v>86</v>
      </c>
      <c r="R127" s="43" t="s">
        <v>2146</v>
      </c>
      <c r="S127" s="43" t="s">
        <v>86</v>
      </c>
      <c r="T127" s="43" t="s">
        <v>86</v>
      </c>
      <c r="U127" s="43" t="s">
        <v>86</v>
      </c>
      <c r="V127" s="88" t="s">
        <v>86</v>
      </c>
      <c r="W127" s="54">
        <v>45812</v>
      </c>
      <c r="X127" s="69" t="s">
        <v>2149</v>
      </c>
      <c r="Y127" t="e">
        <f>VLOOKUP(A127,#REF!,2,FALSE)</f>
        <v>#REF!</v>
      </c>
    </row>
    <row r="128" spans="1:25">
      <c r="A128" s="338" t="s">
        <v>1039</v>
      </c>
      <c r="B128" s="182" t="s">
        <v>50</v>
      </c>
      <c r="C128" s="362">
        <v>45742</v>
      </c>
      <c r="D128" s="370" t="s">
        <v>1040</v>
      </c>
      <c r="E128" s="370"/>
      <c r="F128" s="370"/>
      <c r="G128" s="370"/>
      <c r="H128" s="341">
        <v>82</v>
      </c>
      <c r="I128" s="339"/>
      <c r="J128" s="188" t="s">
        <v>57</v>
      </c>
      <c r="K128" s="705" t="s">
        <v>57</v>
      </c>
      <c r="L128" s="185" t="s">
        <v>63</v>
      </c>
      <c r="M128" s="196">
        <v>45698</v>
      </c>
      <c r="N128" s="30" t="s">
        <v>86</v>
      </c>
      <c r="O128" s="347">
        <v>45694</v>
      </c>
      <c r="P128" s="87" t="s">
        <v>86</v>
      </c>
      <c r="Q128" s="43" t="s">
        <v>86</v>
      </c>
      <c r="R128" s="43" t="s">
        <v>2146</v>
      </c>
      <c r="S128" s="43" t="s">
        <v>86</v>
      </c>
      <c r="T128" s="43" t="s">
        <v>86</v>
      </c>
      <c r="U128" s="43" t="s">
        <v>86</v>
      </c>
      <c r="V128" s="88" t="s">
        <v>86</v>
      </c>
      <c r="W128" s="166">
        <v>45883</v>
      </c>
      <c r="X128" s="69" t="s">
        <v>2149</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86</v>
      </c>
      <c r="O129" s="166">
        <v>45720</v>
      </c>
      <c r="P129" s="114" t="s">
        <v>86</v>
      </c>
      <c r="Q129" s="148" t="s">
        <v>86</v>
      </c>
      <c r="R129" s="43" t="s">
        <v>2146</v>
      </c>
      <c r="S129" s="43" t="s">
        <v>86</v>
      </c>
      <c r="T129" s="115" t="s">
        <v>86</v>
      </c>
      <c r="U129" s="115" t="s">
        <v>86</v>
      </c>
      <c r="V129" s="88" t="s">
        <v>86</v>
      </c>
      <c r="W129" s="166">
        <v>45814</v>
      </c>
      <c r="X129" s="69" t="s">
        <v>2149</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86</v>
      </c>
      <c r="O130" s="54">
        <v>45698</v>
      </c>
      <c r="P130" s="30" t="s">
        <v>86</v>
      </c>
      <c r="Q130" s="69" t="s">
        <v>86</v>
      </c>
      <c r="R130" s="43" t="s">
        <v>2146</v>
      </c>
      <c r="S130" s="43" t="s">
        <v>86</v>
      </c>
      <c r="T130" s="43" t="s">
        <v>86</v>
      </c>
      <c r="U130" s="43" t="s">
        <v>86</v>
      </c>
      <c r="V130" s="88" t="s">
        <v>86</v>
      </c>
      <c r="W130" s="54">
        <v>45798</v>
      </c>
      <c r="X130" s="69" t="s">
        <v>2149</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2146</v>
      </c>
      <c r="S131" s="43" t="s">
        <v>86</v>
      </c>
      <c r="T131" s="157" t="s">
        <v>86</v>
      </c>
      <c r="U131" s="157" t="s">
        <v>86</v>
      </c>
      <c r="V131" s="88" t="s">
        <v>86</v>
      </c>
      <c r="W131" s="30"/>
      <c r="X131" s="69" t="s">
        <v>91</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86</v>
      </c>
      <c r="O132" s="54">
        <v>45691</v>
      </c>
      <c r="P132" s="87" t="s">
        <v>86</v>
      </c>
      <c r="Q132" s="43" t="s">
        <v>86</v>
      </c>
      <c r="R132" s="43" t="s">
        <v>2146</v>
      </c>
      <c r="S132" s="43" t="s">
        <v>86</v>
      </c>
      <c r="T132" s="43" t="s">
        <v>86</v>
      </c>
      <c r="U132" s="43" t="s">
        <v>86</v>
      </c>
      <c r="V132" s="43" t="s">
        <v>86</v>
      </c>
      <c r="W132" s="54">
        <v>45820</v>
      </c>
      <c r="X132" s="69" t="s">
        <v>2149</v>
      </c>
      <c r="Y132" t="e">
        <f>VLOOKUP(A132,#REF!,2,FALSE)</f>
        <v>#REF!</v>
      </c>
    </row>
    <row r="133" spans="1:25" ht="15" customHeight="1">
      <c r="A133" s="358" t="s">
        <v>917</v>
      </c>
      <c r="B133" s="406" t="s">
        <v>50</v>
      </c>
      <c r="C133" s="367">
        <v>45742</v>
      </c>
      <c r="D133" s="419" t="s">
        <v>2153</v>
      </c>
      <c r="E133" s="361"/>
      <c r="F133" s="361"/>
      <c r="G133" s="361"/>
      <c r="H133" s="361">
        <v>38</v>
      </c>
      <c r="I133" s="360"/>
      <c r="J133" s="361" t="s">
        <v>57</v>
      </c>
      <c r="K133" s="361" t="s">
        <v>57</v>
      </c>
      <c r="L133" s="361" t="s">
        <v>63</v>
      </c>
      <c r="M133" s="49" t="s">
        <v>86</v>
      </c>
      <c r="N133" s="49" t="s">
        <v>86</v>
      </c>
      <c r="O133" s="54">
        <v>45701</v>
      </c>
      <c r="P133" s="30" t="s">
        <v>86</v>
      </c>
      <c r="Q133" s="69" t="s">
        <v>86</v>
      </c>
      <c r="R133" s="43" t="s">
        <v>2146</v>
      </c>
      <c r="S133" s="43" t="s">
        <v>86</v>
      </c>
      <c r="T133" s="43" t="s">
        <v>86</v>
      </c>
      <c r="U133" s="43" t="s">
        <v>86</v>
      </c>
      <c r="V133" s="69" t="s">
        <v>86</v>
      </c>
      <c r="W133" s="54">
        <v>45821</v>
      </c>
      <c r="X133" s="69" t="s">
        <v>2149</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86</v>
      </c>
      <c r="O134" s="54">
        <v>45709</v>
      </c>
      <c r="P134" s="30" t="s">
        <v>86</v>
      </c>
      <c r="Q134" s="43" t="s">
        <v>86</v>
      </c>
      <c r="R134" s="43" t="s">
        <v>2146</v>
      </c>
      <c r="S134" s="43" t="s">
        <v>86</v>
      </c>
      <c r="T134" s="43" t="s">
        <v>86</v>
      </c>
      <c r="U134" s="69" t="s">
        <v>91</v>
      </c>
      <c r="V134" s="69" t="s">
        <v>91</v>
      </c>
      <c r="W134" s="54">
        <v>45825</v>
      </c>
      <c r="X134" s="69" t="s">
        <v>91</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86</v>
      </c>
      <c r="N135" s="49" t="s">
        <v>86</v>
      </c>
      <c r="O135" s="195">
        <v>45720</v>
      </c>
      <c r="P135" s="49" t="s">
        <v>86</v>
      </c>
      <c r="Q135" s="69" t="s">
        <v>86</v>
      </c>
      <c r="R135" s="43" t="s">
        <v>2146</v>
      </c>
      <c r="S135" s="43" t="s">
        <v>86</v>
      </c>
      <c r="T135" s="43" t="s">
        <v>86</v>
      </c>
      <c r="U135" s="157" t="s">
        <v>86</v>
      </c>
      <c r="V135" s="43" t="s">
        <v>86</v>
      </c>
      <c r="W135" s="54">
        <v>45819</v>
      </c>
      <c r="X135" s="69" t="s">
        <v>2149</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86</v>
      </c>
      <c r="O136" s="54">
        <v>45691</v>
      </c>
      <c r="P136" s="30" t="s">
        <v>86</v>
      </c>
      <c r="Q136" s="43" t="s">
        <v>86</v>
      </c>
      <c r="R136" s="43" t="s">
        <v>2146</v>
      </c>
      <c r="S136" s="43" t="s">
        <v>86</v>
      </c>
      <c r="T136" s="43" t="s">
        <v>86</v>
      </c>
      <c r="U136" s="43" t="s">
        <v>86</v>
      </c>
      <c r="V136" s="43" t="s">
        <v>86</v>
      </c>
      <c r="W136" s="54">
        <v>45791</v>
      </c>
      <c r="X136" s="69" t="s">
        <v>2149</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2146</v>
      </c>
      <c r="S137" s="43" t="s">
        <v>86</v>
      </c>
      <c r="T137" s="43" t="s">
        <v>86</v>
      </c>
      <c r="U137" s="157" t="s">
        <v>86</v>
      </c>
      <c r="V137" s="69" t="s">
        <v>91</v>
      </c>
      <c r="W137" s="30"/>
      <c r="X137" s="69" t="s">
        <v>91</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86</v>
      </c>
      <c r="O138" s="124">
        <v>45707</v>
      </c>
      <c r="P138" s="30" t="s">
        <v>86</v>
      </c>
      <c r="Q138" s="43" t="s">
        <v>86</v>
      </c>
      <c r="R138" s="43" t="s">
        <v>2146</v>
      </c>
      <c r="S138" s="43" t="s">
        <v>86</v>
      </c>
      <c r="T138" s="43" t="s">
        <v>86</v>
      </c>
      <c r="U138" s="43" t="s">
        <v>86</v>
      </c>
      <c r="V138" s="43" t="s">
        <v>86</v>
      </c>
      <c r="W138" s="54">
        <v>45790</v>
      </c>
      <c r="X138" s="69" t="s">
        <v>2149</v>
      </c>
      <c r="Y138" t="e">
        <f>VLOOKUP(A138,#REF!,2,FALSE)</f>
        <v>#REF!</v>
      </c>
    </row>
    <row r="139" spans="1:25" ht="15" customHeight="1">
      <c r="A139" s="358" t="s">
        <v>2154</v>
      </c>
      <c r="B139" s="182" t="s">
        <v>50</v>
      </c>
      <c r="C139" s="408">
        <v>45742</v>
      </c>
      <c r="D139" s="361" t="s">
        <v>2155</v>
      </c>
      <c r="E139" s="521"/>
      <c r="F139" s="361"/>
      <c r="G139" s="361"/>
      <c r="H139" s="361">
        <v>87</v>
      </c>
      <c r="I139" s="360"/>
      <c r="J139" s="361" t="s">
        <v>57</v>
      </c>
      <c r="K139" s="361" t="s">
        <v>57</v>
      </c>
      <c r="L139" s="361" t="s">
        <v>63</v>
      </c>
      <c r="M139" s="49" t="s">
        <v>86</v>
      </c>
      <c r="N139" s="30" t="s">
        <v>86</v>
      </c>
      <c r="O139" s="30" t="s">
        <v>86</v>
      </c>
      <c r="P139" s="30" t="s">
        <v>86</v>
      </c>
      <c r="Q139" s="43" t="s">
        <v>86</v>
      </c>
      <c r="R139" s="43" t="s">
        <v>2146</v>
      </c>
      <c r="S139" s="43" t="s">
        <v>86</v>
      </c>
      <c r="T139" s="43" t="s">
        <v>86</v>
      </c>
      <c r="U139" s="157" t="s">
        <v>86</v>
      </c>
      <c r="V139" s="69" t="s">
        <v>91</v>
      </c>
      <c r="W139" s="30"/>
      <c r="X139" s="69" t="s">
        <v>91</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86</v>
      </c>
      <c r="O140" s="54">
        <v>45743</v>
      </c>
      <c r="P140" s="87" t="s">
        <v>86</v>
      </c>
      <c r="Q140" s="88" t="s">
        <v>86</v>
      </c>
      <c r="R140" s="43" t="s">
        <v>2146</v>
      </c>
      <c r="S140" s="43" t="s">
        <v>86</v>
      </c>
      <c r="T140" s="43" t="s">
        <v>86</v>
      </c>
      <c r="U140" s="88" t="s">
        <v>86</v>
      </c>
      <c r="V140" s="69" t="s">
        <v>86</v>
      </c>
      <c r="W140" s="54">
        <v>45819</v>
      </c>
      <c r="X140" s="69" t="s">
        <v>2149</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86</v>
      </c>
      <c r="O141" s="195">
        <v>45743</v>
      </c>
      <c r="P141" s="87" t="s">
        <v>86</v>
      </c>
      <c r="Q141" s="88" t="s">
        <v>86</v>
      </c>
      <c r="R141" s="43" t="s">
        <v>2146</v>
      </c>
      <c r="S141" s="43" t="s">
        <v>86</v>
      </c>
      <c r="T141" s="43" t="s">
        <v>86</v>
      </c>
      <c r="U141" s="88" t="s">
        <v>86</v>
      </c>
      <c r="V141" s="88" t="s">
        <v>86</v>
      </c>
      <c r="W141" s="54">
        <v>45811</v>
      </c>
      <c r="X141" s="69" t="s">
        <v>2149</v>
      </c>
      <c r="Y141" t="e">
        <f>VLOOKUP(A141,#REF!,2,FALSE)</f>
        <v>#REF!</v>
      </c>
    </row>
    <row r="142" spans="1:25" ht="15" customHeight="1">
      <c r="A142" s="358" t="s">
        <v>2156</v>
      </c>
      <c r="B142" s="406" t="s">
        <v>50</v>
      </c>
      <c r="C142" s="408">
        <v>45742</v>
      </c>
      <c r="D142" s="361" t="s">
        <v>2157</v>
      </c>
      <c r="E142" s="521"/>
      <c r="F142" s="361"/>
      <c r="G142" s="361"/>
      <c r="H142" s="361">
        <v>87</v>
      </c>
      <c r="I142" s="360"/>
      <c r="J142" s="361" t="s">
        <v>57</v>
      </c>
      <c r="K142" s="361" t="s">
        <v>57</v>
      </c>
      <c r="L142" s="361" t="s">
        <v>63</v>
      </c>
      <c r="M142" s="49" t="s">
        <v>86</v>
      </c>
      <c r="N142" s="49" t="s">
        <v>86</v>
      </c>
      <c r="O142" s="195">
        <v>45691</v>
      </c>
      <c r="P142" s="30" t="s">
        <v>86</v>
      </c>
      <c r="Q142" s="69" t="s">
        <v>86</v>
      </c>
      <c r="R142" s="43" t="s">
        <v>2146</v>
      </c>
      <c r="S142" s="43" t="s">
        <v>86</v>
      </c>
      <c r="T142" s="43" t="s">
        <v>86</v>
      </c>
      <c r="U142" s="157" t="s">
        <v>86</v>
      </c>
      <c r="V142" s="69" t="s">
        <v>91</v>
      </c>
      <c r="W142" s="30"/>
      <c r="X142" s="69" t="s">
        <v>91</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86</v>
      </c>
      <c r="N143" s="49" t="s">
        <v>86</v>
      </c>
      <c r="O143" s="195">
        <v>45675</v>
      </c>
      <c r="P143" s="30" t="s">
        <v>86</v>
      </c>
      <c r="Q143" s="69" t="s">
        <v>86</v>
      </c>
      <c r="R143" s="43" t="s">
        <v>2146</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2149</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2119</v>
      </c>
      <c r="B146" s="406" t="s">
        <v>50</v>
      </c>
      <c r="C146" s="359">
        <v>45991</v>
      </c>
      <c r="D146" s="418" t="s">
        <v>2120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2122</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2158</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2146</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86</v>
      </c>
      <c r="O150" s="195">
        <v>45744</v>
      </c>
      <c r="P150" s="100" t="s">
        <v>86</v>
      </c>
      <c r="Q150" s="69" t="s">
        <v>86</v>
      </c>
      <c r="R150" s="43" t="s">
        <v>2146</v>
      </c>
      <c r="S150" s="43" t="s">
        <v>86</v>
      </c>
      <c r="T150" s="43" t="s">
        <v>86</v>
      </c>
      <c r="U150" s="69" t="s">
        <v>91</v>
      </c>
      <c r="V150" s="69" t="s">
        <v>91</v>
      </c>
      <c r="W150" s="30"/>
      <c r="X150" s="69" t="s">
        <v>91</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86</v>
      </c>
      <c r="O151" s="195">
        <v>45698</v>
      </c>
      <c r="P151" s="100" t="s">
        <v>86</v>
      </c>
      <c r="Q151" s="69" t="s">
        <v>86</v>
      </c>
      <c r="R151" s="43" t="s">
        <v>2146</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86</v>
      </c>
      <c r="O153" s="195">
        <v>45696</v>
      </c>
      <c r="P153" s="30" t="s">
        <v>86</v>
      </c>
      <c r="Q153" s="69" t="s">
        <v>86</v>
      </c>
      <c r="R153" s="43" t="s">
        <v>2146</v>
      </c>
      <c r="S153" s="43" t="s">
        <v>86</v>
      </c>
      <c r="T153" s="157" t="s">
        <v>86</v>
      </c>
      <c r="U153" s="157" t="s">
        <v>86</v>
      </c>
      <c r="V153" s="43" t="s">
        <v>86</v>
      </c>
      <c r="W153" s="54">
        <v>45807</v>
      </c>
      <c r="X153" s="69" t="s">
        <v>2149</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86</v>
      </c>
      <c r="O154" s="347">
        <v>45696</v>
      </c>
      <c r="P154" s="30" t="s">
        <v>86</v>
      </c>
      <c r="Q154" s="69" t="s">
        <v>86</v>
      </c>
      <c r="R154" s="43" t="s">
        <v>2146</v>
      </c>
      <c r="S154" s="43" t="s">
        <v>86</v>
      </c>
      <c r="T154" s="157" t="s">
        <v>86</v>
      </c>
      <c r="U154" s="157" t="s">
        <v>86</v>
      </c>
      <c r="V154" s="43" t="s">
        <v>86</v>
      </c>
      <c r="W154" s="166">
        <v>45792</v>
      </c>
      <c r="X154" s="148" t="s">
        <v>2149</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86</v>
      </c>
      <c r="O155" s="54">
        <v>45699</v>
      </c>
      <c r="P155" s="49" t="s">
        <v>86</v>
      </c>
      <c r="Q155" s="69" t="s">
        <v>86</v>
      </c>
      <c r="R155" s="43" t="s">
        <v>2146</v>
      </c>
      <c r="S155" s="43" t="s">
        <v>86</v>
      </c>
      <c r="T155" s="43" t="s">
        <v>86</v>
      </c>
      <c r="U155" s="157" t="s">
        <v>86</v>
      </c>
      <c r="V155" s="43" t="s">
        <v>86</v>
      </c>
      <c r="W155" s="356">
        <v>45821</v>
      </c>
      <c r="X155" s="69" t="s">
        <v>2149</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86</v>
      </c>
      <c r="O156" s="54">
        <v>45699</v>
      </c>
      <c r="P156" s="49" t="s">
        <v>86</v>
      </c>
      <c r="Q156" s="69" t="s">
        <v>86</v>
      </c>
      <c r="R156" s="43" t="s">
        <v>2146</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2127</v>
      </c>
      <c r="E157" s="702"/>
      <c r="F157" s="419"/>
      <c r="G157" s="419"/>
      <c r="H157" s="419">
        <v>79</v>
      </c>
      <c r="I157" s="360"/>
      <c r="J157" s="361" t="s">
        <v>57</v>
      </c>
      <c r="K157" s="551" t="s">
        <v>57</v>
      </c>
      <c r="L157" s="361" t="s">
        <v>63</v>
      </c>
      <c r="M157" s="195">
        <v>45735</v>
      </c>
      <c r="N157" s="30" t="s">
        <v>64</v>
      </c>
      <c r="O157" s="54">
        <v>45737</v>
      </c>
      <c r="P157" s="49" t="s">
        <v>64</v>
      </c>
      <c r="Q157" s="69" t="s">
        <v>64</v>
      </c>
      <c r="R157" s="69" t="s">
        <v>2146</v>
      </c>
      <c r="S157" s="69" t="s">
        <v>64</v>
      </c>
      <c r="T157" s="69" t="s">
        <v>64</v>
      </c>
      <c r="U157" s="69" t="s">
        <v>91</v>
      </c>
      <c r="V157" s="69"/>
      <c r="W157" s="79"/>
      <c r="X157" s="69" t="s">
        <v>91</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86</v>
      </c>
      <c r="O158" s="54">
        <v>45736</v>
      </c>
      <c r="P158" s="49" t="s">
        <v>86</v>
      </c>
      <c r="Q158" s="69" t="s">
        <v>86</v>
      </c>
      <c r="R158" s="43" t="s">
        <v>2146</v>
      </c>
      <c r="S158" s="43" t="s">
        <v>86</v>
      </c>
      <c r="T158" s="43" t="s">
        <v>86</v>
      </c>
      <c r="U158" s="157" t="s">
        <v>86</v>
      </c>
      <c r="V158" s="157" t="s">
        <v>86</v>
      </c>
      <c r="W158" s="356">
        <v>45817</v>
      </c>
      <c r="X158" s="69" t="s">
        <v>2149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1041</v>
      </c>
      <c r="B160" s="406" t="s">
        <v>50</v>
      </c>
      <c r="C160" s="408">
        <v>45742</v>
      </c>
      <c r="D160" s="361" t="s">
        <v>1042</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2149</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2149</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2149</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2149</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1043</v>
      </c>
      <c r="B167" s="406" t="s">
        <v>50</v>
      </c>
      <c r="C167" s="582">
        <v>45742</v>
      </c>
      <c r="D167" s="361" t="s">
        <v>1044</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2149</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1045</v>
      </c>
      <c r="B172" s="182" t="s">
        <v>50</v>
      </c>
      <c r="C172" s="177">
        <v>45862</v>
      </c>
      <c r="D172" s="712" t="s">
        <v>1046</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69" t="s">
        <v>2159</v>
      </c>
      <c r="C1" s="1469"/>
      <c r="D1" s="556"/>
      <c r="E1" s="1469" t="s">
        <v>2160</v>
      </c>
      <c r="F1" s="1469"/>
    </row>
    <row r="2" spans="1:25">
      <c r="B2" s="44" t="s">
        <v>2161</v>
      </c>
      <c r="E2" s="44" t="s">
        <v>22</v>
      </c>
      <c r="F2" t="s">
        <v>1081</v>
      </c>
      <c r="P2" s="44" t="s">
        <v>27</v>
      </c>
      <c r="Q2" t="s">
        <v>2162</v>
      </c>
    </row>
    <row r="3" spans="1:25">
      <c r="B3" s="44" t="s">
        <v>22</v>
      </c>
      <c r="C3" t="s">
        <v>1087</v>
      </c>
      <c r="K3" s="44" t="s">
        <v>2163</v>
      </c>
      <c r="L3" t="s">
        <v>2164</v>
      </c>
      <c r="P3" s="44" t="s">
        <v>2163</v>
      </c>
      <c r="Q3" t="s">
        <v>2164</v>
      </c>
    </row>
    <row r="4" spans="1:25">
      <c r="B4" t="s">
        <v>129</v>
      </c>
      <c r="C4">
        <v>69424</v>
      </c>
      <c r="E4" s="44" t="s">
        <v>2161</v>
      </c>
      <c r="F4" t="s">
        <v>1087</v>
      </c>
      <c r="W4" t="s">
        <v>2165</v>
      </c>
      <c r="X4">
        <v>22</v>
      </c>
    </row>
    <row r="5" spans="1:25">
      <c r="B5" t="s">
        <v>84</v>
      </c>
      <c r="C5">
        <v>28636</v>
      </c>
      <c r="E5" t="s">
        <v>1087</v>
      </c>
      <c r="F5">
        <v>160466</v>
      </c>
      <c r="K5" s="44" t="s">
        <v>2166</v>
      </c>
      <c r="P5" s="44" t="s">
        <v>2166</v>
      </c>
      <c r="W5" t="s">
        <v>2167</v>
      </c>
      <c r="X5">
        <v>13</v>
      </c>
    </row>
    <row r="6" spans="1:25">
      <c r="B6" t="s">
        <v>1114</v>
      </c>
      <c r="C6">
        <v>208773</v>
      </c>
      <c r="K6" s="44" t="s">
        <v>27</v>
      </c>
      <c r="L6" s="44" t="s">
        <v>2168</v>
      </c>
      <c r="M6" t="s">
        <v>1087</v>
      </c>
      <c r="P6" s="44" t="s">
        <v>2169</v>
      </c>
      <c r="Q6" s="44" t="s">
        <v>2168</v>
      </c>
      <c r="R6" t="s">
        <v>1087</v>
      </c>
    </row>
    <row r="7" spans="1:25">
      <c r="B7" t="s">
        <v>51</v>
      </c>
      <c r="C7">
        <v>446</v>
      </c>
      <c r="K7" t="s">
        <v>2162</v>
      </c>
      <c r="L7" t="s">
        <v>667</v>
      </c>
      <c r="M7">
        <v>1</v>
      </c>
      <c r="P7" t="s">
        <v>2170</v>
      </c>
      <c r="R7">
        <v>1</v>
      </c>
      <c r="X7" t="s">
        <v>2171</v>
      </c>
      <c r="Y7" t="s">
        <v>2172</v>
      </c>
    </row>
    <row r="8" spans="1:25">
      <c r="B8" t="s">
        <v>22</v>
      </c>
      <c r="C8">
        <v>0</v>
      </c>
      <c r="L8" t="s">
        <v>669</v>
      </c>
      <c r="M8">
        <v>1</v>
      </c>
      <c r="P8" t="s">
        <v>2173</v>
      </c>
      <c r="R8">
        <v>1</v>
      </c>
      <c r="V8" t="s">
        <v>2174</v>
      </c>
      <c r="W8" s="257">
        <v>203521</v>
      </c>
      <c r="X8" s="313">
        <f>X5/X4</f>
        <v>0.59090909090909094</v>
      </c>
      <c r="Y8" s="313">
        <f>W9/W8</f>
        <v>0.31446386367991508</v>
      </c>
    </row>
    <row r="9" spans="1:25">
      <c r="B9" t="s">
        <v>222</v>
      </c>
      <c r="C9">
        <v>7128</v>
      </c>
      <c r="L9" t="s">
        <v>2175</v>
      </c>
      <c r="M9">
        <v>1</v>
      </c>
      <c r="P9" t="s">
        <v>2176</v>
      </c>
      <c r="Q9" t="s">
        <v>2175</v>
      </c>
      <c r="R9">
        <v>1</v>
      </c>
      <c r="V9" t="s">
        <v>2177</v>
      </c>
      <c r="W9">
        <v>64000</v>
      </c>
    </row>
    <row r="10" spans="1:25">
      <c r="B10" t="s">
        <v>233</v>
      </c>
      <c r="C10">
        <v>29359</v>
      </c>
      <c r="L10" t="s">
        <v>861</v>
      </c>
      <c r="M10">
        <v>1</v>
      </c>
      <c r="Q10" t="s">
        <v>865</v>
      </c>
      <c r="R10">
        <v>1</v>
      </c>
    </row>
    <row r="11" spans="1:25">
      <c r="B11" t="s">
        <v>202</v>
      </c>
      <c r="C11">
        <v>103</v>
      </c>
      <c r="L11" t="s">
        <v>865</v>
      </c>
      <c r="M11">
        <v>1</v>
      </c>
      <c r="Q11" t="s">
        <v>868</v>
      </c>
      <c r="R11">
        <v>1</v>
      </c>
    </row>
    <row r="12" spans="1:25">
      <c r="B12" t="s">
        <v>141</v>
      </c>
      <c r="C12">
        <v>13766</v>
      </c>
      <c r="L12" t="s">
        <v>868</v>
      </c>
      <c r="M12">
        <v>1</v>
      </c>
      <c r="Q12" t="s">
        <v>2178</v>
      </c>
      <c r="R12">
        <v>1</v>
      </c>
    </row>
    <row r="13" spans="1:25">
      <c r="B13" t="s">
        <v>178</v>
      </c>
      <c r="C13">
        <v>3</v>
      </c>
      <c r="L13" t="s">
        <v>2179</v>
      </c>
      <c r="M13">
        <v>1</v>
      </c>
      <c r="Q13" t="s">
        <v>1036</v>
      </c>
      <c r="R13">
        <v>1</v>
      </c>
    </row>
    <row r="14" spans="1:25">
      <c r="B14" t="s">
        <v>67</v>
      </c>
      <c r="C14">
        <v>3796</v>
      </c>
      <c r="L14" t="s">
        <v>882</v>
      </c>
      <c r="M14">
        <v>1</v>
      </c>
      <c r="P14" t="s">
        <v>2180</v>
      </c>
      <c r="R14">
        <v>5</v>
      </c>
    </row>
    <row r="15" spans="1:25">
      <c r="B15" t="s">
        <v>60</v>
      </c>
      <c r="C15">
        <v>10847</v>
      </c>
      <c r="L15" t="s">
        <v>2178</v>
      </c>
      <c r="M15">
        <v>1</v>
      </c>
      <c r="P15" t="s">
        <v>1114</v>
      </c>
      <c r="R15">
        <v>12</v>
      </c>
    </row>
    <row r="16" spans="1:25">
      <c r="B16" t="s">
        <v>266</v>
      </c>
      <c r="C16">
        <v>8622</v>
      </c>
      <c r="L16" t="s">
        <v>884</v>
      </c>
      <c r="M16">
        <v>1</v>
      </c>
      <c r="P16" t="s">
        <v>1084</v>
      </c>
      <c r="R16">
        <v>19</v>
      </c>
    </row>
    <row r="17" spans="2:13">
      <c r="B17" t="s">
        <v>218</v>
      </c>
      <c r="C17">
        <v>0</v>
      </c>
      <c r="L17" t="s">
        <v>888</v>
      </c>
      <c r="M17">
        <v>1</v>
      </c>
    </row>
    <row r="18" spans="2:13">
      <c r="B18" t="s">
        <v>1084</v>
      </c>
      <c r="C18">
        <v>380903</v>
      </c>
      <c r="L18" t="s">
        <v>890</v>
      </c>
      <c r="M18">
        <v>1</v>
      </c>
    </row>
    <row r="19" spans="2:13">
      <c r="L19" t="s">
        <v>894</v>
      </c>
      <c r="M19">
        <v>1</v>
      </c>
    </row>
    <row r="20" spans="2:13">
      <c r="L20" t="s">
        <v>898</v>
      </c>
      <c r="M20">
        <v>1</v>
      </c>
    </row>
    <row r="21" spans="2:13">
      <c r="L21" t="s">
        <v>2181</v>
      </c>
      <c r="M21">
        <v>1</v>
      </c>
    </row>
    <row r="22" spans="2:13">
      <c r="L22" t="s">
        <v>1036</v>
      </c>
      <c r="M22">
        <v>1</v>
      </c>
    </row>
    <row r="23" spans="2:13">
      <c r="L23" t="s">
        <v>930</v>
      </c>
      <c r="M23">
        <v>1</v>
      </c>
    </row>
    <row r="24" spans="2:13">
      <c r="L24" t="s">
        <v>959</v>
      </c>
      <c r="M24">
        <v>1</v>
      </c>
    </row>
    <row r="25" spans="2:13">
      <c r="L25" t="s">
        <v>174</v>
      </c>
      <c r="M25">
        <v>1</v>
      </c>
    </row>
    <row r="26" spans="2:13">
      <c r="K26" t="s">
        <v>2182</v>
      </c>
      <c r="M26">
        <v>19</v>
      </c>
    </row>
    <row r="27" spans="2:13">
      <c r="K27" t="s">
        <v>2183</v>
      </c>
      <c r="L27" t="s">
        <v>876</v>
      </c>
      <c r="M27">
        <v>1</v>
      </c>
    </row>
    <row r="28" spans="2:13">
      <c r="L28" t="s">
        <v>878</v>
      </c>
      <c r="M28">
        <v>1</v>
      </c>
    </row>
    <row r="29" spans="2:13">
      <c r="L29" t="s">
        <v>880</v>
      </c>
      <c r="M29">
        <v>1</v>
      </c>
    </row>
    <row r="30" spans="2:13">
      <c r="L30" t="s">
        <v>896</v>
      </c>
      <c r="M30">
        <v>1</v>
      </c>
    </row>
    <row r="31" spans="2:13">
      <c r="L31" t="s">
        <v>900</v>
      </c>
      <c r="M31">
        <v>1</v>
      </c>
    </row>
    <row r="32" spans="2:13">
      <c r="L32" t="s">
        <v>2184</v>
      </c>
      <c r="M32">
        <v>1</v>
      </c>
    </row>
    <row r="33" spans="11:13">
      <c r="L33" t="s">
        <v>902</v>
      </c>
      <c r="M33">
        <v>1</v>
      </c>
    </row>
    <row r="34" spans="11:13">
      <c r="L34" t="s">
        <v>933</v>
      </c>
      <c r="M34">
        <v>1</v>
      </c>
    </row>
    <row r="35" spans="11:13">
      <c r="L35" t="s">
        <v>710</v>
      </c>
      <c r="M35">
        <v>1</v>
      </c>
    </row>
    <row r="36" spans="11:13">
      <c r="L36" t="s">
        <v>712</v>
      </c>
      <c r="M36">
        <v>1</v>
      </c>
    </row>
    <row r="37" spans="11:13">
      <c r="L37" t="s">
        <v>716</v>
      </c>
      <c r="M37">
        <v>1</v>
      </c>
    </row>
    <row r="38" spans="11:13">
      <c r="L38" t="s">
        <v>718</v>
      </c>
      <c r="M38">
        <v>1</v>
      </c>
    </row>
    <row r="39" spans="11:13">
      <c r="K39" t="s">
        <v>2185</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70"/>
      <c r="B1" s="1470"/>
      <c r="C1" s="1470"/>
      <c r="D1" s="1470"/>
      <c r="E1" s="1470"/>
      <c r="F1" s="1470"/>
      <c r="G1" s="1470"/>
      <c r="H1" s="1471" t="s">
        <v>2186</v>
      </c>
      <c r="I1" s="1471"/>
      <c r="J1" s="1471"/>
      <c r="K1" s="1471"/>
      <c r="L1" s="1471"/>
      <c r="M1" s="1471"/>
      <c r="N1" s="1471"/>
      <c r="O1" s="1471"/>
      <c r="P1" s="260"/>
      <c r="Q1" s="1472" t="s">
        <v>34</v>
      </c>
      <c r="R1" s="1472"/>
      <c r="S1" s="1468"/>
      <c r="T1" s="1472"/>
      <c r="U1" s="1472"/>
      <c r="V1" s="1472"/>
      <c r="W1" s="1472"/>
      <c r="X1" s="1472"/>
      <c r="Y1" s="264"/>
    </row>
    <row r="2" spans="1:26" ht="15.75" thickBot="1">
      <c r="A2" s="265"/>
      <c r="B2" s="266"/>
      <c r="C2" s="266"/>
      <c r="D2" s="266"/>
      <c r="E2" s="266"/>
      <c r="F2" s="266"/>
      <c r="G2" s="266"/>
      <c r="H2" s="267"/>
      <c r="I2" s="267"/>
      <c r="J2" s="267"/>
      <c r="K2" s="267"/>
      <c r="L2" s="267"/>
      <c r="M2" s="267"/>
      <c r="N2" s="267"/>
      <c r="O2" s="267"/>
      <c r="P2" s="260"/>
      <c r="Q2" s="264"/>
      <c r="R2" s="264" t="s">
        <v>2187</v>
      </c>
      <c r="S2" s="3" t="s">
        <v>2072</v>
      </c>
      <c r="T2" s="264" t="s">
        <v>2073</v>
      </c>
      <c r="U2" s="264" t="s">
        <v>2073</v>
      </c>
      <c r="V2" s="264" t="s">
        <v>2073</v>
      </c>
      <c r="W2" s="264" t="s">
        <v>2073</v>
      </c>
      <c r="X2" s="264" t="s">
        <v>2074</v>
      </c>
      <c r="Y2" s="264" t="s">
        <v>2188</v>
      </c>
    </row>
    <row r="3" spans="1:26" ht="15.75" thickBot="1">
      <c r="A3" s="263" t="s">
        <v>2168</v>
      </c>
      <c r="B3" s="259" t="s">
        <v>20</v>
      </c>
      <c r="C3" s="259" t="s">
        <v>2189</v>
      </c>
      <c r="D3" s="259" t="s">
        <v>26</v>
      </c>
      <c r="E3" s="259" t="s">
        <v>2163</v>
      </c>
      <c r="F3" s="259" t="s">
        <v>2190</v>
      </c>
      <c r="G3" s="259" t="s">
        <v>27</v>
      </c>
      <c r="H3" s="207" t="s">
        <v>28</v>
      </c>
      <c r="I3" s="207" t="s">
        <v>2191</v>
      </c>
      <c r="J3" s="207" t="s">
        <v>2192</v>
      </c>
      <c r="K3" s="207" t="s">
        <v>2193</v>
      </c>
      <c r="L3" s="207" t="s">
        <v>2149</v>
      </c>
      <c r="M3" s="207" t="s">
        <v>2194</v>
      </c>
      <c r="N3" s="207" t="s">
        <v>2195</v>
      </c>
      <c r="O3" s="206" t="s">
        <v>2077</v>
      </c>
      <c r="P3" s="260" t="s">
        <v>2169</v>
      </c>
      <c r="Q3" s="261" t="s">
        <v>34</v>
      </c>
      <c r="R3" s="261" t="s">
        <v>2191</v>
      </c>
      <c r="S3" s="5" t="s">
        <v>2078</v>
      </c>
      <c r="T3" s="261" t="s">
        <v>2196</v>
      </c>
      <c r="U3" s="261" t="s">
        <v>43</v>
      </c>
      <c r="V3" s="261" t="s">
        <v>2079</v>
      </c>
      <c r="W3" s="261" t="s">
        <v>46</v>
      </c>
      <c r="X3" s="261" t="s">
        <v>654</v>
      </c>
      <c r="Y3" s="261" t="s">
        <v>2197</v>
      </c>
      <c r="Z3" s="312" t="s">
        <v>2198</v>
      </c>
    </row>
    <row r="4" spans="1:26" ht="15.75" thickBot="1">
      <c r="A4" s="121" t="s">
        <v>77</v>
      </c>
      <c r="B4" s="102" t="s">
        <v>50</v>
      </c>
      <c r="C4" s="77">
        <v>45807</v>
      </c>
      <c r="D4" s="268"/>
      <c r="E4" s="269" t="s">
        <v>2199</v>
      </c>
      <c r="F4" s="268"/>
      <c r="G4" s="270" t="s">
        <v>2162</v>
      </c>
      <c r="H4" s="268"/>
      <c r="I4" s="268"/>
      <c r="J4" s="271"/>
      <c r="K4" s="205"/>
      <c r="L4" s="205"/>
      <c r="M4" s="205"/>
      <c r="N4" s="272"/>
      <c r="O4" s="273"/>
      <c r="P4" s="274" t="s">
        <v>2200</v>
      </c>
      <c r="Q4" s="275" t="s">
        <v>101</v>
      </c>
      <c r="R4" s="131" t="s">
        <v>2201</v>
      </c>
      <c r="S4" s="131"/>
      <c r="T4" s="276"/>
      <c r="U4" s="277"/>
      <c r="V4" s="277"/>
      <c r="W4" s="277"/>
      <c r="X4" s="277"/>
      <c r="Y4" s="277"/>
      <c r="Z4" t="e">
        <f>VLOOKUP(A4,#REF!,9,FALSE)</f>
        <v>#REF!</v>
      </c>
    </row>
    <row r="5" spans="1:26" ht="15.75" thickBot="1">
      <c r="A5" s="278" t="s">
        <v>2119</v>
      </c>
      <c r="B5" s="102" t="s">
        <v>50</v>
      </c>
      <c r="C5" s="215">
        <v>45807</v>
      </c>
      <c r="D5" s="268"/>
      <c r="E5" s="269" t="s">
        <v>2199</v>
      </c>
      <c r="F5" s="268"/>
      <c r="G5" s="270" t="s">
        <v>2162</v>
      </c>
      <c r="H5" s="268"/>
      <c r="I5" s="268"/>
      <c r="J5" s="279"/>
      <c r="K5" s="205"/>
      <c r="L5" s="205"/>
      <c r="M5" s="205"/>
      <c r="N5" s="272"/>
      <c r="O5" s="273"/>
      <c r="P5" s="274" t="s">
        <v>2200</v>
      </c>
      <c r="Q5" s="275" t="s">
        <v>101</v>
      </c>
      <c r="R5" s="131" t="s">
        <v>2201</v>
      </c>
      <c r="S5" s="131"/>
      <c r="T5" s="276"/>
      <c r="U5" s="277"/>
      <c r="V5" s="277"/>
      <c r="W5" s="277"/>
      <c r="X5" s="277"/>
      <c r="Y5" s="277"/>
      <c r="Z5" t="e">
        <f>VLOOKUP(A5,#REF!,9,FALSE)</f>
        <v>#REF!</v>
      </c>
    </row>
    <row r="6" spans="1:26" ht="15.75" thickBot="1">
      <c r="A6" s="121" t="s">
        <v>1111</v>
      </c>
      <c r="B6" s="102" t="s">
        <v>50</v>
      </c>
      <c r="C6" s="215">
        <v>45807</v>
      </c>
      <c r="D6" s="268"/>
      <c r="E6" s="269" t="s">
        <v>2199</v>
      </c>
      <c r="F6" s="268"/>
      <c r="G6" s="270" t="s">
        <v>2162</v>
      </c>
      <c r="H6" s="268"/>
      <c r="I6" s="268"/>
      <c r="J6" s="279"/>
      <c r="K6" s="205"/>
      <c r="L6" s="205"/>
      <c r="M6" s="205"/>
      <c r="N6" s="272"/>
      <c r="O6" s="273"/>
      <c r="P6" s="274" t="s">
        <v>2200</v>
      </c>
      <c r="Q6" s="275" t="s">
        <v>101</v>
      </c>
      <c r="R6" s="131" t="s">
        <v>2201</v>
      </c>
      <c r="S6" s="131"/>
      <c r="T6" s="276"/>
      <c r="U6" s="277"/>
      <c r="V6" s="277"/>
      <c r="W6" s="277"/>
      <c r="X6" s="277"/>
      <c r="Y6" s="277"/>
      <c r="Z6" t="e">
        <f>VLOOKUP(A6,#REF!,9,FALSE)</f>
        <v>#REF!</v>
      </c>
    </row>
    <row r="7" spans="1:26" ht="15.75" thickBot="1">
      <c r="A7" s="121" t="s">
        <v>1128</v>
      </c>
      <c r="B7" s="102" t="s">
        <v>50</v>
      </c>
      <c r="C7" s="215">
        <v>45807</v>
      </c>
      <c r="D7" s="268"/>
      <c r="E7" s="269" t="s">
        <v>2199</v>
      </c>
      <c r="F7" s="268"/>
      <c r="G7" s="270" t="s">
        <v>2162</v>
      </c>
      <c r="H7" s="268"/>
      <c r="I7" s="268"/>
      <c r="J7" s="279"/>
      <c r="K7" s="205"/>
      <c r="L7" s="205"/>
      <c r="M7" s="205"/>
      <c r="N7" s="272"/>
      <c r="O7" s="273"/>
      <c r="P7" s="274" t="s">
        <v>2200</v>
      </c>
      <c r="Q7" s="275" t="s">
        <v>101</v>
      </c>
      <c r="R7" s="131" t="s">
        <v>2201</v>
      </c>
      <c r="S7" s="131"/>
      <c r="T7" s="276"/>
      <c r="U7" s="277"/>
      <c r="V7" s="277"/>
      <c r="W7" s="277"/>
      <c r="X7" s="277"/>
      <c r="Y7" s="277"/>
      <c r="Z7" t="e">
        <f>VLOOKUP(A7,#REF!,9,FALSE)</f>
        <v>#REF!</v>
      </c>
    </row>
    <row r="8" spans="1:26" ht="15.75" thickBot="1">
      <c r="A8" s="278" t="s">
        <v>2202</v>
      </c>
      <c r="B8" s="102" t="s">
        <v>50</v>
      </c>
      <c r="C8" s="215">
        <v>45807</v>
      </c>
      <c r="D8" s="268"/>
      <c r="E8" s="269" t="s">
        <v>2199</v>
      </c>
      <c r="F8" s="268"/>
      <c r="G8" s="270" t="s">
        <v>2162</v>
      </c>
      <c r="H8" s="268"/>
      <c r="I8" s="268"/>
      <c r="J8" s="279"/>
      <c r="K8" s="205"/>
      <c r="L8" s="205"/>
      <c r="M8" s="205"/>
      <c r="N8" s="272"/>
      <c r="O8" s="273"/>
      <c r="P8" s="274" t="s">
        <v>2173</v>
      </c>
      <c r="Q8" s="275" t="s">
        <v>2203</v>
      </c>
      <c r="R8" s="131" t="s">
        <v>2204</v>
      </c>
      <c r="S8" s="131"/>
      <c r="T8" s="276"/>
      <c r="U8" s="277"/>
      <c r="V8" s="277"/>
      <c r="W8" s="277"/>
      <c r="X8" s="277"/>
      <c r="Y8" s="277"/>
      <c r="Z8" t="e">
        <f>VLOOKUP(A8,#REF!,9,FALSE)</f>
        <v>#REF!</v>
      </c>
    </row>
    <row r="9" spans="1:26" ht="15.75" thickBot="1">
      <c r="A9" s="121" t="s">
        <v>1136</v>
      </c>
      <c r="B9" s="102" t="s">
        <v>50</v>
      </c>
      <c r="C9" s="215">
        <v>45807</v>
      </c>
      <c r="D9" s="280"/>
      <c r="E9" s="269" t="s">
        <v>2199</v>
      </c>
      <c r="F9" s="280"/>
      <c r="G9" s="281" t="s">
        <v>2162</v>
      </c>
      <c r="H9" s="268"/>
      <c r="I9" s="268"/>
      <c r="J9" s="279"/>
      <c r="K9" s="205"/>
      <c r="L9" s="205"/>
      <c r="M9" s="205"/>
      <c r="N9" s="272"/>
      <c r="O9" s="273"/>
      <c r="P9" s="274" t="s">
        <v>2200</v>
      </c>
      <c r="Q9" s="275" t="s">
        <v>101</v>
      </c>
      <c r="R9" s="131" t="s">
        <v>2201</v>
      </c>
      <c r="S9" s="131"/>
      <c r="T9" s="276"/>
      <c r="U9" s="277"/>
      <c r="V9" s="277"/>
      <c r="W9" s="277"/>
      <c r="X9" s="277"/>
      <c r="Y9" s="277"/>
      <c r="Z9" t="e">
        <f>VLOOKUP(A9,#REF!,9,FALSE)</f>
        <v>#REF!</v>
      </c>
    </row>
    <row r="10" spans="1:26" ht="15.75" thickBot="1">
      <c r="A10" s="121" t="s">
        <v>1113</v>
      </c>
      <c r="B10" s="102" t="s">
        <v>50</v>
      </c>
      <c r="C10" s="215" t="e">
        <v>#N/A</v>
      </c>
      <c r="D10" s="282"/>
      <c r="E10" s="269" t="s">
        <v>2199</v>
      </c>
      <c r="F10" s="282"/>
      <c r="G10" s="283" t="s">
        <v>2162</v>
      </c>
      <c r="H10" s="230"/>
      <c r="I10" s="230"/>
      <c r="J10" s="45"/>
      <c r="K10" s="204"/>
      <c r="L10" s="204"/>
      <c r="M10" s="204"/>
      <c r="N10" s="284"/>
      <c r="O10" s="285"/>
      <c r="P10" s="274" t="s">
        <v>2200</v>
      </c>
      <c r="Q10" s="275" t="s">
        <v>58</v>
      </c>
      <c r="R10" s="131" t="s">
        <v>2201</v>
      </c>
      <c r="S10" s="131"/>
      <c r="T10" s="276"/>
      <c r="U10" s="277"/>
      <c r="V10" s="277"/>
      <c r="W10" s="277"/>
      <c r="X10" s="277"/>
      <c r="Y10" s="277"/>
      <c r="Z10" t="e">
        <f>VLOOKUP(A10,#REF!,9,FALSE)</f>
        <v>#REF!</v>
      </c>
    </row>
    <row r="11" spans="1:26" ht="15.75" thickBot="1">
      <c r="A11" s="121" t="s">
        <v>516</v>
      </c>
      <c r="B11" s="102" t="s">
        <v>50</v>
      </c>
      <c r="C11" s="215">
        <v>45807</v>
      </c>
      <c r="D11" s="282"/>
      <c r="E11" s="269" t="s">
        <v>2199</v>
      </c>
      <c r="F11" s="282"/>
      <c r="G11" s="283" t="s">
        <v>2162</v>
      </c>
      <c r="H11" s="230"/>
      <c r="I11" s="230"/>
      <c r="J11" s="45"/>
      <c r="K11" s="204"/>
      <c r="L11" s="204"/>
      <c r="M11" s="204"/>
      <c r="N11" s="284"/>
      <c r="O11" s="285"/>
      <c r="P11" s="274" t="s">
        <v>2200</v>
      </c>
      <c r="Q11" s="275" t="s">
        <v>101</v>
      </c>
      <c r="R11" s="131" t="s">
        <v>2201</v>
      </c>
      <c r="S11" s="131"/>
      <c r="T11" s="276"/>
      <c r="U11" s="277"/>
      <c r="V11" s="277"/>
      <c r="W11" s="277"/>
      <c r="X11" s="277"/>
      <c r="Y11" s="277"/>
      <c r="Z11" t="e">
        <f>VLOOKUP(A11,#REF!,9,FALSE)</f>
        <v>#REF!</v>
      </c>
    </row>
    <row r="12" spans="1:26" ht="15.75" thickBot="1">
      <c r="A12" s="121" t="s">
        <v>1108</v>
      </c>
      <c r="B12" s="102" t="s">
        <v>50</v>
      </c>
      <c r="C12" s="215" t="e">
        <v>#N/A</v>
      </c>
      <c r="D12" s="282"/>
      <c r="E12" s="269" t="s">
        <v>2199</v>
      </c>
      <c r="F12" s="282"/>
      <c r="G12" s="283" t="s">
        <v>2162</v>
      </c>
      <c r="H12" s="230"/>
      <c r="I12" s="230"/>
      <c r="J12" s="45"/>
      <c r="K12" s="204"/>
      <c r="L12" s="204"/>
      <c r="M12" s="204"/>
      <c r="N12" s="284"/>
      <c r="O12" s="285"/>
      <c r="P12" s="274" t="s">
        <v>2200</v>
      </c>
      <c r="Q12" s="275" t="s">
        <v>101</v>
      </c>
      <c r="R12" s="131" t="s">
        <v>2201</v>
      </c>
      <c r="S12" s="131"/>
      <c r="T12" s="276"/>
      <c r="U12" s="277"/>
      <c r="V12" s="277"/>
      <c r="W12" s="277"/>
      <c r="X12" s="277"/>
      <c r="Y12" s="277"/>
      <c r="Z12" t="e">
        <f>VLOOKUP(A12,#REF!,9,FALSE)</f>
        <v>#REF!</v>
      </c>
    </row>
    <row r="13" spans="1:26" ht="15.75" thickBot="1">
      <c r="A13" s="121" t="s">
        <v>1134</v>
      </c>
      <c r="B13" s="102" t="s">
        <v>50</v>
      </c>
      <c r="C13" s="215" t="e">
        <v>#N/A</v>
      </c>
      <c r="D13" s="282"/>
      <c r="E13" s="269" t="s">
        <v>2199</v>
      </c>
      <c r="F13" s="282"/>
      <c r="G13" s="283" t="s">
        <v>2162</v>
      </c>
      <c r="H13" s="230"/>
      <c r="I13" s="230"/>
      <c r="J13" s="45"/>
      <c r="K13" s="204"/>
      <c r="L13" s="204"/>
      <c r="M13" s="204"/>
      <c r="N13" s="284"/>
      <c r="O13" s="285"/>
      <c r="P13" s="274" t="s">
        <v>2200</v>
      </c>
      <c r="Q13" s="275" t="s">
        <v>101</v>
      </c>
      <c r="R13" s="131" t="s">
        <v>2201</v>
      </c>
      <c r="S13" s="131"/>
      <c r="T13" s="276"/>
      <c r="U13" s="277"/>
      <c r="V13" s="277"/>
      <c r="W13" s="277"/>
      <c r="X13" s="277"/>
      <c r="Y13" s="277"/>
      <c r="Z13" t="e">
        <f>VLOOKUP(A13,#REF!,9,FALSE)</f>
        <v>#REF!</v>
      </c>
    </row>
    <row r="14" spans="1:26" ht="15.75" thickBot="1">
      <c r="A14" s="278" t="s">
        <v>512</v>
      </c>
      <c r="B14" s="102" t="s">
        <v>50</v>
      </c>
      <c r="C14" s="215">
        <v>45807</v>
      </c>
      <c r="D14" s="282"/>
      <c r="E14" s="269" t="s">
        <v>2199</v>
      </c>
      <c r="F14" s="282"/>
      <c r="G14" s="283" t="s">
        <v>2162</v>
      </c>
      <c r="H14" s="230"/>
      <c r="I14" s="230"/>
      <c r="J14" s="45"/>
      <c r="K14" s="204"/>
      <c r="L14" s="204"/>
      <c r="M14" s="204"/>
      <c r="N14" s="284"/>
      <c r="O14" s="285"/>
      <c r="P14" s="274" t="s">
        <v>2200</v>
      </c>
      <c r="Q14" s="275" t="s">
        <v>101</v>
      </c>
      <c r="R14" s="131" t="s">
        <v>2201</v>
      </c>
      <c r="S14" s="131"/>
      <c r="T14" s="276"/>
      <c r="U14" s="277"/>
      <c r="V14" s="277"/>
      <c r="W14" s="277"/>
      <c r="X14" s="277"/>
      <c r="Y14" s="277"/>
      <c r="Z14" t="e">
        <f>VLOOKUP(A14,#REF!,9,FALSE)</f>
        <v>#REF!</v>
      </c>
    </row>
    <row r="15" spans="1:26" ht="15.75" thickBot="1">
      <c r="A15" s="121" t="s">
        <v>1112</v>
      </c>
      <c r="B15" s="102" t="s">
        <v>50</v>
      </c>
      <c r="C15" s="215" t="e">
        <v>#N/A</v>
      </c>
      <c r="D15" s="282"/>
      <c r="E15" s="269" t="s">
        <v>2199</v>
      </c>
      <c r="F15" s="282"/>
      <c r="G15" s="283" t="s">
        <v>2162</v>
      </c>
      <c r="H15" s="230"/>
      <c r="I15" s="230"/>
      <c r="J15" s="45"/>
      <c r="K15" s="204"/>
      <c r="L15" s="204"/>
      <c r="M15" s="204"/>
      <c r="N15" s="284"/>
      <c r="O15" s="285"/>
      <c r="P15" s="274" t="s">
        <v>2200</v>
      </c>
      <c r="Q15" s="275" t="s">
        <v>101</v>
      </c>
      <c r="R15" s="131" t="s">
        <v>2201</v>
      </c>
      <c r="S15" s="131"/>
      <c r="T15" s="276"/>
      <c r="U15" s="277"/>
      <c r="V15" s="277"/>
      <c r="W15" s="277"/>
      <c r="X15" s="277"/>
      <c r="Y15" s="277"/>
      <c r="Z15" t="e">
        <f>VLOOKUP(A15,#REF!,9,FALSE)</f>
        <v>#REF!</v>
      </c>
    </row>
    <row r="16" spans="1:26" ht="15.75" thickBot="1">
      <c r="A16" s="286" t="s">
        <v>2205</v>
      </c>
      <c r="B16" s="102" t="s">
        <v>50</v>
      </c>
      <c r="C16" s="215" t="e">
        <v>#N/A</v>
      </c>
      <c r="D16" s="282"/>
      <c r="E16" s="269" t="s">
        <v>2199</v>
      </c>
      <c r="F16" s="282"/>
      <c r="G16" s="283" t="s">
        <v>2162</v>
      </c>
      <c r="H16" s="230"/>
      <c r="I16" s="230"/>
      <c r="J16" s="45"/>
      <c r="K16" s="204"/>
      <c r="L16" s="204"/>
      <c r="M16" s="204"/>
      <c r="N16" s="284"/>
      <c r="O16" s="285"/>
      <c r="P16" s="274" t="s">
        <v>2200</v>
      </c>
      <c r="Q16" s="275" t="s">
        <v>101</v>
      </c>
      <c r="R16" s="131" t="s">
        <v>2201</v>
      </c>
      <c r="S16" s="131"/>
      <c r="T16" s="276"/>
      <c r="U16" s="277"/>
      <c r="V16" s="277"/>
      <c r="W16" s="277"/>
      <c r="X16" s="277"/>
      <c r="Y16" s="277"/>
      <c r="Z16" t="e">
        <f>VLOOKUP(A16,#REF!,9,FALSE)</f>
        <v>#REF!</v>
      </c>
    </row>
    <row r="17" spans="1:26" ht="15.75" thickBot="1">
      <c r="A17" s="275" t="s">
        <v>959</v>
      </c>
      <c r="B17" s="102" t="s">
        <v>50</v>
      </c>
      <c r="C17" s="215" t="e">
        <v>#N/A</v>
      </c>
      <c r="D17" s="282"/>
      <c r="E17" s="269" t="s">
        <v>2164</v>
      </c>
      <c r="F17" s="282"/>
      <c r="G17" s="283" t="s">
        <v>2162</v>
      </c>
      <c r="H17" s="230"/>
      <c r="I17" s="230"/>
      <c r="J17" s="45"/>
      <c r="K17" s="204"/>
      <c r="L17" s="204"/>
      <c r="M17" s="204"/>
      <c r="N17" s="284"/>
      <c r="O17" s="285"/>
      <c r="P17" s="274"/>
      <c r="Q17" s="275" t="s">
        <v>101</v>
      </c>
      <c r="R17" s="131" t="s">
        <v>2201</v>
      </c>
      <c r="S17" s="131"/>
      <c r="T17" s="276"/>
      <c r="U17" s="277"/>
      <c r="V17" s="277"/>
      <c r="W17" s="277"/>
      <c r="X17" s="277"/>
      <c r="Y17" s="277"/>
      <c r="Z17" t="e">
        <f>VLOOKUP(A17,#REF!,9,FALSE)</f>
        <v>#REF!</v>
      </c>
    </row>
    <row r="18" spans="1:26" ht="15.75" thickBot="1">
      <c r="A18" s="275" t="s">
        <v>930</v>
      </c>
      <c r="B18" s="102" t="s">
        <v>50</v>
      </c>
      <c r="C18" s="215">
        <v>45807</v>
      </c>
      <c r="D18" s="282"/>
      <c r="E18" s="269" t="s">
        <v>2164</v>
      </c>
      <c r="F18" s="282"/>
      <c r="G18" s="283" t="s">
        <v>2162</v>
      </c>
      <c r="H18" s="230"/>
      <c r="I18" s="230"/>
      <c r="J18" s="45"/>
      <c r="K18" s="204"/>
      <c r="L18" s="204"/>
      <c r="M18" s="204"/>
      <c r="N18" s="284"/>
      <c r="O18" s="285"/>
      <c r="P18" s="274" t="s">
        <v>2170</v>
      </c>
      <c r="Q18" s="275"/>
      <c r="R18" s="131" t="s">
        <v>2201</v>
      </c>
      <c r="S18" s="131"/>
      <c r="T18" s="276"/>
      <c r="U18" s="277"/>
      <c r="V18" s="277"/>
      <c r="W18" s="277"/>
      <c r="X18" s="277"/>
      <c r="Y18" s="277"/>
      <c r="Z18" t="e">
        <f>VLOOKUP(A18,#REF!,9,FALSE)</f>
        <v>#REF!</v>
      </c>
    </row>
    <row r="19" spans="1:26" ht="15.75" thickBot="1">
      <c r="A19" s="275" t="s">
        <v>933</v>
      </c>
      <c r="B19" s="102" t="s">
        <v>50</v>
      </c>
      <c r="C19" s="215" t="e">
        <v>#N/A</v>
      </c>
      <c r="D19" s="282"/>
      <c r="E19" s="269" t="s">
        <v>2164</v>
      </c>
      <c r="F19" s="282"/>
      <c r="G19" s="283" t="s">
        <v>2183</v>
      </c>
      <c r="H19" s="230"/>
      <c r="I19" s="230"/>
      <c r="J19" s="45"/>
      <c r="K19" s="204"/>
      <c r="L19" s="204"/>
      <c r="M19" s="204"/>
      <c r="N19" s="284"/>
      <c r="O19" s="285"/>
      <c r="P19" s="274"/>
      <c r="Q19" s="275" t="s">
        <v>2183</v>
      </c>
      <c r="R19" s="131" t="s">
        <v>2201</v>
      </c>
      <c r="S19" s="131"/>
      <c r="T19" s="276"/>
      <c r="U19" s="277"/>
      <c r="V19" s="277"/>
      <c r="W19" s="277"/>
      <c r="X19" s="277"/>
      <c r="Y19" s="277"/>
      <c r="Z19" t="e">
        <f>VLOOKUP(A19,#REF!,9,FALSE)</f>
        <v>#REF!</v>
      </c>
    </row>
    <row r="20" spans="1:26" ht="15.75" thickBot="1">
      <c r="A20" s="275" t="s">
        <v>876</v>
      </c>
      <c r="B20" s="102" t="s">
        <v>50</v>
      </c>
      <c r="C20" s="215" t="e">
        <v>#N/A</v>
      </c>
      <c r="D20" s="282"/>
      <c r="E20" s="269" t="s">
        <v>2164</v>
      </c>
      <c r="F20" s="282"/>
      <c r="G20" s="283" t="s">
        <v>2183</v>
      </c>
      <c r="H20" s="230"/>
      <c r="I20" s="230"/>
      <c r="J20" s="45"/>
      <c r="K20" s="204"/>
      <c r="L20" s="204"/>
      <c r="M20" s="204"/>
      <c r="N20" s="284"/>
      <c r="O20" s="285"/>
      <c r="P20" s="274"/>
      <c r="Q20" s="275" t="s">
        <v>2183</v>
      </c>
      <c r="R20" s="131" t="s">
        <v>2201</v>
      </c>
      <c r="S20" s="131"/>
      <c r="T20" s="276"/>
      <c r="U20" s="277"/>
      <c r="V20" s="277"/>
      <c r="W20" s="277"/>
      <c r="X20" s="277"/>
      <c r="Y20" s="277"/>
      <c r="Z20" t="e">
        <f>VLOOKUP(A20,#REF!,9,FALSE)</f>
        <v>#REF!</v>
      </c>
    </row>
    <row r="21" spans="1:26" s="214" customFormat="1" ht="15.75" thickBot="1">
      <c r="A21" s="262" t="s">
        <v>2179</v>
      </c>
      <c r="B21" s="102" t="e">
        <v>#N/A</v>
      </c>
      <c r="C21" s="231">
        <v>45807</v>
      </c>
      <c r="D21" s="282"/>
      <c r="E21" s="269" t="s">
        <v>2164</v>
      </c>
      <c r="F21" s="282"/>
      <c r="G21" s="283" t="s">
        <v>2162</v>
      </c>
      <c r="H21" s="230"/>
      <c r="I21" s="230"/>
      <c r="J21" s="230"/>
      <c r="K21" s="229"/>
      <c r="L21" s="229"/>
      <c r="M21" s="229"/>
      <c r="N21" s="284"/>
      <c r="O21" s="285"/>
      <c r="P21" s="274"/>
      <c r="Q21" s="225" t="s">
        <v>64</v>
      </c>
      <c r="R21" s="131" t="s">
        <v>2201</v>
      </c>
      <c r="S21" s="228"/>
      <c r="T21" s="227"/>
      <c r="U21" s="226"/>
      <c r="V21" s="226"/>
      <c r="W21" s="226"/>
      <c r="X21" s="226"/>
      <c r="Y21" s="226" t="s">
        <v>2206</v>
      </c>
      <c r="Z21" t="e">
        <f>VLOOKUP(A21,#REF!,9,FALSE)</f>
        <v>#REF!</v>
      </c>
    </row>
    <row r="22" spans="1:26" ht="15.75" thickBot="1">
      <c r="A22" s="275" t="s">
        <v>878</v>
      </c>
      <c r="B22" s="102" t="s">
        <v>50</v>
      </c>
      <c r="C22" s="215" t="e">
        <v>#N/A</v>
      </c>
      <c r="D22" s="282"/>
      <c r="E22" s="269" t="s">
        <v>2164</v>
      </c>
      <c r="F22" s="282"/>
      <c r="G22" s="283" t="s">
        <v>2183</v>
      </c>
      <c r="H22" s="230"/>
      <c r="I22" s="230"/>
      <c r="J22" s="45"/>
      <c r="K22" s="204"/>
      <c r="L22" s="204"/>
      <c r="M22" s="204"/>
      <c r="N22" s="284"/>
      <c r="O22" s="285"/>
      <c r="P22" s="274"/>
      <c r="Q22" s="275" t="s">
        <v>2183</v>
      </c>
      <c r="R22" s="131" t="s">
        <v>2201</v>
      </c>
      <c r="S22" s="131"/>
      <c r="T22" s="276"/>
      <c r="U22" s="277"/>
      <c r="V22" s="277"/>
      <c r="W22" s="277"/>
      <c r="X22" s="277"/>
      <c r="Y22" s="277"/>
      <c r="Z22" t="e">
        <f>VLOOKUP(A22,#REF!,9,FALSE)</f>
        <v>#REF!</v>
      </c>
    </row>
    <row r="23" spans="1:26" ht="15.75" thickBot="1">
      <c r="A23" s="275" t="s">
        <v>861</v>
      </c>
      <c r="B23" s="102" t="s">
        <v>50</v>
      </c>
      <c r="C23" s="215" t="e">
        <v>#N/A</v>
      </c>
      <c r="D23" s="282"/>
      <c r="E23" s="269" t="s">
        <v>2164</v>
      </c>
      <c r="F23" s="282"/>
      <c r="G23" s="283" t="s">
        <v>2162</v>
      </c>
      <c r="H23" s="230"/>
      <c r="I23" s="230"/>
      <c r="J23" s="45"/>
      <c r="K23" s="204"/>
      <c r="L23" s="204"/>
      <c r="M23" s="204"/>
      <c r="N23" s="284"/>
      <c r="O23" s="285"/>
      <c r="P23" s="274"/>
      <c r="Q23" s="275" t="s">
        <v>64</v>
      </c>
      <c r="R23" s="131" t="s">
        <v>2201</v>
      </c>
      <c r="S23" s="131"/>
      <c r="T23" s="276"/>
      <c r="U23" s="277"/>
      <c r="V23" s="277"/>
      <c r="W23" s="277"/>
      <c r="X23" s="277"/>
      <c r="Y23" s="277" t="s">
        <v>2207</v>
      </c>
      <c r="Z23" t="e">
        <f>VLOOKUP(A23,#REF!,9,FALSE)</f>
        <v>#REF!</v>
      </c>
    </row>
    <row r="24" spans="1:26" s="214" customFormat="1" ht="69.599999999999994" customHeight="1" thickBot="1">
      <c r="A24" s="225" t="s">
        <v>2175</v>
      </c>
      <c r="B24" s="232" t="e">
        <v>#N/A</v>
      </c>
      <c r="C24" s="231">
        <v>45716</v>
      </c>
      <c r="D24" s="282"/>
      <c r="E24" s="269" t="s">
        <v>2164</v>
      </c>
      <c r="F24" s="282"/>
      <c r="G24" s="283" t="s">
        <v>2162</v>
      </c>
      <c r="H24" s="230"/>
      <c r="I24" s="230"/>
      <c r="J24" s="230"/>
      <c r="K24" s="229"/>
      <c r="L24" s="229"/>
      <c r="M24" s="229"/>
      <c r="N24" s="284"/>
      <c r="O24" s="285"/>
      <c r="P24" s="274" t="s">
        <v>2176</v>
      </c>
      <c r="Q24" s="225" t="s">
        <v>64</v>
      </c>
      <c r="R24" s="131" t="s">
        <v>2201</v>
      </c>
      <c r="S24" s="228"/>
      <c r="T24" s="227"/>
      <c r="U24" s="226"/>
      <c r="V24" s="226"/>
      <c r="W24" s="226"/>
      <c r="X24" s="226"/>
      <c r="Y24" s="226" t="s">
        <v>2207</v>
      </c>
      <c r="Z24" t="e">
        <f>VLOOKUP(A24,#REF!,9,FALSE)</f>
        <v>#REF!</v>
      </c>
    </row>
    <row r="25" spans="1:26" ht="15.75" thickBot="1">
      <c r="A25" s="275" t="s">
        <v>865</v>
      </c>
      <c r="B25" s="102" t="s">
        <v>50</v>
      </c>
      <c r="C25" s="215">
        <v>45772</v>
      </c>
      <c r="D25" s="282"/>
      <c r="E25" s="269" t="s">
        <v>2164</v>
      </c>
      <c r="F25" s="282"/>
      <c r="G25" s="283" t="s">
        <v>2162</v>
      </c>
      <c r="H25" s="230"/>
      <c r="I25" s="230"/>
      <c r="J25" s="45"/>
      <c r="K25" s="204"/>
      <c r="L25" s="204"/>
      <c r="M25" s="204"/>
      <c r="N25" s="284"/>
      <c r="O25" s="285"/>
      <c r="P25" s="274" t="s">
        <v>2176</v>
      </c>
      <c r="Q25" s="275" t="s">
        <v>64</v>
      </c>
      <c r="R25" s="131" t="s">
        <v>2201</v>
      </c>
      <c r="S25" s="131"/>
      <c r="T25" s="276"/>
      <c r="U25" s="277"/>
      <c r="V25" s="277"/>
      <c r="W25" s="277"/>
      <c r="X25" s="277"/>
      <c r="Y25" s="277"/>
      <c r="Z25" t="e">
        <f>VLOOKUP(A25,#REF!,9,FALSE)</f>
        <v>#REF!</v>
      </c>
    </row>
    <row r="26" spans="1:26" ht="15.75" thickBot="1">
      <c r="A26" s="275" t="s">
        <v>868</v>
      </c>
      <c r="B26" s="102" t="s">
        <v>50</v>
      </c>
      <c r="C26" s="215">
        <v>45772</v>
      </c>
      <c r="D26" s="282"/>
      <c r="E26" s="269" t="s">
        <v>2164</v>
      </c>
      <c r="F26" s="282"/>
      <c r="G26" s="283" t="s">
        <v>2162</v>
      </c>
      <c r="H26" s="230"/>
      <c r="I26" s="230"/>
      <c r="J26" s="45"/>
      <c r="K26" s="204"/>
      <c r="L26" s="204"/>
      <c r="M26" s="204"/>
      <c r="N26" s="284"/>
      <c r="O26" s="285"/>
      <c r="P26" s="274" t="s">
        <v>2176</v>
      </c>
      <c r="Q26" s="275" t="s">
        <v>64</v>
      </c>
      <c r="R26" s="131" t="s">
        <v>2201</v>
      </c>
      <c r="S26" s="131"/>
      <c r="T26" s="276"/>
      <c r="U26" s="277"/>
      <c r="V26" s="277"/>
      <c r="W26" s="277"/>
      <c r="X26" s="277"/>
      <c r="Y26" s="277"/>
      <c r="Z26" t="e">
        <f>VLOOKUP(A26,#REF!,9,FALSE)</f>
        <v>#REF!</v>
      </c>
    </row>
    <row r="27" spans="1:26" ht="15.75" thickBot="1">
      <c r="A27" s="275" t="s">
        <v>1036</v>
      </c>
      <c r="B27" s="102" t="s">
        <v>50</v>
      </c>
      <c r="C27" s="215">
        <v>45772</v>
      </c>
      <c r="D27" s="282"/>
      <c r="E27" s="269" t="s">
        <v>2164</v>
      </c>
      <c r="F27" s="282"/>
      <c r="G27" s="283" t="s">
        <v>2162</v>
      </c>
      <c r="H27" s="230"/>
      <c r="I27" s="230"/>
      <c r="J27" s="45"/>
      <c r="K27" s="204"/>
      <c r="L27" s="204"/>
      <c r="M27" s="204"/>
      <c r="N27" s="284"/>
      <c r="O27" s="285"/>
      <c r="P27" s="274" t="s">
        <v>2176</v>
      </c>
      <c r="Q27" s="275" t="s">
        <v>64</v>
      </c>
      <c r="R27" s="131" t="s">
        <v>2201</v>
      </c>
      <c r="S27" s="131"/>
      <c r="T27" s="276"/>
      <c r="U27" s="277"/>
      <c r="V27" s="277"/>
      <c r="W27" s="277"/>
      <c r="X27" s="277"/>
      <c r="Y27" s="277"/>
      <c r="Z27" t="e">
        <f>VLOOKUP(A27,#REF!,9,FALSE)</f>
        <v>#REF!</v>
      </c>
    </row>
    <row r="28" spans="1:26" ht="70.150000000000006" customHeight="1" thickBot="1">
      <c r="A28" s="225" t="s">
        <v>2178</v>
      </c>
      <c r="B28" s="232"/>
      <c r="C28" s="231"/>
      <c r="D28" s="282"/>
      <c r="E28" s="269" t="s">
        <v>2164</v>
      </c>
      <c r="F28" s="282"/>
      <c r="G28" s="283" t="s">
        <v>2162</v>
      </c>
      <c r="H28" s="230"/>
      <c r="I28" s="230"/>
      <c r="J28" s="230"/>
      <c r="K28" s="229"/>
      <c r="L28" s="229"/>
      <c r="M28" s="229"/>
      <c r="N28" s="284"/>
      <c r="O28" s="285"/>
      <c r="P28" s="274" t="s">
        <v>2176</v>
      </c>
      <c r="Q28" s="225" t="s">
        <v>64</v>
      </c>
      <c r="R28" s="131" t="s">
        <v>2201</v>
      </c>
      <c r="S28" s="228"/>
      <c r="T28" s="227"/>
      <c r="U28" s="226"/>
      <c r="V28" s="226"/>
      <c r="W28" s="226"/>
      <c r="X28" s="226"/>
      <c r="Y28" s="288" t="s">
        <v>2208</v>
      </c>
      <c r="Z28" t="e">
        <f>VLOOKUP(A28,#REF!,9,FALSE)</f>
        <v>#REF!</v>
      </c>
    </row>
    <row r="29" spans="1:26" s="214" customFormat="1" ht="69.599999999999994" customHeight="1" thickBot="1">
      <c r="A29" s="225" t="s">
        <v>2181</v>
      </c>
      <c r="B29" s="232" t="e">
        <v>#N/A</v>
      </c>
      <c r="C29" s="231" t="e">
        <v>#N/A</v>
      </c>
      <c r="D29" s="282"/>
      <c r="E29" s="269" t="s">
        <v>2164</v>
      </c>
      <c r="F29" s="282"/>
      <c r="G29" s="283" t="s">
        <v>2162</v>
      </c>
      <c r="H29" s="230"/>
      <c r="I29" s="230"/>
      <c r="J29" s="230"/>
      <c r="K29" s="229"/>
      <c r="L29" s="229"/>
      <c r="M29" s="229"/>
      <c r="N29" s="284"/>
      <c r="O29" s="285"/>
      <c r="P29" s="274"/>
      <c r="Q29" s="220" t="s">
        <v>64</v>
      </c>
      <c r="R29" s="131" t="s">
        <v>2201</v>
      </c>
      <c r="S29" s="228"/>
      <c r="T29" s="227"/>
      <c r="U29" s="226"/>
      <c r="V29" s="226"/>
      <c r="W29" s="226"/>
      <c r="X29" s="226"/>
      <c r="Y29" s="226" t="s">
        <v>2208</v>
      </c>
      <c r="Z29" t="e">
        <f>VLOOKUP(A29,#REF!,9,FALSE)</f>
        <v>#REF!</v>
      </c>
    </row>
    <row r="30" spans="1:26" ht="15.75" thickBot="1">
      <c r="A30" s="275" t="s">
        <v>896</v>
      </c>
      <c r="B30" s="102" t="s">
        <v>50</v>
      </c>
      <c r="C30" s="215">
        <v>45772</v>
      </c>
      <c r="D30" s="282"/>
      <c r="E30" s="269" t="s">
        <v>2164</v>
      </c>
      <c r="F30" s="282"/>
      <c r="G30" s="283" t="s">
        <v>2183</v>
      </c>
      <c r="H30" s="230"/>
      <c r="I30" s="230"/>
      <c r="J30" s="45"/>
      <c r="K30" s="204"/>
      <c r="L30" s="204"/>
      <c r="M30" s="204"/>
      <c r="N30" s="284"/>
      <c r="O30" s="285"/>
      <c r="P30" s="274"/>
      <c r="Q30" s="275" t="s">
        <v>2183</v>
      </c>
      <c r="R30" s="131" t="s">
        <v>2201</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2164</v>
      </c>
      <c r="F31" s="289"/>
      <c r="G31" s="290" t="s">
        <v>2183</v>
      </c>
      <c r="H31" s="222"/>
      <c r="I31" s="222"/>
      <c r="J31" s="236"/>
      <c r="K31" s="237"/>
      <c r="L31" s="237"/>
      <c r="M31" s="237"/>
      <c r="N31" s="222"/>
      <c r="O31" s="291"/>
      <c r="P31" s="274"/>
      <c r="Q31" s="233" t="s">
        <v>2183</v>
      </c>
      <c r="R31" s="131" t="s">
        <v>2201</v>
      </c>
      <c r="S31" s="238"/>
      <c r="T31" s="239"/>
      <c r="U31" s="240"/>
      <c r="V31" s="240"/>
      <c r="W31" s="240"/>
      <c r="X31" s="240"/>
      <c r="Y31" s="240" t="s">
        <v>2209</v>
      </c>
      <c r="Z31" t="e">
        <f>VLOOKUP(A31,#REF!,9,FALSE)</f>
        <v>#REF!</v>
      </c>
    </row>
    <row r="32" spans="1:26" ht="15.75" thickBot="1">
      <c r="A32" s="275" t="s">
        <v>900</v>
      </c>
      <c r="B32" s="102" t="s">
        <v>50</v>
      </c>
      <c r="C32" s="215">
        <v>45772</v>
      </c>
      <c r="D32" s="282"/>
      <c r="E32" s="269" t="s">
        <v>2164</v>
      </c>
      <c r="F32" s="282"/>
      <c r="G32" s="283" t="s">
        <v>2183</v>
      </c>
      <c r="H32" s="230"/>
      <c r="I32" s="230"/>
      <c r="J32" s="45"/>
      <c r="K32" s="204"/>
      <c r="L32" s="204"/>
      <c r="M32" s="204"/>
      <c r="N32" s="284"/>
      <c r="O32" s="285"/>
      <c r="P32" s="274"/>
      <c r="Q32" s="275" t="s">
        <v>2183</v>
      </c>
      <c r="R32" s="131" t="s">
        <v>2201</v>
      </c>
      <c r="S32" s="131"/>
      <c r="T32" s="276"/>
      <c r="U32" s="277"/>
      <c r="V32" s="277"/>
      <c r="W32" s="277"/>
      <c r="X32" s="277"/>
      <c r="Y32" s="277"/>
      <c r="Z32" t="e">
        <f>VLOOKUP(A32,#REF!,9,FALSE)</f>
        <v>#REF!</v>
      </c>
    </row>
    <row r="33" spans="1:26" ht="15.75" thickBot="1">
      <c r="A33" s="275" t="s">
        <v>888</v>
      </c>
      <c r="B33" s="102" t="s">
        <v>50</v>
      </c>
      <c r="C33" s="215">
        <v>45831</v>
      </c>
      <c r="D33" s="282"/>
      <c r="E33" s="269" t="s">
        <v>2164</v>
      </c>
      <c r="F33" s="282"/>
      <c r="G33" s="283" t="s">
        <v>2162</v>
      </c>
      <c r="H33" s="230"/>
      <c r="I33" s="230"/>
      <c r="J33" s="45"/>
      <c r="K33" s="204"/>
      <c r="L33" s="204"/>
      <c r="M33" s="204"/>
      <c r="N33" s="284"/>
      <c r="O33" s="285"/>
      <c r="P33" s="274"/>
      <c r="Q33" s="225" t="s">
        <v>64</v>
      </c>
      <c r="R33" s="131" t="s">
        <v>2201</v>
      </c>
      <c r="S33" s="131"/>
      <c r="T33" s="276"/>
      <c r="U33" s="277"/>
      <c r="V33" s="277"/>
      <c r="W33" s="277"/>
      <c r="X33" s="277"/>
      <c r="Y33" s="277"/>
      <c r="Z33" t="e">
        <f>VLOOKUP(A33,#REF!,9,FALSE)</f>
        <v>#REF!</v>
      </c>
    </row>
    <row r="34" spans="1:26" ht="15.75" thickBot="1">
      <c r="A34" s="275" t="s">
        <v>882</v>
      </c>
      <c r="B34" s="102" t="s">
        <v>50</v>
      </c>
      <c r="C34" s="215">
        <v>45831</v>
      </c>
      <c r="D34" s="282"/>
      <c r="E34" s="269" t="s">
        <v>2164</v>
      </c>
      <c r="F34" s="282"/>
      <c r="G34" s="283" t="s">
        <v>2162</v>
      </c>
      <c r="H34" s="230"/>
      <c r="I34" s="230"/>
      <c r="J34" s="45"/>
      <c r="K34" s="204"/>
      <c r="L34" s="204"/>
      <c r="M34" s="204"/>
      <c r="N34" s="284"/>
      <c r="O34" s="285"/>
      <c r="P34" s="274"/>
      <c r="Q34" s="275" t="s">
        <v>64</v>
      </c>
      <c r="R34" s="131" t="s">
        <v>2201</v>
      </c>
      <c r="S34" s="131"/>
      <c r="T34" s="276"/>
      <c r="U34" s="277"/>
      <c r="V34" s="277"/>
      <c r="W34" s="277"/>
      <c r="X34" s="277"/>
      <c r="Y34" s="277"/>
      <c r="Z34" t="e">
        <f>VLOOKUP(A34,#REF!,9,FALSE)</f>
        <v>#REF!</v>
      </c>
    </row>
    <row r="35" spans="1:26" ht="15.75" thickBot="1">
      <c r="A35" s="275" t="s">
        <v>884</v>
      </c>
      <c r="B35" s="102" t="s">
        <v>50</v>
      </c>
      <c r="C35" s="215">
        <v>45831</v>
      </c>
      <c r="D35" s="282"/>
      <c r="E35" s="269" t="s">
        <v>2164</v>
      </c>
      <c r="F35" s="282"/>
      <c r="G35" s="283" t="s">
        <v>2162</v>
      </c>
      <c r="H35" s="230"/>
      <c r="I35" s="230"/>
      <c r="J35" s="45"/>
      <c r="K35" s="204"/>
      <c r="L35" s="204"/>
      <c r="M35" s="204"/>
      <c r="N35" s="284"/>
      <c r="O35" s="285"/>
      <c r="P35" s="274"/>
      <c r="Q35" s="275" t="s">
        <v>64</v>
      </c>
      <c r="R35" s="131" t="s">
        <v>2201</v>
      </c>
      <c r="S35" s="131"/>
      <c r="T35" s="276"/>
      <c r="U35" s="277"/>
      <c r="V35" s="277"/>
      <c r="W35" s="277"/>
      <c r="X35" s="277"/>
      <c r="Y35" s="277"/>
      <c r="Z35" t="e">
        <f>VLOOKUP(A35,#REF!,9,FALSE)</f>
        <v>#REF!</v>
      </c>
    </row>
    <row r="36" spans="1:26" ht="15.75" thickBot="1">
      <c r="A36" s="275" t="s">
        <v>880</v>
      </c>
      <c r="B36" s="102" t="s">
        <v>50</v>
      </c>
      <c r="C36" s="215">
        <v>45772</v>
      </c>
      <c r="D36" s="282"/>
      <c r="E36" s="269" t="s">
        <v>2164</v>
      </c>
      <c r="F36" s="282"/>
      <c r="G36" s="283" t="s">
        <v>2183</v>
      </c>
      <c r="H36" s="230"/>
      <c r="I36" s="230"/>
      <c r="J36" s="45"/>
      <c r="K36" s="204"/>
      <c r="L36" s="204"/>
      <c r="M36" s="204"/>
      <c r="N36" s="284"/>
      <c r="O36" s="285"/>
      <c r="P36" s="274"/>
      <c r="Q36" s="275" t="s">
        <v>2183</v>
      </c>
      <c r="R36" s="131" t="s">
        <v>2201</v>
      </c>
      <c r="S36" s="131"/>
      <c r="T36" s="276"/>
      <c r="U36" s="277"/>
      <c r="V36" s="277"/>
      <c r="W36" s="277"/>
      <c r="X36" s="277"/>
      <c r="Y36" s="277"/>
      <c r="Z36" t="e">
        <f>VLOOKUP(A36,#REF!,9,FALSE)</f>
        <v>#REF!</v>
      </c>
    </row>
    <row r="37" spans="1:26" ht="15.75" thickBot="1">
      <c r="A37" s="275" t="s">
        <v>890</v>
      </c>
      <c r="B37" s="102" t="s">
        <v>50</v>
      </c>
      <c r="C37" s="215">
        <v>45831</v>
      </c>
      <c r="D37" s="282"/>
      <c r="E37" s="269" t="s">
        <v>2164</v>
      </c>
      <c r="F37" s="282"/>
      <c r="G37" s="283" t="s">
        <v>2162</v>
      </c>
      <c r="H37" s="230"/>
      <c r="I37" s="230"/>
      <c r="J37" s="45"/>
      <c r="K37" s="204"/>
      <c r="L37" s="204"/>
      <c r="M37" s="204"/>
      <c r="N37" s="284"/>
      <c r="O37" s="285"/>
      <c r="P37" s="274"/>
      <c r="Q37" s="275" t="s">
        <v>64</v>
      </c>
      <c r="R37" s="131" t="s">
        <v>2201</v>
      </c>
      <c r="S37" s="131"/>
      <c r="T37" s="276"/>
      <c r="U37" s="277"/>
      <c r="V37" s="277"/>
      <c r="W37" s="277"/>
      <c r="X37" s="277"/>
      <c r="Y37" s="277"/>
      <c r="Z37" t="e">
        <f>VLOOKUP(A37,#REF!,9,FALSE)</f>
        <v>#REF!</v>
      </c>
    </row>
    <row r="38" spans="1:26" ht="15.75" thickBot="1">
      <c r="A38" s="275" t="s">
        <v>894</v>
      </c>
      <c r="B38" s="102" t="s">
        <v>50</v>
      </c>
      <c r="C38" s="215">
        <v>45831</v>
      </c>
      <c r="D38" s="282"/>
      <c r="E38" s="269" t="s">
        <v>2164</v>
      </c>
      <c r="F38" s="282"/>
      <c r="G38" s="283" t="s">
        <v>2162</v>
      </c>
      <c r="H38" s="230"/>
      <c r="I38" s="230"/>
      <c r="J38" s="45"/>
      <c r="K38" s="204"/>
      <c r="L38" s="204"/>
      <c r="M38" s="204"/>
      <c r="N38" s="284"/>
      <c r="O38" s="285"/>
      <c r="P38" s="274"/>
      <c r="Q38" s="275" t="s">
        <v>64</v>
      </c>
      <c r="R38" s="131" t="s">
        <v>2201</v>
      </c>
      <c r="S38" s="131"/>
      <c r="T38" s="276"/>
      <c r="U38" s="277"/>
      <c r="V38" s="277"/>
      <c r="W38" s="277"/>
      <c r="X38" s="277"/>
      <c r="Y38" s="277"/>
      <c r="Z38" t="e">
        <f>VLOOKUP(A38,#REF!,9,FALSE)</f>
        <v>#REF!</v>
      </c>
    </row>
    <row r="39" spans="1:26" s="216" customFormat="1" ht="70.150000000000006" customHeight="1" thickBot="1">
      <c r="A39" s="220" t="s">
        <v>2184</v>
      </c>
      <c r="B39" s="224" t="e">
        <v>#N/A</v>
      </c>
      <c r="C39" s="223" t="e">
        <v>#N/A</v>
      </c>
      <c r="D39" s="289"/>
      <c r="E39" s="269" t="s">
        <v>2164</v>
      </c>
      <c r="F39" s="289"/>
      <c r="G39" s="290" t="s">
        <v>2183</v>
      </c>
      <c r="H39" s="222"/>
      <c r="I39" s="222"/>
      <c r="J39" s="222"/>
      <c r="K39" s="221"/>
      <c r="L39" s="221"/>
      <c r="M39" s="221"/>
      <c r="N39" s="222"/>
      <c r="O39" s="291"/>
      <c r="P39" s="274"/>
      <c r="Q39" s="220" t="s">
        <v>2183</v>
      </c>
      <c r="R39" s="131" t="s">
        <v>2201</v>
      </c>
      <c r="S39" s="219"/>
      <c r="T39" s="218"/>
      <c r="U39" s="217"/>
      <c r="V39" s="217"/>
      <c r="W39" s="217"/>
      <c r="X39" s="217"/>
      <c r="Y39" s="217" t="s">
        <v>2208</v>
      </c>
      <c r="Z39" t="e">
        <f>VLOOKUP(A39,#REF!,9,FALSE)</f>
        <v>#REF!</v>
      </c>
    </row>
    <row r="40" spans="1:26" ht="15.75" thickBot="1">
      <c r="A40" s="275" t="s">
        <v>898</v>
      </c>
      <c r="B40" s="102" t="s">
        <v>50</v>
      </c>
      <c r="C40" s="215">
        <v>45831</v>
      </c>
      <c r="D40" s="282"/>
      <c r="E40" s="269" t="s">
        <v>2164</v>
      </c>
      <c r="F40" s="282"/>
      <c r="G40" s="283" t="s">
        <v>2162</v>
      </c>
      <c r="H40" s="230"/>
      <c r="I40" s="230"/>
      <c r="J40" s="45"/>
      <c r="K40" s="204"/>
      <c r="L40" s="204"/>
      <c r="M40" s="204"/>
      <c r="N40" s="284"/>
      <c r="O40" s="285"/>
      <c r="P40" s="274"/>
      <c r="Q40" s="275" t="s">
        <v>64</v>
      </c>
      <c r="R40" s="131" t="s">
        <v>2201</v>
      </c>
      <c r="S40" s="131"/>
      <c r="T40" s="276"/>
      <c r="U40" s="277"/>
      <c r="V40" s="277"/>
      <c r="W40" s="277"/>
      <c r="X40" s="277"/>
      <c r="Y40" s="277"/>
      <c r="Z40" t="e">
        <f>VLOOKUP(A40,#REF!,9,FALSE)</f>
        <v>#REF!</v>
      </c>
    </row>
    <row r="41" spans="1:26" ht="15.75" thickBot="1">
      <c r="A41" s="275" t="s">
        <v>88</v>
      </c>
      <c r="B41" s="102" t="s">
        <v>50</v>
      </c>
      <c r="C41" s="215">
        <v>45807</v>
      </c>
      <c r="D41" s="282"/>
      <c r="E41" s="269" t="s">
        <v>2199</v>
      </c>
      <c r="F41" s="282"/>
      <c r="G41" s="283" t="s">
        <v>2162</v>
      </c>
      <c r="H41" s="230"/>
      <c r="I41" s="230"/>
      <c r="J41" s="45"/>
      <c r="K41" s="204"/>
      <c r="L41" s="204"/>
      <c r="M41" s="204"/>
      <c r="N41" s="284"/>
      <c r="O41" s="285"/>
      <c r="P41" s="274" t="s">
        <v>2200</v>
      </c>
      <c r="Q41" s="275" t="s">
        <v>58</v>
      </c>
      <c r="R41" s="131" t="s">
        <v>2201</v>
      </c>
      <c r="S41" s="131"/>
      <c r="T41" s="276"/>
      <c r="U41" s="277"/>
      <c r="V41" s="277"/>
      <c r="W41" s="277"/>
      <c r="X41" s="277"/>
      <c r="Y41" s="277"/>
      <c r="Z41" t="e">
        <f>VLOOKUP(A41,#REF!,9,FALSE)</f>
        <v>#REF!</v>
      </c>
    </row>
    <row r="42" spans="1:26" ht="15.75" thickBot="1">
      <c r="A42" s="275" t="s">
        <v>83</v>
      </c>
      <c r="B42" s="102" t="s">
        <v>50</v>
      </c>
      <c r="C42" s="215">
        <v>45807</v>
      </c>
      <c r="D42" s="282"/>
      <c r="E42" s="269" t="s">
        <v>2199</v>
      </c>
      <c r="F42" s="282"/>
      <c r="G42" s="283" t="s">
        <v>2162</v>
      </c>
      <c r="H42" s="230"/>
      <c r="I42" s="230"/>
      <c r="J42" s="45"/>
      <c r="K42" s="204"/>
      <c r="L42" s="204"/>
      <c r="M42" s="204"/>
      <c r="N42" s="284"/>
      <c r="O42" s="285"/>
      <c r="P42" s="274" t="s">
        <v>2200</v>
      </c>
      <c r="Q42" s="275" t="s">
        <v>64</v>
      </c>
      <c r="R42" s="131" t="s">
        <v>2201</v>
      </c>
      <c r="S42" s="131"/>
      <c r="T42" s="276"/>
      <c r="U42" s="277"/>
      <c r="V42" s="277"/>
      <c r="W42" s="277"/>
      <c r="X42" s="277"/>
      <c r="Y42" s="277"/>
      <c r="Z42" t="e">
        <f>VLOOKUP(A42,#REF!,9,FALSE)</f>
        <v>#REF!</v>
      </c>
    </row>
    <row r="43" spans="1:26" ht="15.75" thickBot="1">
      <c r="A43" s="275" t="s">
        <v>519</v>
      </c>
      <c r="B43" s="102" t="s">
        <v>50</v>
      </c>
      <c r="C43" s="215">
        <v>45807</v>
      </c>
      <c r="D43" s="282"/>
      <c r="E43" s="269" t="s">
        <v>2199</v>
      </c>
      <c r="F43" s="282"/>
      <c r="G43" s="283" t="s">
        <v>2162</v>
      </c>
      <c r="H43" s="230"/>
      <c r="I43" s="230"/>
      <c r="J43" s="45"/>
      <c r="K43" s="204"/>
      <c r="L43" s="204"/>
      <c r="M43" s="204"/>
      <c r="N43" s="284"/>
      <c r="O43" s="285"/>
      <c r="P43" s="274" t="s">
        <v>2200</v>
      </c>
      <c r="Q43" s="275" t="s">
        <v>58</v>
      </c>
      <c r="R43" s="131" t="s">
        <v>2201</v>
      </c>
      <c r="S43" s="131"/>
      <c r="T43" s="276"/>
      <c r="U43" s="277"/>
      <c r="V43" s="277"/>
      <c r="W43" s="277"/>
      <c r="X43" s="277"/>
      <c r="Y43" s="277"/>
      <c r="Z43" t="e">
        <f>VLOOKUP(A43,#REF!,9,FALSE)</f>
        <v>#REF!</v>
      </c>
    </row>
    <row r="44" spans="1:26" ht="15.75" thickBot="1">
      <c r="A44" s="275" t="s">
        <v>80</v>
      </c>
      <c r="B44" s="102" t="s">
        <v>50</v>
      </c>
      <c r="C44" s="215">
        <v>45807</v>
      </c>
      <c r="D44" s="282"/>
      <c r="E44" s="269" t="s">
        <v>2199</v>
      </c>
      <c r="F44" s="282"/>
      <c r="G44" s="283" t="s">
        <v>2162</v>
      </c>
      <c r="H44" s="230"/>
      <c r="I44" s="230"/>
      <c r="J44" s="45"/>
      <c r="K44" s="204"/>
      <c r="L44" s="204"/>
      <c r="M44" s="204"/>
      <c r="N44" s="284"/>
      <c r="O44" s="285"/>
      <c r="P44" s="274" t="s">
        <v>2170</v>
      </c>
      <c r="Q44" s="275" t="s">
        <v>64</v>
      </c>
      <c r="R44" s="131" t="s">
        <v>2201</v>
      </c>
      <c r="S44" s="131"/>
      <c r="T44" s="276"/>
      <c r="U44" s="277"/>
      <c r="V44" s="277"/>
      <c r="W44" s="277"/>
      <c r="X44" s="277"/>
      <c r="Y44" s="277"/>
      <c r="Z44" t="e">
        <f>VLOOKUP(A44,#REF!,9,FALSE)</f>
        <v>#REF!</v>
      </c>
    </row>
    <row r="45" spans="1:26" ht="15.75" thickBot="1">
      <c r="A45" s="335" t="s">
        <v>667</v>
      </c>
      <c r="B45" s="102" t="s">
        <v>50</v>
      </c>
      <c r="C45" s="215">
        <v>45807</v>
      </c>
      <c r="D45" s="282"/>
      <c r="E45" s="269" t="s">
        <v>2164</v>
      </c>
      <c r="F45" s="282"/>
      <c r="G45" s="283" t="s">
        <v>2162</v>
      </c>
      <c r="H45" s="230"/>
      <c r="I45" s="230"/>
      <c r="J45" s="45"/>
      <c r="K45" s="204"/>
      <c r="L45" s="204"/>
      <c r="M45" s="204"/>
      <c r="N45" s="284"/>
      <c r="O45" s="285"/>
      <c r="P45" s="274"/>
      <c r="Q45" s="275" t="s">
        <v>58</v>
      </c>
      <c r="R45" s="131" t="s">
        <v>2201</v>
      </c>
      <c r="S45" s="131"/>
      <c r="T45" s="276"/>
      <c r="U45" s="277"/>
      <c r="V45" s="277"/>
      <c r="W45" s="277"/>
      <c r="X45" s="277"/>
      <c r="Y45" s="277"/>
      <c r="Z45" t="e">
        <f>VLOOKUP(A45,#REF!,9,FALSE)</f>
        <v>#REF!</v>
      </c>
    </row>
    <row r="46" spans="1:26" ht="15.75" thickBot="1">
      <c r="A46" s="292" t="s">
        <v>669</v>
      </c>
      <c r="B46" s="102" t="s">
        <v>50</v>
      </c>
      <c r="C46" s="215">
        <v>45807</v>
      </c>
      <c r="D46" s="282"/>
      <c r="E46" s="269" t="s">
        <v>2164</v>
      </c>
      <c r="F46" s="282"/>
      <c r="G46" s="290" t="s">
        <v>2162</v>
      </c>
      <c r="H46" s="230"/>
      <c r="I46" s="230"/>
      <c r="J46" s="45"/>
      <c r="K46" s="204"/>
      <c r="L46" s="204"/>
      <c r="M46" s="204"/>
      <c r="N46" s="284"/>
      <c r="O46" s="285"/>
      <c r="P46" s="274"/>
      <c r="Q46" s="275" t="s">
        <v>58</v>
      </c>
      <c r="R46" s="131" t="s">
        <v>2201</v>
      </c>
      <c r="S46" s="131"/>
      <c r="T46" s="276"/>
      <c r="U46" s="277"/>
      <c r="V46" s="277"/>
      <c r="W46" s="277"/>
      <c r="X46" s="277"/>
      <c r="Y46" s="277"/>
      <c r="Z46" t="e">
        <f>VLOOKUP(A46,#REF!,9,FALSE)</f>
        <v>#REF!</v>
      </c>
    </row>
    <row r="47" spans="1:26" ht="15.75" thickBot="1">
      <c r="A47" s="293" t="s">
        <v>174</v>
      </c>
      <c r="B47" s="102" t="s">
        <v>50</v>
      </c>
      <c r="C47" s="215">
        <v>45807</v>
      </c>
      <c r="D47" s="282"/>
      <c r="E47" s="269" t="s">
        <v>2164</v>
      </c>
      <c r="F47" s="282"/>
      <c r="G47" s="283" t="s">
        <v>2162</v>
      </c>
      <c r="H47" s="230"/>
      <c r="I47" s="230"/>
      <c r="J47" s="45"/>
      <c r="K47" s="204"/>
      <c r="L47" s="204"/>
      <c r="M47" s="204"/>
      <c r="N47" s="284"/>
      <c r="O47" s="285"/>
      <c r="P47" s="274" t="s">
        <v>2173</v>
      </c>
      <c r="Q47" s="275" t="s">
        <v>58</v>
      </c>
      <c r="R47" s="131" t="s">
        <v>2204</v>
      </c>
      <c r="S47" s="131"/>
      <c r="T47" s="276"/>
      <c r="U47" s="277"/>
      <c r="V47" s="277"/>
      <c r="W47" s="277"/>
      <c r="X47" s="277"/>
      <c r="Y47" s="277"/>
      <c r="Z47" t="e">
        <f>VLOOKUP(A47,#REF!,9,FALSE)</f>
        <v>#REF!</v>
      </c>
    </row>
    <row r="48" spans="1:26" ht="15.75" thickBot="1">
      <c r="A48" s="292" t="s">
        <v>718</v>
      </c>
      <c r="B48" s="102" t="s">
        <v>50</v>
      </c>
      <c r="C48" s="215">
        <v>45807</v>
      </c>
      <c r="D48" s="282"/>
      <c r="E48" s="269" t="s">
        <v>2164</v>
      </c>
      <c r="F48" s="282"/>
      <c r="G48" s="290" t="s">
        <v>2183</v>
      </c>
      <c r="H48" s="230"/>
      <c r="I48" s="230"/>
      <c r="J48" s="45"/>
      <c r="K48" s="204"/>
      <c r="L48" s="204"/>
      <c r="M48" s="204"/>
      <c r="N48" s="284"/>
      <c r="O48" s="285"/>
      <c r="P48" s="274" t="s">
        <v>2210</v>
      </c>
      <c r="Q48" s="275" t="s">
        <v>2183</v>
      </c>
      <c r="R48" s="131" t="s">
        <v>2201</v>
      </c>
      <c r="S48" s="131"/>
      <c r="T48" s="276"/>
      <c r="U48" s="277"/>
      <c r="V48" s="277"/>
      <c r="W48" s="277"/>
      <c r="X48" s="277"/>
      <c r="Y48" s="277"/>
      <c r="Z48" t="e">
        <f>VLOOKUP(A48,#REF!,9,FALSE)</f>
        <v>#REF!</v>
      </c>
    </row>
    <row r="49" spans="1:26" ht="15.75" thickBot="1">
      <c r="A49" s="292" t="s">
        <v>712</v>
      </c>
      <c r="B49" s="102" t="s">
        <v>109</v>
      </c>
      <c r="C49" s="215">
        <v>45772</v>
      </c>
      <c r="D49" s="282"/>
      <c r="E49" s="269" t="s">
        <v>2164</v>
      </c>
      <c r="F49" s="282"/>
      <c r="G49" s="290" t="s">
        <v>2183</v>
      </c>
      <c r="H49" s="230"/>
      <c r="I49" s="230"/>
      <c r="J49" s="45"/>
      <c r="K49" s="204"/>
      <c r="L49" s="204"/>
      <c r="M49" s="204"/>
      <c r="N49" s="284"/>
      <c r="O49" s="285"/>
      <c r="P49" s="274" t="s">
        <v>2210</v>
      </c>
      <c r="Q49" s="275" t="s">
        <v>2183</v>
      </c>
      <c r="R49" s="131" t="s">
        <v>2201</v>
      </c>
      <c r="S49" s="131"/>
      <c r="T49" s="276"/>
      <c r="U49" s="277"/>
      <c r="V49" s="277"/>
      <c r="W49" s="277"/>
      <c r="X49" s="277"/>
      <c r="Y49" s="277"/>
      <c r="Z49" t="e">
        <f>VLOOKUP(A49,#REF!,9,FALSE)</f>
        <v>#REF!</v>
      </c>
    </row>
    <row r="50" spans="1:26" ht="15.75" thickBot="1">
      <c r="A50" s="292" t="s">
        <v>710</v>
      </c>
      <c r="B50" s="102" t="s">
        <v>109</v>
      </c>
      <c r="C50" s="215">
        <v>45772</v>
      </c>
      <c r="D50" s="282"/>
      <c r="E50" s="269" t="s">
        <v>2164</v>
      </c>
      <c r="F50" s="282"/>
      <c r="G50" s="290" t="s">
        <v>2183</v>
      </c>
      <c r="H50" s="230"/>
      <c r="I50" s="230"/>
      <c r="J50" s="45"/>
      <c r="K50" s="204"/>
      <c r="L50" s="204"/>
      <c r="M50" s="204"/>
      <c r="N50" s="284"/>
      <c r="O50" s="285"/>
      <c r="P50" s="274" t="s">
        <v>2210</v>
      </c>
      <c r="Q50" s="275" t="s">
        <v>2183</v>
      </c>
      <c r="R50" s="131" t="s">
        <v>2201</v>
      </c>
      <c r="S50" s="131"/>
      <c r="T50" s="276"/>
      <c r="U50" s="277"/>
      <c r="V50" s="277"/>
      <c r="W50" s="277"/>
      <c r="X50" s="277"/>
      <c r="Y50" s="277"/>
      <c r="Z50" t="e">
        <f>VLOOKUP(A50,#REF!,9,FALSE)</f>
        <v>#REF!</v>
      </c>
    </row>
    <row r="51" spans="1:26" ht="15.75" thickBot="1">
      <c r="A51" s="292" t="s">
        <v>716</v>
      </c>
      <c r="B51" s="102" t="e">
        <v>#N/A</v>
      </c>
      <c r="C51" s="215" t="e">
        <v>#N/A</v>
      </c>
      <c r="D51" s="282"/>
      <c r="E51" s="269" t="s">
        <v>2164</v>
      </c>
      <c r="F51" s="282"/>
      <c r="G51" s="290" t="s">
        <v>2183</v>
      </c>
      <c r="H51" s="230"/>
      <c r="I51" s="230"/>
      <c r="J51" s="45"/>
      <c r="K51" s="204"/>
      <c r="L51" s="204"/>
      <c r="M51" s="204"/>
      <c r="N51" s="284"/>
      <c r="O51" s="285"/>
      <c r="P51" s="274" t="s">
        <v>2210</v>
      </c>
      <c r="Q51" s="275" t="s">
        <v>2183</v>
      </c>
      <c r="R51" s="131" t="s">
        <v>2201</v>
      </c>
      <c r="S51" s="131"/>
      <c r="T51" s="276"/>
      <c r="U51" s="277"/>
      <c r="V51" s="277"/>
      <c r="W51" s="277"/>
      <c r="X51" s="277"/>
      <c r="Y51" s="277"/>
      <c r="Z51" t="e">
        <f>VLOOKUP(A51,#REF!,9,FALSE)</f>
        <v>#REF!</v>
      </c>
    </row>
    <row r="52" spans="1:26" ht="13.9" customHeight="1" thickBot="1">
      <c r="A52" s="292" t="s">
        <v>692</v>
      </c>
      <c r="B52" s="102" t="s">
        <v>109</v>
      </c>
      <c r="C52" s="215">
        <v>45925</v>
      </c>
      <c r="D52" s="282"/>
      <c r="E52" s="269" t="s">
        <v>2199</v>
      </c>
      <c r="F52" s="282"/>
      <c r="G52" s="283" t="s">
        <v>2162</v>
      </c>
      <c r="H52" s="230"/>
      <c r="I52" s="230"/>
      <c r="J52" s="45"/>
      <c r="K52" s="204"/>
      <c r="L52" s="204"/>
      <c r="M52" s="204"/>
      <c r="N52" s="284"/>
      <c r="O52" s="285"/>
      <c r="P52" s="274" t="s">
        <v>2200</v>
      </c>
      <c r="Q52" s="275" t="s">
        <v>64</v>
      </c>
      <c r="R52" s="131" t="s">
        <v>2201</v>
      </c>
      <c r="S52" s="131"/>
      <c r="T52" s="276"/>
      <c r="U52" s="277"/>
      <c r="V52" s="277"/>
      <c r="W52" s="277"/>
      <c r="X52" s="277"/>
      <c r="Y52" s="277"/>
      <c r="Z52" t="e">
        <f>VLOOKUP(A52,#REF!,9,FALSE)</f>
        <v>#REF!</v>
      </c>
    </row>
    <row r="53" spans="1:26" ht="15.75" thickBot="1">
      <c r="A53" s="292" t="s">
        <v>694</v>
      </c>
      <c r="B53" s="102" t="s">
        <v>109</v>
      </c>
      <c r="C53" s="215">
        <v>45925</v>
      </c>
      <c r="D53" s="282"/>
      <c r="E53" s="269" t="s">
        <v>2199</v>
      </c>
      <c r="F53" s="282"/>
      <c r="G53" s="283" t="s">
        <v>2162</v>
      </c>
      <c r="H53" s="230"/>
      <c r="I53" s="230"/>
      <c r="J53" s="45"/>
      <c r="K53" s="204"/>
      <c r="L53" s="204"/>
      <c r="M53" s="204"/>
      <c r="N53" s="284"/>
      <c r="O53" s="285"/>
      <c r="P53" s="274" t="s">
        <v>2200</v>
      </c>
      <c r="Q53" s="275" t="s">
        <v>64</v>
      </c>
      <c r="R53" s="131" t="s">
        <v>2201</v>
      </c>
      <c r="S53" s="131"/>
      <c r="T53" s="276"/>
      <c r="U53" s="277"/>
      <c r="V53" s="277"/>
      <c r="W53" s="277"/>
      <c r="X53" s="277"/>
      <c r="Y53" s="277"/>
      <c r="Z53" t="e">
        <f>VLOOKUP(A53,#REF!,9,FALSE)</f>
        <v>#REF!</v>
      </c>
    </row>
    <row r="54" spans="1:26" ht="15.75" thickBot="1">
      <c r="A54" s="292" t="s">
        <v>690</v>
      </c>
      <c r="B54" s="102" t="s">
        <v>109</v>
      </c>
      <c r="C54" s="215">
        <v>45925</v>
      </c>
      <c r="D54" s="282"/>
      <c r="E54" s="269" t="s">
        <v>2199</v>
      </c>
      <c r="F54" s="282"/>
      <c r="G54" s="283" t="s">
        <v>2162</v>
      </c>
      <c r="H54" s="230"/>
      <c r="I54" s="230"/>
      <c r="J54" s="45"/>
      <c r="K54" s="204"/>
      <c r="L54" s="204"/>
      <c r="M54" s="204"/>
      <c r="N54" s="284"/>
      <c r="O54" s="285"/>
      <c r="P54" s="274" t="s">
        <v>2200</v>
      </c>
      <c r="Q54" s="275" t="s">
        <v>64</v>
      </c>
      <c r="R54" s="131" t="s">
        <v>2201</v>
      </c>
      <c r="S54" s="131"/>
      <c r="T54" s="276"/>
      <c r="U54" s="277"/>
      <c r="V54" s="277"/>
      <c r="W54" s="277"/>
      <c r="X54" s="277"/>
      <c r="Y54" s="277"/>
      <c r="Z54" t="e">
        <f>VLOOKUP(A54,#REF!,9,FALSE)</f>
        <v>#REF!</v>
      </c>
    </row>
    <row r="55" spans="1:26" ht="15.75" thickBot="1">
      <c r="A55" s="292" t="s">
        <v>748</v>
      </c>
      <c r="B55" s="102" t="s">
        <v>109</v>
      </c>
      <c r="C55" s="215">
        <v>45862</v>
      </c>
      <c r="D55" s="282"/>
      <c r="E55" s="269" t="s">
        <v>2199</v>
      </c>
      <c r="F55" s="282"/>
      <c r="G55" s="283" t="s">
        <v>2162</v>
      </c>
      <c r="H55" s="230"/>
      <c r="I55" s="230"/>
      <c r="J55" s="45"/>
      <c r="K55" s="204"/>
      <c r="L55" s="204"/>
      <c r="M55" s="204"/>
      <c r="N55" s="284"/>
      <c r="O55" s="285"/>
      <c r="P55" s="274" t="s">
        <v>2173</v>
      </c>
      <c r="Q55" s="275" t="s">
        <v>58</v>
      </c>
      <c r="R55" s="131" t="s">
        <v>2204</v>
      </c>
      <c r="S55" s="131"/>
      <c r="T55" s="276"/>
      <c r="U55" s="277"/>
      <c r="V55" s="277"/>
      <c r="W55" s="277"/>
      <c r="X55" s="277"/>
      <c r="Y55" s="277"/>
      <c r="Z55" t="e">
        <f>VLOOKUP(A55,#REF!,9,FALSE)</f>
        <v>#REF!</v>
      </c>
    </row>
    <row r="56" spans="1:26" ht="15.75" thickBot="1">
      <c r="A56" s="292" t="s">
        <v>126</v>
      </c>
      <c r="B56" s="102"/>
      <c r="C56" s="215" t="e">
        <v>#N/A</v>
      </c>
      <c r="D56" s="282"/>
      <c r="E56" s="269" t="s">
        <v>2199</v>
      </c>
      <c r="F56" s="282"/>
      <c r="G56" s="283" t="s">
        <v>2162</v>
      </c>
      <c r="H56" s="230"/>
      <c r="I56" s="230"/>
      <c r="J56" s="45"/>
      <c r="K56" s="204"/>
      <c r="L56" s="204"/>
      <c r="M56" s="204"/>
      <c r="N56" s="284"/>
      <c r="O56" s="285"/>
      <c r="P56" s="274" t="s">
        <v>2211</v>
      </c>
      <c r="Q56" s="275" t="s">
        <v>58</v>
      </c>
      <c r="R56" s="131" t="s">
        <v>2204</v>
      </c>
      <c r="S56" s="131"/>
      <c r="T56" s="276"/>
      <c r="U56" s="277"/>
      <c r="V56" s="277"/>
      <c r="W56" s="277"/>
      <c r="X56" s="277"/>
      <c r="Y56" s="277"/>
      <c r="Z56" t="e">
        <f>VLOOKUP(A56,#REF!,9,FALSE)</f>
        <v>#REF!</v>
      </c>
    </row>
    <row r="57" spans="1:26" ht="15.75" thickBot="1">
      <c r="A57" s="162" t="s">
        <v>2212</v>
      </c>
      <c r="B57" s="102" t="s">
        <v>109</v>
      </c>
      <c r="C57" s="294">
        <v>45787</v>
      </c>
      <c r="D57" s="282"/>
      <c r="E57" s="269" t="s">
        <v>2199</v>
      </c>
      <c r="F57" s="282"/>
      <c r="G57" s="283" t="s">
        <v>2162</v>
      </c>
      <c r="H57" s="230"/>
      <c r="I57" s="230"/>
      <c r="J57" s="45"/>
      <c r="K57" s="204"/>
      <c r="L57" s="204"/>
      <c r="M57" s="204"/>
      <c r="N57" s="284"/>
      <c r="O57" s="285"/>
      <c r="P57" s="274" t="s">
        <v>2173</v>
      </c>
      <c r="Q57" s="275" t="s">
        <v>2213</v>
      </c>
      <c r="R57" s="131" t="s">
        <v>2204</v>
      </c>
      <c r="S57" s="131"/>
      <c r="T57" s="276"/>
      <c r="U57" s="277"/>
      <c r="V57" s="277"/>
      <c r="W57" s="277"/>
      <c r="X57" s="277"/>
      <c r="Y57" s="277"/>
      <c r="Z57" t="e">
        <f>VLOOKUP(A57,#REF!,9,FALSE)</f>
        <v>#REF!</v>
      </c>
    </row>
    <row r="58" spans="1:26" ht="15.75" thickBot="1">
      <c r="A58" s="620" t="s">
        <v>690</v>
      </c>
      <c r="B58" s="102" t="s">
        <v>50</v>
      </c>
      <c r="C58" s="296">
        <v>45807</v>
      </c>
      <c r="D58" s="282"/>
      <c r="E58" s="269" t="s">
        <v>2164</v>
      </c>
      <c r="F58" s="282"/>
      <c r="G58" s="283" t="s">
        <v>2162</v>
      </c>
      <c r="H58" s="230"/>
      <c r="I58" s="230"/>
      <c r="J58" s="45"/>
      <c r="K58" s="204"/>
      <c r="L58" s="204"/>
      <c r="M58" s="204"/>
      <c r="N58" s="284"/>
      <c r="O58" s="285"/>
      <c r="P58" s="287"/>
      <c r="Q58" s="275" t="s">
        <v>64</v>
      </c>
      <c r="R58" s="131" t="s">
        <v>2201</v>
      </c>
      <c r="S58" s="131"/>
      <c r="T58" s="276"/>
      <c r="U58" s="277"/>
      <c r="V58" s="277"/>
      <c r="W58" s="277"/>
      <c r="X58" s="277"/>
      <c r="Y58" s="277"/>
    </row>
    <row r="59" spans="1:26" ht="15.75" thickBot="1">
      <c r="A59" s="620" t="s">
        <v>692</v>
      </c>
      <c r="B59" s="102" t="s">
        <v>109</v>
      </c>
      <c r="C59" s="296">
        <v>45772</v>
      </c>
      <c r="D59" s="282"/>
      <c r="E59" s="269" t="s">
        <v>2164</v>
      </c>
      <c r="F59" s="282"/>
      <c r="G59" s="283" t="s">
        <v>2162</v>
      </c>
      <c r="H59" s="230"/>
      <c r="I59" s="230"/>
      <c r="J59" s="45"/>
      <c r="K59" s="204"/>
      <c r="L59" s="204"/>
      <c r="M59" s="204"/>
      <c r="N59" s="284"/>
      <c r="O59" s="285"/>
      <c r="P59" s="287"/>
      <c r="Q59" s="275" t="s">
        <v>64</v>
      </c>
      <c r="R59" s="131" t="s">
        <v>2201</v>
      </c>
      <c r="S59" s="131"/>
      <c r="T59" s="276"/>
      <c r="U59" s="277"/>
      <c r="V59" s="277"/>
      <c r="W59" s="277"/>
      <c r="X59" s="277"/>
      <c r="Y59" s="277"/>
    </row>
    <row r="60" spans="1:26" ht="15.75" thickBot="1">
      <c r="A60" s="621" t="s">
        <v>694</v>
      </c>
      <c r="B60" s="102" t="s">
        <v>109</v>
      </c>
      <c r="C60" s="296">
        <v>45772</v>
      </c>
      <c r="D60" s="282"/>
      <c r="E60" s="269" t="s">
        <v>2164</v>
      </c>
      <c r="F60" s="282"/>
      <c r="G60" s="283" t="s">
        <v>2162</v>
      </c>
      <c r="H60" s="230"/>
      <c r="I60" s="230"/>
      <c r="J60" s="45"/>
      <c r="K60" s="204"/>
      <c r="L60" s="204"/>
      <c r="M60" s="204"/>
      <c r="N60" s="284"/>
      <c r="O60" s="285"/>
      <c r="P60" s="287"/>
      <c r="Q60" s="275" t="s">
        <v>64</v>
      </c>
      <c r="R60" s="131" t="s">
        <v>2201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2193</v>
      </c>
      <c r="B70" s="301">
        <f>SUM(K4:K9)</f>
        <v>0</v>
      </c>
      <c r="C70" s="302" t="e">
        <f>B70/B73</f>
        <v>#DIV/0!</v>
      </c>
    </row>
    <row r="71" spans="1:25">
      <c r="A71" s="300" t="s">
        <v>2149</v>
      </c>
      <c r="B71" s="301">
        <f>SUM(L4:L9)</f>
        <v>0</v>
      </c>
      <c r="C71" s="302" t="e">
        <f>B71/B73</f>
        <v>#DIV/0!</v>
      </c>
    </row>
    <row r="72" spans="1:25">
      <c r="A72" s="300" t="s">
        <v>2194</v>
      </c>
      <c r="B72" s="301">
        <f>SUM(M4:M9)</f>
        <v>0</v>
      </c>
      <c r="C72" s="302" t="e">
        <f>B72/B73</f>
        <v>#DIV/0!</v>
      </c>
    </row>
    <row r="73" spans="1:25">
      <c r="A73" s="300" t="s">
        <v>1087</v>
      </c>
      <c r="B73" s="301">
        <f>SUM(B70:B72)</f>
        <v>0</v>
      </c>
      <c r="C73" s="279"/>
    </row>
    <row r="80" spans="1:25">
      <c r="A80" t="s">
        <v>2214</v>
      </c>
    </row>
    <row r="81" spans="1:1">
      <c r="A81" t="s">
        <v>2215</v>
      </c>
    </row>
    <row r="82" spans="1:1">
      <c r="A82" t="s">
        <v>2200</v>
      </c>
    </row>
    <row r="83" spans="1:1">
      <c r="A83" t="s">
        <v>2216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876CA8B-ED63-4094-82BB-478B9C817B0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2026-01-19T16:17:19Z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