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03" documentId="8_{E14B221E-02E2-46A3-8CEC-C736815F2DD5}" xr6:coauthVersionLast="47" xr6:coauthVersionMax="47" xr10:uidLastSave="{0AE94039-6AA7-4DF9-8F14-797EDAC84AF7}"/>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4097" r:id="rId12"/>
    <pivotCache cacheId="4098" r:id="rId13"/>
    <pivotCache cacheId="4099" r:id="rId14"/>
    <pivotCache cacheId="4100" r:id="rId15"/>
    <pivotCache cacheId="4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<sst xmlns="http://schemas.openxmlformats.org/spreadsheetml/2006/main" count="15030" uniqueCount="1893">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</sst>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M118" activePane="topRight" state="frozen"/>
      <selection pane="topRight" activeCell="N115" sqref="N115:N13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6"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4">
        <v>911</v>
      </c>
      <c r="W55" s="1185">
        <v>974</v>
      </c>
      <c r="X55" s="663">
        <f t="shared" si="3"/>
        <v>-63</v>
      </c>
      <c r="Y55" s="682">
        <f t="shared" si="4"/>
        <v>1.0691547749725576</v>
      </c>
      <c r="Z55" s="493">
        <v>45985</v>
      </c>
      <c r="AA55" s="366">
        <v>1</v>
      </c>
      <c r="AB55" s="366">
        <v>0</v>
      </c>
      <c r="AC55" s="1005">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4"/>
      <c r="V57" s="1183">
        <v>1890</v>
      </c>
      <c r="W57" s="1184"/>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1182">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175">
        <v>6254</v>
      </c>
      <c r="X115" s="1074">
        <f t="shared" ref="X115:X116" si="7">SUM(V115-W115)</f>
        <v>2269</v>
      </c>
      <c r="Y115" s="901">
        <f t="shared" ref="Y115:Y116" si="8">IFERROR($W115/$V115, 0)</f>
        <v>0.73377918573272327</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175">
        <v>3953</v>
      </c>
      <c r="X116" s="1074">
        <f t="shared" si="7"/>
        <v>1874</v>
      </c>
      <c r="Y116" s="901">
        <f t="shared" si="8"/>
        <v>0.67839368457182081</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175">
        <v>2382</v>
      </c>
      <c r="X117" s="486">
        <f t="shared" ref="X117:X135" si="9">SUM(V117-W117)</f>
        <v>3039</v>
      </c>
      <c r="Y117" s="901">
        <f t="shared" ref="Y117:Y135" si="10">IFERROR($W117/$V117, 0)</f>
        <v>0.43940232429441062</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175">
        <v>7874</v>
      </c>
      <c r="X121" s="486">
        <f t="shared" si="9"/>
        <v>168</v>
      </c>
      <c r="Y121" s="901">
        <f t="shared" si="10"/>
        <v>0.97910967421039541</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175">
        <v>6904</v>
      </c>
      <c r="X122" s="486">
        <f t="shared" si="9"/>
        <v>77</v>
      </c>
      <c r="Y122" s="901">
        <f t="shared" si="10"/>
        <v>0.98897006159575995</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175">
        <v>3634</v>
      </c>
      <c r="X123" s="486">
        <f t="shared" si="9"/>
        <v>3376</v>
      </c>
      <c r="Y123" s="901">
        <f t="shared" si="10"/>
        <v>0.51840228245363762</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M15" activePane="topRight" state="frozen"/>
      <selection pane="topRight" activeCell="N33" sqref="N21:N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89" sqref="M89: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11" activePane="bottomLeft" state="frozen"/>
      <selection pane="bottomLeft" activeCell="F2122" sqref="F21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1835</v>
      </c>
      <c r="C1" s="1178"/>
      <c r="D1" s="575"/>
      <c r="E1" s="1178" t="s">
        <v>1836</v>
      </c>
      <c r="F1" s="1178"/>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v>157086</v>
      </c>
      <c r="E4" s="44" t="s">
        <v>1837</v>
      </c>
      <c r="F4" t="s">
        <v>948</v>
      </c>
      <c r="W4" t="s">
        <v>1841</v>
      </c>
      <c r="X4">
        <v>22</v>
      </c>
    </row>
    <row r="5" spans="1:25">
      <c r="B5" t="s">
        <v>71</v>
      </c>
      <c r="C5">
        <v>42670</v>
      </c>
      <c r="E5" t="s">
        <v>948</v>
      </c>
      <c r="F5">
        <v>229798</v>
      </c>
      <c r="K5" s="44" t="s">
        <v>1842</v>
      </c>
      <c r="P5" s="44" t="s">
        <v>1842</v>
      </c>
      <c r="W5" t="s">
        <v>1843</v>
      </c>
      <c r="X5">
        <v>13</v>
      </c>
    </row>
    <row r="6" spans="1:25">
      <c r="B6" t="s">
        <v>104</v>
      </c>
      <c r="C6">
        <v>22387</v>
      </c>
      <c r="K6" s="44" t="s">
        <v>27</v>
      </c>
      <c r="L6" s="44" t="s">
        <v>1844</v>
      </c>
      <c r="M6" t="s">
        <v>948</v>
      </c>
      <c r="P6" s="44" t="s">
        <v>1845</v>
      </c>
      <c r="Q6" s="44" t="s">
        <v>1844</v>
      </c>
      <c r="R6" t="s">
        <v>948</v>
      </c>
    </row>
    <row r="7" spans="1:25">
      <c r="B7" t="s">
        <v>974</v>
      </c>
      <c r="C7">
        <v>238374</v>
      </c>
      <c r="K7" t="s">
        <v>1838</v>
      </c>
      <c r="L7" t="s">
        <v>578</v>
      </c>
      <c r="M7">
        <v>1</v>
      </c>
      <c r="P7" t="s">
        <v>1846</v>
      </c>
      <c r="R7">
        <v>1</v>
      </c>
      <c r="X7" t="s">
        <v>1847</v>
      </c>
      <c r="Y7" t="s">
        <v>1848</v>
      </c>
    </row>
    <row r="8" spans="1:25">
      <c r="B8" t="s">
        <v>51</v>
      </c>
      <c r="C8">
        <v>446</v>
      </c>
      <c r="L8" t="s">
        <v>580</v>
      </c>
      <c r="M8">
        <v>1</v>
      </c>
      <c r="P8" t="s">
        <v>1849</v>
      </c>
      <c r="R8">
        <v>1</v>
      </c>
      <c r="V8" t="s">
        <v>1850</v>
      </c>
      <c r="W8" s="261">
        <v>203521</v>
      </c>
      <c r="X8" s="317">
        <f>X5/X4</f>
        <v>0.59090909090909094</v>
      </c>
      <c r="Y8" s="317">
        <f>W9/W8</f>
        <v>0.31446386367991508</v>
      </c>
    </row>
    <row r="9" spans="1:25">
      <c r="B9" t="s">
        <v>22</v>
      </c>
      <c r="C9">
        <v>0</v>
      </c>
      <c r="L9" t="s">
        <v>1851</v>
      </c>
      <c r="M9">
        <v>1</v>
      </c>
      <c r="P9" t="s">
        <v>1852</v>
      </c>
      <c r="Q9" t="s">
        <v>1851</v>
      </c>
      <c r="R9">
        <v>1</v>
      </c>
      <c r="V9" t="s">
        <v>1853</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1854</v>
      </c>
      <c r="R12">
        <v>1</v>
      </c>
    </row>
    <row r="13" spans="1:25">
      <c r="B13" t="s">
        <v>223</v>
      </c>
      <c r="C13">
        <v>16290</v>
      </c>
      <c r="L13" t="s">
        <v>1855</v>
      </c>
      <c r="M13">
        <v>1</v>
      </c>
      <c r="Q13" t="s">
        <v>898</v>
      </c>
      <c r="R13">
        <v>1</v>
      </c>
    </row>
    <row r="14" spans="1:25">
      <c r="B14" t="s">
        <v>133</v>
      </c>
      <c r="C14">
        <v>7655</v>
      </c>
      <c r="L14" t="s">
        <v>697</v>
      </c>
      <c r="M14">
        <v>1</v>
      </c>
      <c r="P14" t="s">
        <v>1856</v>
      </c>
      <c r="R14">
        <v>5</v>
      </c>
    </row>
    <row r="15" spans="1:25">
      <c r="B15" t="s">
        <v>191</v>
      </c>
      <c r="C15">
        <v>3</v>
      </c>
      <c r="L15" t="s">
        <v>1854</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1857</v>
      </c>
      <c r="M21">
        <v>1</v>
      </c>
    </row>
    <row r="22" spans="2:13">
      <c r="L22" t="s">
        <v>898</v>
      </c>
      <c r="M22">
        <v>1</v>
      </c>
    </row>
    <row r="23" spans="2:13">
      <c r="L23" t="s">
        <v>741</v>
      </c>
      <c r="M23">
        <v>1</v>
      </c>
    </row>
    <row r="24" spans="2:13">
      <c r="L24" t="s">
        <v>759</v>
      </c>
      <c r="M24">
        <v>1</v>
      </c>
    </row>
    <row r="25" spans="2:13">
      <c r="L25" t="s">
        <v>187</v>
      </c>
      <c r="M25">
        <v>1</v>
      </c>
    </row>
    <row r="26" spans="2:13">
      <c r="K26" t="s">
        <v>1858</v>
      </c>
      <c r="M26">
        <v>19</v>
      </c>
    </row>
    <row r="27" spans="2:13">
      <c r="K27" t="s">
        <v>1859</v>
      </c>
      <c r="L27" t="s">
        <v>691</v>
      </c>
      <c r="M27">
        <v>1</v>
      </c>
    </row>
    <row r="28" spans="2:13">
      <c r="L28" t="s">
        <v>693</v>
      </c>
      <c r="M28">
        <v>1</v>
      </c>
    </row>
    <row r="29" spans="2:13">
      <c r="L29" t="s">
        <v>695</v>
      </c>
      <c r="M29">
        <v>1</v>
      </c>
    </row>
    <row r="30" spans="2:13">
      <c r="L30" t="s">
        <v>711</v>
      </c>
      <c r="M30">
        <v>1</v>
      </c>
    </row>
    <row r="31" spans="2:13">
      <c r="L31" t="s">
        <v>713</v>
      </c>
      <c r="M31">
        <v>1</v>
      </c>
    </row>
    <row r="32" spans="2:13">
      <c r="L32" t="s">
        <v>1860</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1861</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FD7185-9929-4304-AEDE-B8FB5E931E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2025-11-26T20:27:36Z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