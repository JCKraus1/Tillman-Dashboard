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2" documentId="8_{E14B221E-02E2-46A3-8CEC-C736815F2DD5}" xr6:coauthVersionLast="47" xr6:coauthVersionMax="47" xr10:uidLastSave="{0B51ED96-5B0D-42C2-9522-36DC0E89C31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2357" r:id="rId12"/>
    <pivotCache cacheId="2361" r:id="rId13"/>
    <pivotCache cacheId="2366" r:id="rId14"/>
    <pivotCache cacheId="2373" r:id="rId15"/>
    <pivotCache cacheId="23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<sst xmlns="http://schemas.openxmlformats.org/spreadsheetml/2006/main" count="16276" uniqueCount="2105">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</sst>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695044560183"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695044907407" createdVersion="8" refreshedVersion="8" minRefreshableVersion="3" recordCount="1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695044907407"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69504513889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695045138891"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m/>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m/>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B41" activePane="topRight" state="frozen"/>
      <selection pane="topRight" activeCell="A53" sqref="A53:XFD53"/>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6">
        <v>1035</v>
      </c>
      <c r="O63" s="1228" t="s">
        <v>57</v>
      </c>
      <c r="P63" s="1241" t="s">
        <v>58</v>
      </c>
      <c r="Q63" s="1377"/>
      <c r="R63" s="1377"/>
      <c r="S63" s="1377"/>
      <c r="T63" s="1377"/>
      <c r="U63" s="1377"/>
      <c r="V63" s="1378">
        <v>0</v>
      </c>
      <c r="W63" s="1375"/>
      <c r="X63" s="1375">
        <f>SUM(V63-W63)</f>
        <v>0</v>
      </c>
      <c r="Y63" s="662">
        <f>IFERROR($W63/$V63, 0)</f>
        <v>0</v>
      </c>
      <c r="Z63" s="1379"/>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0"/>
      <c r="I77" s="829" t="s">
        <v>55</v>
      </c>
      <c r="J77" s="832" t="s">
        <v>63</v>
      </c>
      <c r="K77" s="1374"/>
      <c r="L77" s="1356"/>
      <c r="M77" s="829" t="s">
        <v>57</v>
      </c>
      <c r="N77" s="1376">
        <v>36998.550000000003</v>
      </c>
      <c r="O77" s="829" t="s">
        <v>57</v>
      </c>
      <c r="P77" s="1241" t="s">
        <v>58</v>
      </c>
      <c r="Q77" s="1377"/>
      <c r="R77" s="1377"/>
      <c r="S77" s="1377"/>
      <c r="T77" s="1377"/>
      <c r="U77" s="1377"/>
      <c r="V77" s="1378">
        <v>2944</v>
      </c>
      <c r="W77" s="1375"/>
      <c r="X77" s="1375">
        <f>SUM(V77-W77)</f>
        <v>2944</v>
      </c>
      <c r="Y77" s="662">
        <f>IFERROR($W77/$V77, 0)</f>
        <v>0</v>
      </c>
      <c r="Z77" s="1379"/>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6">
        <v>118710.8</v>
      </c>
      <c r="O86" s="1228" t="s">
        <v>57</v>
      </c>
      <c r="P86" s="1210" t="s">
        <v>58</v>
      </c>
      <c r="Q86" s="1377"/>
      <c r="R86" s="1377"/>
      <c r="S86" s="1377"/>
      <c r="T86" s="1377"/>
      <c r="U86" s="1377"/>
      <c r="V86" s="1378">
        <v>9628</v>
      </c>
      <c r="W86" s="1375"/>
      <c r="X86" s="1375">
        <f>SUM(V86-W86)</f>
        <v>9628</v>
      </c>
      <c r="Y86" s="662">
        <f>IFERROR($W86/$V86, 0)</f>
        <v>0</v>
      </c>
      <c r="Z86" s="1377"/>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4562</v>
      </c>
      <c r="X94" s="1212">
        <f t="shared" si="5"/>
        <v>490</v>
      </c>
      <c r="Y94" s="662">
        <f t="shared" si="6"/>
        <v>0.90300870942201106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1" activePane="topRight" state="frozen"/>
      <selection pane="topRight" activeCell="AC62" sqref="AC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02" activePane="topRight" state="frozen"/>
      <selection pane="topRight" activeCell="T106" sqref="T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I1149" sqref="I11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c r="C1144" s="1373"/>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1245</v>
      </c>
      <c r="C1151" s="1373">
        <v>1245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D2398" sqref="D23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ED06F41-1B96-4C4E-8F5E-AA806CFFD15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2025-12-22T22:03:50Z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