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66" documentId="120_S{26355A1A-C9FF-5539-9B49-32C1F08D0326}" xr6:coauthVersionLast="47" xr6:coauthVersionMax="47" xr10:uidLastSave="{16DDCF76-D81E-4ED2-919C-1505796FB309}"/>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3949" r:id="rId10"/>
    <pivotCache cacheId="3952" r:id="rId11"/>
    <pivotCache cacheId="3955" r:id="rId12"/>
    <pivotCache cacheId="3958" r:id="rId13"/>
    <pivotCache cacheId="39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<sst xmlns="http://schemas.openxmlformats.org/spreadsheetml/2006/main" count="18037" uniqueCount="2264">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</sst>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2025578705"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202604166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202604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2026041667"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202604166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4" activePane="topRight" state="frozen"/>
      <selection pane="topRight" activeCell="AD12" sqref="AD12"/>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1"/>
      <c r="L27" s="1004"/>
      <c r="M27" s="900" t="s">
        <v>56</v>
      </c>
      <c r="N27" s="1362">
        <v>223.8</v>
      </c>
      <c r="O27" s="900" t="s">
        <v>56</v>
      </c>
      <c r="P27" s="902" t="s">
        <v>74</v>
      </c>
      <c r="Q27" s="1363"/>
      <c r="R27" s="1363"/>
      <c r="S27" s="1363"/>
      <c r="T27" s="1363"/>
      <c r="U27" s="1363"/>
      <c r="V27" s="816">
        <v>0</v>
      </c>
      <c r="W27" s="1291"/>
      <c r="X27" s="1364">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1"/>
      <c r="L31" s="1004"/>
      <c r="M31" s="900" t="s">
        <v>56</v>
      </c>
      <c r="N31" s="1362">
        <v>12404.9</v>
      </c>
      <c r="O31" s="667" t="s">
        <v>56</v>
      </c>
      <c r="P31" s="924" t="s">
        <v>74</v>
      </c>
      <c r="Q31" s="1363"/>
      <c r="R31" s="1363"/>
      <c r="S31" s="1363"/>
      <c r="T31" s="1363"/>
      <c r="U31" s="1363"/>
      <c r="V31" s="1364">
        <v>1111</v>
      </c>
      <c r="W31" s="1364"/>
      <c r="X31" s="1364">
        <f>SUM(V31-W31)</f>
        <v>1111</v>
      </c>
      <c r="Y31" s="694">
        <f>IFERROR($W31/$V31, 0)</f>
        <v>0</v>
      </c>
      <c r="Z31" s="1365"/>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1" t="s">
        <v>72</v>
      </c>
      <c r="L32" s="1004"/>
      <c r="M32" s="975" t="s">
        <v>73</v>
      </c>
      <c r="N32" s="1153"/>
      <c r="O32" s="975" t="s">
        <v>73</v>
      </c>
      <c r="P32" s="965" t="s">
        <v>74</v>
      </c>
      <c r="Q32" s="1363"/>
      <c r="R32" s="1363"/>
      <c r="S32" s="1363"/>
      <c r="T32" s="1363"/>
      <c r="U32" s="1363"/>
      <c r="V32" s="1364">
        <v>311</v>
      </c>
      <c r="W32" s="1364"/>
      <c r="X32" s="1364">
        <f>SUM(V32-W32)</f>
        <v>311</v>
      </c>
      <c r="Y32" s="694">
        <f>IFERROR($W32/$V32, 0)</f>
        <v>0</v>
      </c>
      <c r="Z32" s="1365"/>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6">
        <v>0</v>
      </c>
      <c r="I47" s="667" t="s">
        <v>54</v>
      </c>
      <c r="J47" s="670" t="s">
        <v>55</v>
      </c>
      <c r="K47" s="1361"/>
      <c r="L47" s="1006"/>
      <c r="M47" s="667" t="s">
        <v>56</v>
      </c>
      <c r="N47" s="1367">
        <v>36998.550000000003</v>
      </c>
      <c r="O47" s="667" t="s">
        <v>56</v>
      </c>
      <c r="P47" s="924" t="s">
        <v>74</v>
      </c>
      <c r="Q47" s="1368"/>
      <c r="R47" s="1368"/>
      <c r="S47" s="1368"/>
      <c r="T47" s="1368"/>
      <c r="U47" s="1368"/>
      <c r="V47" s="1369">
        <v>2944</v>
      </c>
      <c r="W47" s="1364"/>
      <c r="X47" s="1364">
        <f>SUM(V47-W47)</f>
        <v>2944</v>
      </c>
      <c r="Y47" s="526">
        <f>IFERROR($W47/$V47, 0)</f>
        <v>0</v>
      </c>
      <c r="Z47" s="1370"/>
      <c r="AA47" s="906">
        <v>0</v>
      </c>
      <c r="AB47" s="906">
        <v>0</v>
      </c>
      <c r="AC47" s="511">
        <v>0</v>
      </c>
      <c r="AD47" s="907"/>
      <c r="AE47" s="953"/>
    </row>
    <row r="48" spans="1:56" ht="24.75" customHeight="1">
      <c r="A48" s="1003" t="s">
        <v>186</v>
      </c>
      <c r="B48" s="669" t="s">
        <v>144</v>
      </c>
      <c r="C48" s="1004">
        <v>46079</v>
      </c>
      <c r="D48" s="1006"/>
      <c r="E48" s="1006"/>
      <c r="F48" s="1005"/>
      <c r="G48" s="909"/>
      <c r="H48" s="1366">
        <v>0</v>
      </c>
      <c r="I48" s="667" t="s">
        <v>54</v>
      </c>
      <c r="J48" s="670" t="s">
        <v>55</v>
      </c>
      <c r="K48" s="1361"/>
      <c r="L48" s="1006"/>
      <c r="M48" s="667" t="s">
        <v>56</v>
      </c>
      <c r="N48" s="1367">
        <v>49932.800000000003</v>
      </c>
      <c r="O48" s="667" t="s">
        <v>56</v>
      </c>
      <c r="P48" s="924" t="s">
        <v>74</v>
      </c>
      <c r="Q48" s="1368"/>
      <c r="R48" s="1368"/>
      <c r="S48" s="1368"/>
      <c r="T48" s="1368"/>
      <c r="U48" s="1368"/>
      <c r="V48" s="1369">
        <v>4048</v>
      </c>
      <c r="W48" s="1364"/>
      <c r="X48" s="1364">
        <f>SUM(V48-W48)</f>
        <v>4048</v>
      </c>
      <c r="Y48" s="526">
        <f>IFERROR($W48/$V48, 0)</f>
        <v>0</v>
      </c>
      <c r="Z48" s="1370"/>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1"/>
      <c r="L54" s="1006"/>
      <c r="M54" s="911" t="s">
        <v>56</v>
      </c>
      <c r="N54" s="1367">
        <v>118710.8</v>
      </c>
      <c r="O54" s="911" t="s">
        <v>56</v>
      </c>
      <c r="P54" s="902" t="s">
        <v>57</v>
      </c>
      <c r="Q54" s="1368"/>
      <c r="R54" s="1368"/>
      <c r="S54" s="1368"/>
      <c r="T54" s="1368"/>
      <c r="U54" s="1368"/>
      <c r="V54" s="1369">
        <v>9628</v>
      </c>
      <c r="W54" s="1364">
        <v>2042</v>
      </c>
      <c r="X54" s="1364">
        <f>SUM(V54-W54)</f>
        <v>7586</v>
      </c>
      <c r="Y54" s="526">
        <f>IFERROR($W54/$V54, 0)</f>
        <v>0.21208973826339841</v>
      </c>
      <c r="Z54" s="1368">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6">
        <v>0</v>
      </c>
      <c r="I57" s="667" t="s">
        <v>54</v>
      </c>
      <c r="J57" s="911" t="s">
        <v>55</v>
      </c>
      <c r="K57" s="1361"/>
      <c r="L57" s="1006"/>
      <c r="M57" s="911" t="s">
        <v>56</v>
      </c>
      <c r="N57" s="1367">
        <v>15002.75</v>
      </c>
      <c r="O57" s="911" t="s">
        <v>56</v>
      </c>
      <c r="P57" s="924" t="s">
        <v>74</v>
      </c>
      <c r="Q57" s="1368"/>
      <c r="R57" s="1368"/>
      <c r="S57" s="1368"/>
      <c r="T57" s="1368"/>
      <c r="U57" s="1368"/>
      <c r="V57" s="1369">
        <v>1175</v>
      </c>
      <c r="W57" s="1364"/>
      <c r="X57" s="1364">
        <f>SUM(V57-W57)</f>
        <v>1175</v>
      </c>
      <c r="Y57" s="526">
        <f>IFERROR($W57/$V57, 0)</f>
        <v>0</v>
      </c>
      <c r="Z57" s="1370"/>
      <c r="AA57" s="906">
        <v>0</v>
      </c>
      <c r="AB57" s="906">
        <v>0</v>
      </c>
      <c r="AC57" s="915">
        <v>0</v>
      </c>
      <c r="AD57" s="907"/>
      <c r="AE57" s="953"/>
    </row>
    <row r="58" spans="1:31" ht="24.75" customHeight="1">
      <c r="A58" s="897" t="s">
        <v>210</v>
      </c>
      <c r="B58" s="669" t="s">
        <v>144</v>
      </c>
      <c r="C58" s="898">
        <v>46103</v>
      </c>
      <c r="D58" s="1005"/>
      <c r="E58" s="1006"/>
      <c r="F58" s="1005"/>
      <c r="G58" s="910"/>
      <c r="H58" s="1366">
        <v>0</v>
      </c>
      <c r="I58" s="667" t="s">
        <v>54</v>
      </c>
      <c r="J58" s="911" t="s">
        <v>55</v>
      </c>
      <c r="K58" s="1361"/>
      <c r="L58" s="1006"/>
      <c r="M58" s="911" t="s">
        <v>56</v>
      </c>
      <c r="N58" s="1367">
        <v>12977.65</v>
      </c>
      <c r="O58" s="911" t="s">
        <v>56</v>
      </c>
      <c r="P58" s="924" t="s">
        <v>74</v>
      </c>
      <c r="Q58" s="1368"/>
      <c r="R58" s="1368"/>
      <c r="S58" s="1368"/>
      <c r="T58" s="1368"/>
      <c r="U58" s="1368"/>
      <c r="V58" s="1369">
        <v>1029</v>
      </c>
      <c r="W58" s="1364"/>
      <c r="X58" s="1364">
        <f>SUM(V58-W58)</f>
        <v>1029</v>
      </c>
      <c r="Y58" s="526">
        <f>IFERROR($W58/$V58, 0)</f>
        <v>0</v>
      </c>
      <c r="Z58" s="1370"/>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6">
        <v>107</v>
      </c>
      <c r="I61" s="667" t="s">
        <v>54</v>
      </c>
      <c r="J61" s="971" t="s">
        <v>67</v>
      </c>
      <c r="K61" s="1361" t="s">
        <v>72</v>
      </c>
      <c r="L61" s="1006"/>
      <c r="M61" s="975" t="s">
        <v>73</v>
      </c>
      <c r="N61" s="1153"/>
      <c r="O61" s="975" t="s">
        <v>73</v>
      </c>
      <c r="P61" s="965" t="s">
        <v>74</v>
      </c>
      <c r="Q61" s="1368"/>
      <c r="R61" s="1368"/>
      <c r="S61" s="1368"/>
      <c r="T61" s="1368"/>
      <c r="U61" s="1368"/>
      <c r="V61" s="1369">
        <v>9568</v>
      </c>
      <c r="W61" s="1364"/>
      <c r="X61" s="1364">
        <f>SUM(V61-W61)</f>
        <v>9568</v>
      </c>
      <c r="Y61" s="526">
        <f>IFERROR($W61/$V61, 0)</f>
        <v>0</v>
      </c>
      <c r="Z61" s="1370"/>
      <c r="AA61" s="906">
        <v>0</v>
      </c>
      <c r="AB61" s="906">
        <v>0</v>
      </c>
      <c r="AC61" s="915">
        <v>0</v>
      </c>
      <c r="AD61" s="907" t="s">
        <v>216</v>
      </c>
      <c r="AE61" s="953"/>
    </row>
    <row r="62" spans="1:31" ht="24.75" customHeight="1">
      <c r="A62" s="1349" t="s">
        <v>217</v>
      </c>
      <c r="B62" s="669" t="s">
        <v>144</v>
      </c>
      <c r="C62" s="1004">
        <v>46174</v>
      </c>
      <c r="D62" s="1005"/>
      <c r="E62" s="1006"/>
      <c r="F62" s="1005"/>
      <c r="G62" s="910"/>
      <c r="H62" s="1366">
        <v>115</v>
      </c>
      <c r="I62" s="667" t="s">
        <v>54</v>
      </c>
      <c r="J62" s="971" t="s">
        <v>67</v>
      </c>
      <c r="K62" s="1361"/>
      <c r="L62" s="1006"/>
      <c r="M62" s="911" t="s">
        <v>56</v>
      </c>
      <c r="N62" s="1153">
        <v>125188</v>
      </c>
      <c r="O62" s="911" t="s">
        <v>56</v>
      </c>
      <c r="P62" s="924" t="s">
        <v>74</v>
      </c>
      <c r="Q62" s="1368"/>
      <c r="R62" s="1368"/>
      <c r="S62" s="1368"/>
      <c r="T62" s="1368"/>
      <c r="U62" s="1368"/>
      <c r="V62" s="1369">
        <v>11028</v>
      </c>
      <c r="W62" s="1364"/>
      <c r="X62" s="1364">
        <f>SUM(V62-W62)</f>
        <v>11028</v>
      </c>
      <c r="Y62" s="526">
        <f>IFERROR($W62/$V62, 0)</f>
        <v>0</v>
      </c>
      <c r="Z62" s="1370"/>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1">
        <v>0</v>
      </c>
      <c r="I66" s="524" t="s">
        <v>54</v>
      </c>
      <c r="J66" s="975" t="s">
        <v>102</v>
      </c>
      <c r="K66" s="1372" t="s">
        <v>72</v>
      </c>
      <c r="L66" s="1151"/>
      <c r="M66" s="975" t="s">
        <v>73</v>
      </c>
      <c r="N66" s="1153"/>
      <c r="O66" s="975" t="s">
        <v>73</v>
      </c>
      <c r="P66" s="965" t="s">
        <v>74</v>
      </c>
      <c r="Q66" s="1368"/>
      <c r="R66" s="1368"/>
      <c r="S66" s="1368"/>
      <c r="T66" s="1368"/>
      <c r="U66" s="1368"/>
      <c r="V66" s="1373">
        <v>6202</v>
      </c>
      <c r="W66" s="1374"/>
      <c r="X66" s="1374">
        <f>SUM(V66-W66)</f>
        <v>6202</v>
      </c>
      <c r="Y66" s="521">
        <f>IFERROR($W66/$V66, 0)</f>
        <v>0</v>
      </c>
      <c r="Z66" s="1375"/>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947">
        <v>199</v>
      </c>
      <c r="X70" s="947">
        <f>SUM(V70-W70)</f>
        <v>12043</v>
      </c>
      <c r="Y70" s="706">
        <f>IFERROR($W70/$V70, 0)</f>
        <v>1.6255513804933834E-2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6"/>
      <c r="R74" s="1022"/>
      <c r="S74" s="1022"/>
      <c r="T74" s="1022"/>
      <c r="U74" s="1022"/>
      <c r="V74" s="986">
        <v>4564</v>
      </c>
      <c r="W74" s="947"/>
      <c r="X74" s="986">
        <v>4564</v>
      </c>
      <c r="Y74" s="877"/>
      <c r="Z74" s="1377"/>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6"/>
      <c r="R75" s="1022"/>
      <c r="S75" s="1022"/>
      <c r="T75" s="1022"/>
      <c r="U75" s="1022"/>
      <c r="V75" s="986">
        <v>5936</v>
      </c>
      <c r="W75" s="947"/>
      <c r="X75" s="986">
        <v>5936</v>
      </c>
      <c r="Y75" s="877"/>
      <c r="Z75" s="1377"/>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6"/>
      <c r="R76" s="1022"/>
      <c r="S76" s="1022"/>
      <c r="T76" s="1022"/>
      <c r="U76" s="1022"/>
      <c r="V76" s="986">
        <v>7117</v>
      </c>
      <c r="W76" s="947"/>
      <c r="X76" s="986">
        <v>7117</v>
      </c>
      <c r="Y76" s="877"/>
      <c r="Z76" s="1377"/>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6"/>
      <c r="R77" s="1022"/>
      <c r="S77" s="1022"/>
      <c r="T77" s="1022"/>
      <c r="U77" s="1022"/>
      <c r="V77" s="986">
        <v>9590</v>
      </c>
      <c r="W77" s="947"/>
      <c r="X77" s="986">
        <v>9590</v>
      </c>
      <c r="Y77" s="877"/>
      <c r="Z77" s="1377"/>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6"/>
      <c r="R78" s="1022"/>
      <c r="S78" s="1022"/>
      <c r="T78" s="1022"/>
      <c r="U78" s="1022"/>
      <c r="V78" s="986">
        <v>9329</v>
      </c>
      <c r="W78" s="947"/>
      <c r="X78" s="986">
        <v>9329</v>
      </c>
      <c r="Y78" s="877"/>
      <c r="Z78" s="1377"/>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6"/>
      <c r="R79" s="1022"/>
      <c r="S79" s="1022"/>
      <c r="T79" s="1022"/>
      <c r="U79" s="1022"/>
      <c r="V79" s="986">
        <v>9709</v>
      </c>
      <c r="W79" s="947"/>
      <c r="X79" s="986">
        <v>9709</v>
      </c>
      <c r="Y79" s="877"/>
      <c r="Z79" s="1377"/>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6"/>
      <c r="R80" s="1022"/>
      <c r="S80" s="1022"/>
      <c r="T80" s="1022"/>
      <c r="U80" s="1022"/>
      <c r="V80" s="986">
        <v>9263</v>
      </c>
      <c r="W80" s="947"/>
      <c r="X80" s="986">
        <v>9263</v>
      </c>
      <c r="Y80" s="877"/>
      <c r="Z80" s="1377"/>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6"/>
      <c r="R81" s="1022"/>
      <c r="S81" s="1022"/>
      <c r="T81" s="1022"/>
      <c r="U81" s="1022"/>
      <c r="V81" s="986">
        <v>10385</v>
      </c>
      <c r="W81" s="947"/>
      <c r="X81" s="986">
        <v>10385</v>
      </c>
      <c r="Y81" s="877"/>
      <c r="Z81" s="1377"/>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6"/>
      <c r="R82" s="1022"/>
      <c r="S82" s="1022"/>
      <c r="T82" s="1022"/>
      <c r="U82" s="1022"/>
      <c r="V82" s="986">
        <v>9398</v>
      </c>
      <c r="W82" s="947"/>
      <c r="X82" s="986">
        <v>9398</v>
      </c>
      <c r="Y82" s="877"/>
      <c r="Z82" s="1377"/>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6"/>
      <c r="R83" s="1022"/>
      <c r="S83" s="1022"/>
      <c r="T83" s="1022"/>
      <c r="U83" s="1022"/>
      <c r="V83" s="986">
        <v>7517</v>
      </c>
      <c r="W83" s="947"/>
      <c r="X83" s="986">
        <v>7517</v>
      </c>
      <c r="Y83" s="877"/>
      <c r="Z83" s="1377"/>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6"/>
      <c r="R84" s="1022"/>
      <c r="S84" s="1022"/>
      <c r="T84" s="1022"/>
      <c r="U84" s="1022"/>
      <c r="V84" s="986">
        <v>5920</v>
      </c>
      <c r="W84" s="947"/>
      <c r="X84" s="986">
        <v>5920</v>
      </c>
      <c r="Y84" s="877"/>
      <c r="Z84" s="1377"/>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6"/>
      <c r="R85" s="1022"/>
      <c r="S85" s="1022"/>
      <c r="T85" s="1022"/>
      <c r="U85" s="1022"/>
      <c r="V85" s="986">
        <v>5589</v>
      </c>
      <c r="W85" s="947"/>
      <c r="X85" s="986">
        <v>5589</v>
      </c>
      <c r="Y85" s="877"/>
      <c r="Z85" s="1377"/>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6"/>
      <c r="R86" s="1022"/>
      <c r="S86" s="1022"/>
      <c r="T86" s="1022"/>
      <c r="U86" s="1022"/>
      <c r="V86" s="986">
        <v>5515</v>
      </c>
      <c r="W86" s="947"/>
      <c r="X86" s="986">
        <v>5515</v>
      </c>
      <c r="Y86" s="877"/>
      <c r="Z86" s="1377"/>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6"/>
      <c r="R87" s="1022"/>
      <c r="S87" s="1022"/>
      <c r="T87" s="1022"/>
      <c r="U87" s="1022"/>
      <c r="V87" s="986">
        <v>5191</v>
      </c>
      <c r="W87" s="947"/>
      <c r="X87" s="986">
        <v>5191</v>
      </c>
      <c r="Y87" s="877"/>
      <c r="Z87" s="1377"/>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6"/>
      <c r="R88" s="1022"/>
      <c r="S88" s="1022"/>
      <c r="T88" s="1022"/>
      <c r="U88" s="1022"/>
      <c r="V88" s="986">
        <v>5620</v>
      </c>
      <c r="W88" s="947"/>
      <c r="X88" s="986">
        <v>5620</v>
      </c>
      <c r="Y88" s="877"/>
      <c r="Z88" s="1377"/>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6"/>
      <c r="R89" s="1022"/>
      <c r="S89" s="1022"/>
      <c r="T89" s="1022"/>
      <c r="U89" s="1022"/>
      <c r="V89" s="986">
        <v>6864</v>
      </c>
      <c r="W89" s="947"/>
      <c r="X89" s="986">
        <v>6864</v>
      </c>
      <c r="Y89" s="877"/>
      <c r="Z89" s="1377"/>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6"/>
      <c r="R90" s="1022"/>
      <c r="S90" s="1022"/>
      <c r="T90" s="1022"/>
      <c r="U90" s="1022"/>
      <c r="V90" s="986">
        <v>6461</v>
      </c>
      <c r="W90" s="947"/>
      <c r="X90" s="986">
        <v>6461</v>
      </c>
      <c r="Y90" s="877"/>
      <c r="Z90" s="1377"/>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6"/>
      <c r="R91" s="1022"/>
      <c r="S91" s="1022"/>
      <c r="T91" s="1022"/>
      <c r="U91" s="1022"/>
      <c r="V91" s="986">
        <v>2790</v>
      </c>
      <c r="W91" s="947"/>
      <c r="X91" s="986">
        <v>2790</v>
      </c>
      <c r="Y91" s="877"/>
      <c r="Z91" s="1377"/>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6"/>
      <c r="R92" s="1022"/>
      <c r="S92" s="1022"/>
      <c r="T92" s="1022"/>
      <c r="U92" s="1022"/>
      <c r="V92" s="986">
        <v>7368</v>
      </c>
      <c r="W92" s="947"/>
      <c r="X92" s="986">
        <v>7368</v>
      </c>
      <c r="Y92" s="877"/>
      <c r="Z92" s="1377"/>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6"/>
      <c r="R93" s="1022"/>
      <c r="S93" s="1022"/>
      <c r="T93" s="1022"/>
      <c r="U93" s="1022"/>
      <c r="V93" s="986">
        <v>7844</v>
      </c>
      <c r="W93" s="947"/>
      <c r="X93" s="986">
        <v>7844</v>
      </c>
      <c r="Y93" s="877"/>
      <c r="Z93" s="1377"/>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6"/>
      <c r="R94" s="1022"/>
      <c r="S94" s="1022"/>
      <c r="T94" s="1022"/>
      <c r="U94" s="1022"/>
      <c r="V94" s="986">
        <v>8148</v>
      </c>
      <c r="W94" s="947"/>
      <c r="X94" s="986">
        <v>8148</v>
      </c>
      <c r="Y94" s="877"/>
      <c r="Z94" s="1377"/>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6"/>
      <c r="R95" s="1022"/>
      <c r="S95" s="1022"/>
      <c r="T95" s="1022"/>
      <c r="U95" s="1022"/>
      <c r="V95" s="986">
        <v>6829</v>
      </c>
      <c r="W95" s="947"/>
      <c r="X95" s="986">
        <v>6829</v>
      </c>
      <c r="Y95" s="877"/>
      <c r="Z95" s="1377"/>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6"/>
      <c r="R96" s="1022"/>
      <c r="S96" s="1022"/>
      <c r="T96" s="1022"/>
      <c r="U96" s="1022"/>
      <c r="V96" s="986">
        <v>6157</v>
      </c>
      <c r="W96" s="947"/>
      <c r="X96" s="986">
        <v>6157</v>
      </c>
      <c r="Y96" s="877"/>
      <c r="Z96" s="1377"/>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6"/>
      <c r="R97" s="1022"/>
      <c r="S97" s="1022"/>
      <c r="T97" s="1022"/>
      <c r="U97" s="1022"/>
      <c r="V97" s="986">
        <v>9537</v>
      </c>
      <c r="W97" s="947"/>
      <c r="X97" s="986">
        <v>9537</v>
      </c>
      <c r="Y97" s="877"/>
      <c r="Z97" s="1377"/>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6"/>
      <c r="R98" s="1022"/>
      <c r="S98" s="1022"/>
      <c r="T98" s="1022"/>
      <c r="U98" s="1022"/>
      <c r="V98" s="986">
        <v>6796</v>
      </c>
      <c r="W98" s="947"/>
      <c r="X98" s="986">
        <v>6796</v>
      </c>
      <c r="Y98" s="877"/>
      <c r="Z98" s="1377"/>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6"/>
      <c r="R99" s="1022"/>
      <c r="S99" s="1022"/>
      <c r="T99" s="1022"/>
      <c r="U99" s="1022"/>
      <c r="V99" s="986">
        <v>6149</v>
      </c>
      <c r="W99" s="947"/>
      <c r="X99" s="986">
        <v>6149</v>
      </c>
      <c r="Y99" s="877"/>
      <c r="Z99" s="1377"/>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6"/>
      <c r="R100" s="1022"/>
      <c r="S100" s="1022"/>
      <c r="T100" s="1022"/>
      <c r="U100" s="1022"/>
      <c r="V100" s="986">
        <v>6284</v>
      </c>
      <c r="W100" s="947"/>
      <c r="X100" s="986">
        <v>6284</v>
      </c>
      <c r="Y100" s="877"/>
      <c r="Z100" s="1377"/>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6"/>
      <c r="R101" s="1022"/>
      <c r="S101" s="1022"/>
      <c r="T101" s="1022"/>
      <c r="U101" s="1022"/>
      <c r="V101" s="986">
        <v>7743</v>
      </c>
      <c r="W101" s="947"/>
      <c r="X101" s="986">
        <v>7743</v>
      </c>
      <c r="Y101" s="877"/>
      <c r="Z101" s="1377"/>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6"/>
      <c r="R102" s="1022"/>
      <c r="S102" s="1022"/>
      <c r="T102" s="1022"/>
      <c r="U102" s="1022"/>
      <c r="V102" s="986">
        <v>6932</v>
      </c>
      <c r="W102" s="947"/>
      <c r="X102" s="986">
        <v>6932</v>
      </c>
      <c r="Y102" s="877"/>
      <c r="Z102" s="1377"/>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6"/>
      <c r="R103" s="1022"/>
      <c r="S103" s="1022"/>
      <c r="T103" s="1022"/>
      <c r="U103" s="1022"/>
      <c r="V103" s="986">
        <v>6213</v>
      </c>
      <c r="W103" s="947"/>
      <c r="X103" s="986">
        <v>6213</v>
      </c>
      <c r="Y103" s="877"/>
      <c r="Z103" s="1377"/>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6"/>
      <c r="R104" s="1022"/>
      <c r="S104" s="1022"/>
      <c r="T104" s="1022"/>
      <c r="U104" s="1022"/>
      <c r="V104" s="986">
        <v>4339</v>
      </c>
      <c r="W104" s="947"/>
      <c r="X104" s="986">
        <v>4339</v>
      </c>
      <c r="Y104" s="877"/>
      <c r="Z104" s="1377"/>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6"/>
      <c r="R105" s="1022"/>
      <c r="S105" s="1022"/>
      <c r="T105" s="1022"/>
      <c r="U105" s="1022"/>
      <c r="V105" s="986">
        <v>3940</v>
      </c>
      <c r="W105" s="947"/>
      <c r="X105" s="986">
        <v>3940</v>
      </c>
      <c r="Y105" s="877"/>
      <c r="Z105" s="1377"/>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6"/>
      <c r="R106" s="1022"/>
      <c r="S106" s="1022"/>
      <c r="T106" s="1022"/>
      <c r="U106" s="1022"/>
      <c r="V106" s="986">
        <v>6855</v>
      </c>
      <c r="W106" s="947"/>
      <c r="X106" s="986">
        <v>6855</v>
      </c>
      <c r="Y106" s="877"/>
      <c r="Z106" s="1377"/>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6"/>
      <c r="R107" s="1022"/>
      <c r="S107" s="1022"/>
      <c r="T107" s="1022"/>
      <c r="U107" s="1022"/>
      <c r="V107" s="986">
        <v>7147</v>
      </c>
      <c r="W107" s="947"/>
      <c r="X107" s="986">
        <v>7147</v>
      </c>
      <c r="Y107" s="877"/>
      <c r="Z107" s="1377"/>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6"/>
      <c r="R108" s="1022"/>
      <c r="S108" s="1022"/>
      <c r="T108" s="1022"/>
      <c r="U108" s="1022"/>
      <c r="V108" s="986">
        <v>6376</v>
      </c>
      <c r="W108" s="947"/>
      <c r="X108" s="986">
        <v>6376</v>
      </c>
      <c r="Y108" s="877"/>
      <c r="Z108" s="1377"/>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6"/>
      <c r="R109" s="1022"/>
      <c r="S109" s="1022"/>
      <c r="T109" s="1022"/>
      <c r="U109" s="1022"/>
      <c r="V109" s="986">
        <v>4784</v>
      </c>
      <c r="W109" s="947"/>
      <c r="X109" s="986">
        <v>4784</v>
      </c>
      <c r="Y109" s="877"/>
      <c r="Z109" s="1377"/>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6"/>
      <c r="R110" s="1022"/>
      <c r="S110" s="1022"/>
      <c r="T110" s="1022"/>
      <c r="U110" s="1022"/>
      <c r="V110" s="986">
        <v>6387</v>
      </c>
      <c r="W110" s="947"/>
      <c r="X110" s="986">
        <v>6387</v>
      </c>
      <c r="Y110" s="877"/>
      <c r="Z110" s="1377"/>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6"/>
      <c r="R111" s="1022"/>
      <c r="S111" s="1022"/>
      <c r="T111" s="1022"/>
      <c r="U111" s="1022"/>
      <c r="V111" s="986">
        <v>6372</v>
      </c>
      <c r="W111" s="947"/>
      <c r="X111" s="986">
        <v>6372</v>
      </c>
      <c r="Y111" s="877"/>
      <c r="Z111" s="1377"/>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6"/>
      <c r="R112" s="1022"/>
      <c r="S112" s="1022"/>
      <c r="T112" s="1022"/>
      <c r="U112" s="1022"/>
      <c r="V112" s="986">
        <v>5363</v>
      </c>
      <c r="W112" s="947"/>
      <c r="X112" s="986">
        <v>5363</v>
      </c>
      <c r="Y112" s="877"/>
      <c r="Z112" s="1377"/>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6"/>
      <c r="R113" s="1022"/>
      <c r="S113" s="1022"/>
      <c r="T113" s="1022"/>
      <c r="U113" s="1022"/>
      <c r="V113" s="986">
        <v>5199</v>
      </c>
      <c r="W113" s="947"/>
      <c r="X113" s="986">
        <v>5199</v>
      </c>
      <c r="Y113" s="877"/>
      <c r="Z113" s="1377"/>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6"/>
      <c r="R114" s="1022"/>
      <c r="S114" s="1022"/>
      <c r="T114" s="1022"/>
      <c r="U114" s="1022"/>
      <c r="V114" s="986">
        <v>9771</v>
      </c>
      <c r="W114" s="947"/>
      <c r="X114" s="986">
        <v>9771</v>
      </c>
      <c r="Y114" s="877"/>
      <c r="Z114" s="1377"/>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6"/>
      <c r="R115" s="1022"/>
      <c r="S115" s="1022"/>
      <c r="T115" s="1022"/>
      <c r="U115" s="1022"/>
      <c r="V115" s="986">
        <v>9562</v>
      </c>
      <c r="W115" s="947"/>
      <c r="X115" s="986">
        <v>9562</v>
      </c>
      <c r="Y115" s="877"/>
      <c r="Z115" s="1377"/>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6"/>
      <c r="R116" s="1022"/>
      <c r="S116" s="1022"/>
      <c r="T116" s="1022"/>
      <c r="U116" s="1022"/>
      <c r="V116" s="986">
        <v>6309</v>
      </c>
      <c r="W116" s="947"/>
      <c r="X116" s="986">
        <v>6309</v>
      </c>
      <c r="Y116" s="877"/>
      <c r="Z116" s="1377"/>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6"/>
      <c r="R117" s="1022"/>
      <c r="S117" s="1022"/>
      <c r="T117" s="1022"/>
      <c r="U117" s="1022"/>
      <c r="V117" s="986">
        <v>10260</v>
      </c>
      <c r="W117" s="947"/>
      <c r="X117" s="986">
        <v>10260</v>
      </c>
      <c r="Y117" s="877"/>
      <c r="Z117" s="1377"/>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6"/>
      <c r="R118" s="1022"/>
      <c r="S118" s="1022"/>
      <c r="T118" s="1022"/>
      <c r="U118" s="1022"/>
      <c r="V118" s="986">
        <v>10080</v>
      </c>
      <c r="W118" s="947"/>
      <c r="X118" s="986">
        <v>10080</v>
      </c>
      <c r="Y118" s="877"/>
      <c r="Z118" s="1377"/>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6"/>
      <c r="R119" s="1022"/>
      <c r="S119" s="1022"/>
      <c r="T119" s="1022"/>
      <c r="U119" s="1022"/>
      <c r="V119" s="986">
        <v>6859</v>
      </c>
      <c r="W119" s="947"/>
      <c r="X119" s="986">
        <v>6859</v>
      </c>
      <c r="Y119" s="877"/>
      <c r="Z119" s="1377"/>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6"/>
      <c r="R120" s="1022"/>
      <c r="S120" s="1022"/>
      <c r="T120" s="1022"/>
      <c r="U120" s="1022"/>
      <c r="V120" s="986">
        <v>5873</v>
      </c>
      <c r="W120" s="947"/>
      <c r="X120" s="986">
        <v>5873</v>
      </c>
      <c r="Y120" s="877"/>
      <c r="Z120" s="1377"/>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6"/>
      <c r="R121" s="1022"/>
      <c r="S121" s="1022"/>
      <c r="T121" s="1022"/>
      <c r="U121" s="1022"/>
      <c r="V121" s="986">
        <v>4945</v>
      </c>
      <c r="W121" s="947"/>
      <c r="X121" s="986">
        <v>4945</v>
      </c>
      <c r="Y121" s="877"/>
      <c r="Z121" s="1377"/>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6"/>
      <c r="R122" s="1022"/>
      <c r="S122" s="1022"/>
      <c r="T122" s="1022"/>
      <c r="U122" s="1022"/>
      <c r="V122" s="986">
        <v>4275</v>
      </c>
      <c r="W122" s="947"/>
      <c r="X122" s="986">
        <v>4275</v>
      </c>
      <c r="Y122" s="877"/>
      <c r="Z122" s="1377"/>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6"/>
      <c r="R123" s="1022"/>
      <c r="S123" s="1022"/>
      <c r="T123" s="1022"/>
      <c r="U123" s="1022"/>
      <c r="V123" s="986">
        <v>6378</v>
      </c>
      <c r="W123" s="947"/>
      <c r="X123" s="986">
        <v>6378</v>
      </c>
      <c r="Y123" s="877"/>
      <c r="Z123" s="1377"/>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6"/>
      <c r="R124" s="1022"/>
      <c r="S124" s="1022"/>
      <c r="T124" s="1022"/>
      <c r="U124" s="1022"/>
      <c r="V124" s="986">
        <v>7373</v>
      </c>
      <c r="W124" s="947"/>
      <c r="X124" s="986">
        <v>7373</v>
      </c>
      <c r="Y124" s="877"/>
      <c r="Z124" s="1377"/>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6"/>
      <c r="R125" s="1022"/>
      <c r="S125" s="1022"/>
      <c r="T125" s="1022"/>
      <c r="U125" s="1022"/>
      <c r="V125" s="986">
        <v>5781</v>
      </c>
      <c r="W125" s="947"/>
      <c r="X125" s="986">
        <v>5781</v>
      </c>
      <c r="Y125" s="877"/>
      <c r="Z125" s="1377"/>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6"/>
      <c r="R126" s="1022"/>
      <c r="S126" s="1022"/>
      <c r="T126" s="1022"/>
      <c r="U126" s="1022"/>
      <c r="V126" s="986">
        <v>9051</v>
      </c>
      <c r="W126" s="947"/>
      <c r="X126" s="986">
        <v>9051</v>
      </c>
      <c r="Y126" s="877"/>
      <c r="Z126" s="1377"/>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6"/>
      <c r="R127" s="1022"/>
      <c r="S127" s="1022"/>
      <c r="T127" s="1022"/>
      <c r="U127" s="1022"/>
      <c r="V127" s="986">
        <v>7261</v>
      </c>
      <c r="W127" s="947"/>
      <c r="X127" s="986">
        <v>7261</v>
      </c>
      <c r="Y127" s="877"/>
      <c r="Z127" s="1377"/>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6"/>
      <c r="R128" s="1022"/>
      <c r="S128" s="1022"/>
      <c r="T128" s="1022"/>
      <c r="U128" s="1022"/>
      <c r="V128" s="986">
        <v>9638</v>
      </c>
      <c r="W128" s="947"/>
      <c r="X128" s="986">
        <v>9638</v>
      </c>
      <c r="Y128" s="877"/>
      <c r="Z128" s="1377"/>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6"/>
      <c r="R129" s="1022"/>
      <c r="S129" s="1022"/>
      <c r="T129" s="1022"/>
      <c r="U129" s="1022"/>
      <c r="V129" s="986">
        <v>8746</v>
      </c>
      <c r="W129" s="947"/>
      <c r="X129" s="986">
        <v>8746</v>
      </c>
      <c r="Y129" s="877"/>
      <c r="Z129" s="1377"/>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6"/>
      <c r="R130" s="1022"/>
      <c r="S130" s="1022"/>
      <c r="T130" s="1022"/>
      <c r="U130" s="1022"/>
      <c r="V130" s="1145"/>
      <c r="W130" s="947"/>
      <c r="X130" s="1145"/>
      <c r="Y130" s="877"/>
      <c r="Z130" s="1377"/>
      <c r="AA130" s="1378"/>
      <c r="AB130" s="1378"/>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6"/>
      <c r="R131" s="1022"/>
      <c r="S131" s="1022"/>
      <c r="T131" s="1022"/>
      <c r="U131" s="1022"/>
      <c r="V131" s="1145"/>
      <c r="W131" s="947"/>
      <c r="X131" s="1145"/>
      <c r="Y131" s="877"/>
      <c r="Z131" s="1377"/>
      <c r="AA131" s="1378"/>
      <c r="AB131" s="1378"/>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6"/>
      <c r="R142" s="1022"/>
      <c r="S142" s="1022"/>
      <c r="T142" s="1022"/>
      <c r="U142" s="1022"/>
      <c r="V142" s="947">
        <v>8641</v>
      </c>
      <c r="W142" s="1374"/>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79"/>
      <c r="R143" s="1024"/>
      <c r="S143" s="1024"/>
      <c r="T143" s="1024"/>
      <c r="U143" s="1024"/>
      <c r="V143" s="1026">
        <v>7502</v>
      </c>
      <c r="W143" s="1380"/>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0"/>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1"/>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6">
        <v>109</v>
      </c>
      <c r="I14" s="667" t="s">
        <v>319</v>
      </c>
      <c r="J14" s="670" t="s">
        <v>55</v>
      </c>
      <c r="K14" s="1361"/>
      <c r="L14" s="1006">
        <v>45663</v>
      </c>
      <c r="M14" s="911" t="s">
        <v>56</v>
      </c>
      <c r="N14" s="1367">
        <v>123587.5</v>
      </c>
      <c r="O14" s="1366" t="s">
        <v>56</v>
      </c>
      <c r="P14" s="1381" t="s">
        <v>320</v>
      </c>
      <c r="Q14" s="1368">
        <v>46008</v>
      </c>
      <c r="R14" s="1368"/>
      <c r="S14" s="1368"/>
      <c r="T14" s="1368"/>
      <c r="U14" s="1368"/>
      <c r="V14" s="1369">
        <v>6825</v>
      </c>
      <c r="W14" s="1382">
        <v>6575</v>
      </c>
      <c r="X14" s="1364">
        <f>SUM(V14-W14)</f>
        <v>250</v>
      </c>
      <c r="Y14" s="526">
        <f>IFERROR($W14/$V14, 0)</f>
        <v>0.96336996336996339</v>
      </c>
      <c r="Z14" s="1368">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3">
        <v>4810</v>
      </c>
      <c r="X27" s="1054">
        <f t="shared" ref="X27:X28" si="11">SUM(V27-W27)</f>
        <v>26</v>
      </c>
      <c r="Y27" s="1044">
        <f t="shared" si="10"/>
        <v>0.9946236559139785</v>
      </c>
      <c r="Z27" s="1379">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4">
        <v>7151</v>
      </c>
      <c r="X28" s="947">
        <f t="shared" si="11"/>
        <v>190</v>
      </c>
      <c r="Y28" s="706">
        <f t="shared" si="10"/>
        <v>0.97411796757934888</v>
      </c>
      <c r="Z28" s="1376">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1">
        <v>0</v>
      </c>
      <c r="I205" s="525" t="s">
        <v>319</v>
      </c>
      <c r="J205" s="1361" t="s">
        <v>55</v>
      </c>
      <c r="K205" s="1004" t="s">
        <v>111</v>
      </c>
      <c r="L205" s="1361" t="s">
        <v>56</v>
      </c>
      <c r="M205" s="1385">
        <v>15670.45</v>
      </c>
      <c r="N205" s="43"/>
      <c r="O205" s="1361" t="s">
        <v>56</v>
      </c>
      <c r="P205" s="1386" t="s">
        <v>320</v>
      </c>
      <c r="Q205" s="1363">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7">
        <v>5883</v>
      </c>
      <c r="T252" s="1072">
        <v>0</v>
      </c>
      <c r="U252" s="81">
        <f>IFERROR(Table5[[#This Row],[Actual Redline Completed Footage UG]]/Table5[[#This Row],[Footage UG]], 0)</f>
        <v>1.0039249146757678</v>
      </c>
      <c r="V252" s="1376">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8">
        <v>1277</v>
      </c>
      <c r="T256" s="1072">
        <v>0</v>
      </c>
      <c r="U256" s="81">
        <f>IFERROR(Table5[[#This Row],[Actual Redline Completed Footage UG]]/Table5[[#This Row],[Footage UG]], 0)</f>
        <v>0.99454828660436134</v>
      </c>
      <c r="V256" s="1376">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89" t="s">
        <v>55</v>
      </c>
      <c r="K272" s="43"/>
      <c r="L272" s="697" t="s">
        <v>67</v>
      </c>
      <c r="M272" s="774" t="s">
        <v>56</v>
      </c>
      <c r="N272" s="1390">
        <v>1035</v>
      </c>
      <c r="O272" s="959" t="s">
        <v>56</v>
      </c>
      <c r="P272" s="1339" t="s">
        <v>320</v>
      </c>
      <c r="Q272" s="1391">
        <v>46030</v>
      </c>
      <c r="R272" s="258" t="s">
        <v>111</v>
      </c>
      <c r="S272" s="258" t="s">
        <v>111</v>
      </c>
      <c r="T272" s="258" t="s">
        <v>111</v>
      </c>
      <c r="U272" s="36"/>
      <c r="V272" s="1392">
        <v>0</v>
      </c>
      <c r="W272" s="1393">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E1341">
        <v>199</v>
      </c>
    </row>
    <row r="1342" spans="1:7">
      <c r="A1342" t="s">
        <v>1225</v>
      </c>
      <c r="D1342">
        <v>187</v>
      </c>
      <c r="E1342">
        <v>187</v>
      </c>
    </row>
    <row r="1343" spans="1:7">
      <c r="A1343" t="s">
        <v>1143</v>
      </c>
      <c r="B1343">
        <v>2233</v>
      </c>
      <c r="C1343">
        <v>4954</v>
      </c>
      <c r="D1343">
        <v>5008</v>
      </c>
      <c r="E1343">
        <v>12195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697" sqref="A2697: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2200</v>
      </c>
      <c r="C1" s="1356"/>
      <c r="D1" s="433"/>
      <c r="E1" s="1356" t="s">
        <v>2201</v>
      </c>
      <c r="F1" s="1356"/>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2227</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ABBC0F-A574-4679-A850-11B229E8052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2026-02-18T22:40:40Z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