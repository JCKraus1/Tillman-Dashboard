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47" documentId="8_{E14B221E-02E2-46A3-8CEC-C736815F2DD5}" xr6:coauthVersionLast="47" xr6:coauthVersionMax="47" xr10:uidLastSave="{FEB5E0AD-59F3-45D3-A543-B3B908BB3DA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27" r:id="rId12"/>
    <pivotCache cacheId="3131" r:id="rId13"/>
    <pivotCache cacheId="3136" r:id="rId14"/>
    <pivotCache cacheId="3143" r:id="rId15"/>
    <pivotCache cacheId="3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<sst xmlns="http://schemas.openxmlformats.org/spreadsheetml/2006/main" count="14393" uniqueCount="1774">
  <si>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</si>
  <si>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</si>
  <si>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</si>
  <si>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</si>
  <si>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</si>
  <si>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</si>
  <si>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</si>
  <si>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</si>
  <si>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</si>
  <si>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</si>
  <si>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</si>
  <si>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</si>
  <si>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</si>
  <si>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</si>
  <si>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</si>
  <si>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</si>
  <si>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</si>
  <si>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</si>
  <si>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</si>
  <si>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</si>
  <si>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</si>
  <si>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</si>
  <si>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</si>
  <si>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</si>
  <si>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</si>
  <si>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</si>
  <si>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</si>
  <si>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</si>
  <si>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</si>
  <si>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</si>
  <si>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</si>
  <si>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</si>
  <si>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</si>
  <si>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</si>
  <si>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</si>
  <si>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</si>
  <si>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</si>
  <si>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</si>
  <si>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</si>
  <si>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</si>
  <si>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</si>
  <si>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</si>
  <si>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</si>
  <si>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</si>
  <si>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</si>
  <si>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</si>
  <si>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</si>
  <si>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</si>
  <si>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</si>
  <si>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</si>
  <si>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</si>
  <si>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</si>
  <si>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</si>
  <si>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</si>
  <si>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</si>
  <si>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</si>
  <si>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</si>
  <si>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</si>
  <si>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</si>
  <si>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</si>
  <si>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</si>
  <si>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</si>
  <si>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</si>
  <si>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</si>
  <si>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</si>
  <si>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</si>
  <si>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</si>
  <si>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</si>
  <si>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</si>
  <si>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</si>
  <si>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</si>
  <si>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</si>
  <si>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</si>
  <si>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</si>
  <si>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</si>
  <si>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</si>
  <si>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</si>
  <si>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</si>
  <si>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</si>
  <si>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</si>
  <si>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</si>
  <si>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</si>
  <si>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</si>
  <si>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</si>
  <si>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</si>
  <si>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</si>
  <si>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</si>
  <si>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</si>
  <si>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</si>
  <si>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</si>
  <si>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</si>
  <si>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</si>
  <si>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</si>
  <si>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</si>
  <si>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</si>
  <si>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</si>
  <si>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</si>
  <si>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</si>
  <si>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</si>
  <si>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</si>
  <si>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</si>
  <si>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</si>
  <si>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</si>
  <si>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</si>
  <si>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</si>
  <si>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</si>
  <si>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</si>
  <si>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</si>
  <si>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</si>
  <si>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</si>
  <si>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</si>
  <si>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</si>
  <si>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</si>
  <si>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</si>
  <si>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</si>
  <si>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</si>
  <si>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</si>
  <si>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</si>
  <si>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</si>
  <si>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</si>
  <si>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</si>
  <si>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</si>
  <si>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</si>
  <si>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</si>
  <si>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</si>
  <si>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</si>
  <si>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</si>
  <si>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</si>
  <si>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</si>
  <si>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</si>
  <si>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</si>
  <si>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</si>
  <si>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</si>
  <si>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</si>
  <si>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</si>
  <si>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</si>
  <si>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</si>
  <si>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</si>
  <si>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</si>
  <si>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</si>
  <si>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</si>
  <si>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</si>
  <si>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</si>
  <si>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</si>
  <si>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</si>
  <si>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</si>
  <si>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</si>
  <si>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</si>
  <si>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</si>
  <si>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</si>
  <si>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</si>
  <si>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</si>
  <si>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</si>
  <si>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</si>
  <si>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</si>
  <si>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</si>
  <si>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</si>
  <si>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</si>
  <si>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</si>
  <si>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</si>
  <si>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</si>
  <si>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</si>
  <si>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</si>
  <si>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</si>
  <si>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</si>
  <si>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</si>
  <si>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</si>
  <si>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</si>
  <si>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</si>
  <si>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</si>
  <si>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</si>
  <si>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</si>
  <si>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</si>
  <si>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</si>
  <si>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</si>
  <si>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</si>
  <si>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</si>
  <si>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</si>
  <si>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</si>
  <si>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</si>
  <si>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</si>
  <si>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</si>
  <si>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</si>
  <si>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</si>
  <si>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</si>
  <si>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</si>
  <si>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</si>
  <si>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</si>
  <si>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</si>
  <si>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</si>
  <si>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</si>
  <si>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</si>
  <si>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</si>
  <si>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</si>
  <si>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</si>
  <si>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</si>
  <si>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</si>
  <si>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</si>
  <si>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</si>
  <si>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</si>
  <si>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</si>
  <si>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</si>
  <si>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</si>
  <si>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</si>
  <si>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</si>
  <si>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</si>
  <si>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</si>
  <si>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</si>
  <si>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</si>
  <si>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</si>
  <si>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</si>
  <si>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</si>
  <si>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</si>
  <si>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</si>
  <si>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</si>
  <si>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</si>
  <si>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</si>
  <si>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</si>
  <si>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</si>
  <si>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</si>
  <si>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</si>
  <si>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</si>
  <si>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</si>
  <si>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</si>
  <si>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</si>
  <si>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</si>
  <si>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</si>
  <si>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</si>
  <si>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</si>
  <si>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</si>
  <si>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</si>
  <si>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</si>
  <si>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</si>
  <si>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</si>
  <si>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</si>
  <si>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</si>
  <si>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</si>
  <si>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</si>
  <si>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</si>
  <si>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</si>
  <si>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</si>
  <si>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</si>
  <si>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</si>
  <si>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</si>
  <si>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</si>
  <si>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</si>
  <si>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</si>
  <si>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</si>
  <si>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</si>
  <si>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</si>
  <si>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</si>
  <si>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</si>
  <si>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</si>
  <si>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</si>
  <si>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</si>
  <si>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</si>
  <si>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</si>
  <si>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</si>
  <si>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</si>
  <si>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</si>
  <si>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</si>
  <si>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</si>
  <si>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</si>
  <si>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</si>
  <si>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</si>
  <si>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</si>
  <si>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</si>
  <si>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</si>
  <si>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</si>
  <si>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</si>
  <si>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</si>
  <si>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</si>
  <si>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</si>
  <si>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</si>
  <si>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</si>
  <si>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</si>
  <si>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</si>
  <si>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</si>
  <si>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</si>
  <si>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</si>
  <si>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</si>
  <si>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</si>
  <si>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</si>
  <si>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</si>
  <si>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</si>
  <si>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</si>
  <si>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</si>
  <si>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</si>
  <si>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</si>
  <si>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</si>
  <si>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</si>
  <si>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</si>
  <si>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</si>
  <si>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</si>
  <si>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</si>
  <si>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</si>
  <si>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</si>
  <si>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</si>
  <si>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</si>
  <si>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</si>
  <si>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</si>
  <si>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</si>
  <si>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</si>
  <si>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</si>
  <si>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</si>
  <si>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</si>
  <si>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</si>
  <si>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</si>
  <si>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</si>
  <si>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</si>
  <si>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</si>
  <si>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</si>
  <si>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</si>
  <si>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</si>
  <si>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</si>
  <si>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</si>
  <si>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</si>
  <si>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</si>
  <si>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</si>
  <si>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</si>
  <si>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</si>
  <si>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</si>
  <si>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</si>
  <si>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</si>
  <si>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</si>
  <si>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</si>
  <si>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</si>
  <si>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</si>
  <si>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</si>
  <si>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</si>
  <si>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</si>
  <si>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</si>
  <si>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</si>
  <si>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</si>
  <si>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</si>
  <si>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</si>
  <si>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</si>
  <si>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</si>
  <si>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</si>
  <si>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</si>
  <si>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</si>
  <si>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</si>
  <si>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</si>
  <si>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</si>
  <si>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</si>
  <si>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</si>
  <si>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</si>
  <si>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</si>
  <si>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</si>
  <si>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</si>
  <si>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</si>
  <si>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</si>
  <si>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</si>
  <si>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</si>
  <si>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</si>
  <si>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</si>
  <si>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</si>
  <si>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</si>
  <si>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</si>
  <si>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</si>
  <si>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</si>
  <si>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</si>
  <si>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</si>
  <si>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</si>
  <si>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</si>
  <si>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</si>
  <si>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</si>
  <si>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</si>
  <si>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</si>
  <si>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</si>
  <si>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</si>
  <si>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</si>
  <si>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</si>
  <si>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</si>
  <si>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</si>
  <si>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</si>
  <si>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</si>
  <si>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</si>
  <si>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</si>
  <si>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</si>
  <si>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</si>
  <si>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</si>
  <si>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</si>
  <si>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</si>
  <si>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</si>
  <si>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</si>
  <si>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</si>
  <si>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</si>
  <si>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</si>
  <si>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</si>
  <si>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</si>
  <si>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</si>
  <si>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</si>
  <si>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</si>
  <si>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</si>
  <si>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</si>
  <si>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</si>
  <si>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</si>
  <si>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</si>
  <si>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</si>
  <si>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</si>
  <si>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</si>
  <si>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</si>
  <si>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</si>
  <si>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</si>
  <si>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</si>
  <si>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</si>
  <si>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</si>
  <si>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</si>
  <si>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</si>
  <si>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</si>
  <si>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</si>
  <si>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</si>
  <si>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</si>
  <si>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</si>
  <si>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</si>
  <si>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</si>
  <si>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</si>
  <si>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</si>
  <si>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</si>
  <si>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</si>
  <si>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</si>
  <si>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</si>
  <si>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</si>
  <si>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</si>
  <si>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</si>
  <si>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</si>
  <si>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</si>
  <si>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</si>
  <si>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</si>
  <si>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</si>
  <si>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</si>
  <si>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</si>
  <si>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</si>
  <si>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</si>
  <si>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</si>
  <si>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</si>
  <si>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</si>
  <si>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</si>
  <si>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</si>
  <si>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</si>
  <si>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</si>
  <si>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</si>
  <si>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</si>
  <si>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</si>
  <si>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</si>
  <si>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</si>
  <si>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</si>
  <si>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</si>
  <si>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</si>
  <si>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</si>
  <si>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</si>
  <si>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</si>
  <si>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</si>
  <si>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</si>
  <si>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</si>
  <si>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</si>
  <si>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</si>
  <si>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</si>
  <si>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</si>
  <si>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</si>
  <si>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</si>
  <si>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</si>
  <si>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</si>
  <si>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</si>
  <si>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</si>
  <si>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</si>
  <si>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</si>
  <si>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</si>
  <si>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</si>
  <si>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</si>
  <si>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</si>
  <si>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</si>
  <si>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</si>
  <si>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</si>
  <si>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</si>
  <si>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</si>
  <si>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</si>
  <si>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</si>
  <si>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</si>
  <si>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</si>
  <si>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</si>
  <si>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</si>
  <si>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</si>
  <si>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</si>
  <si>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</si>
  <si>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</si>
  <si>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</si>
  <si>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</si>
  <si>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</si>
  <si>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</si>
  <si>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</si>
  <si>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</si>
  <si>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</si>
  <si>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</si>
  <si>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</si>
  <si>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</si>
  <si>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</si>
  <si>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</si>
  <si>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</si>
  <si>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</si>
  <si>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</si>
  <si>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</si>
  <si>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</si>
  <si>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</si>
  <si>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</si>
  <si>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</si>
  <si>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</si>
  <si>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</si>
  <si>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</si>
  <si>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</si>
  <si>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</si>
  <si>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</si>
  <si>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</si>
  <si>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</si>
  <si>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</si>
  <si>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</si>
  <si>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</si>
  <si>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</si>
  <si>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</si>
  <si>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</si>
  <si>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</si>
  <si>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</si>
  <si>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</si>
  <si>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</si>
  <si>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</si>
  <si>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</si>
  <si>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</si>
  <si>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</si>
  <si>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</si>
  <si>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</si>
  <si>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</si>
  <si>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</si>
  <si>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</si>
  <si>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</si>
  <si>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</si>
  <si>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</si>
  <si>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</si>
  <si>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</si>
  <si>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</si>
  <si>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</si>
  <si>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</si>
  <si>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</si>
  <si>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</si>
  <si>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</si>
  <si>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</si>
  <si>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</si>
  <si>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</si>
  <si>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</si>
  <si>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</si>
  <si>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</si>
  <si>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</si>
  <si>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</si>
  <si>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</si>
  <si>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</si>
  <si>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</si>
  <si>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</si>
  <si>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</si>
  <si>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</si>
  <si>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</si>
  <si>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</si>
  <si>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</si>
  <si>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</si>
  <si>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</si>
  <si>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</si>
  <si>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</si>
  <si>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</si>
  <si>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</si>
  <si>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</si>
  <si>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</si>
  <si>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</si>
  <si>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</si>
  <si>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</si>
  <si>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</si>
  <si>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</si>
  <si>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</si>
  <si>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</si>
  <si>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</si>
  <si>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</si>
  <si>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</si>
  <si>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</si>
  <si>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</si>
  <si>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</si>
  <si>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</si>
  <si>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</si>
  <si>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</si>
  <si>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</si>
  <si>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</si>
  <si>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</si>
  <si>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</si>
  <si>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</si>
  <si>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</si>
  <si>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</si>
  <si>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</si>
  <si>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</si>
  <si>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</si>
  <si>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</si>
  <si>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</si>
  <si>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</si>
  <si>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</si>
  <si>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</si>
  <si>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</si>
  <si>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</si>
  <si>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</si>
  <si>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</si>
  <si>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</si>
  <si>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</si>
  <si>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</si>
  <si>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</si>
  <si>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</si>
  <si>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</si>
  <si>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</si>
  <si>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</si>
  <si>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</si>
  <si>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</si>
  <si>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</si>
  <si>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</si>
  <si>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</si>
  <si>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</si>
  <si>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</si>
  <si>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</si>
  <si>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</si>
  <si>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</si>
  <si>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</si>
  <si>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</si>
  <si>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</si>
  <si>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</si>
  <si>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</si>
  <si>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</si>
  <si>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</si>
  <si>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</si>
  <si>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</si>
  <si>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</si>
  <si>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</si>
  <si>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</si>
  <si>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</si>
  <si>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</si>
  <si>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</si>
  <si>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</si>
  <si>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</si>
  <si>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</si>
  <si>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</si>
  <si>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</si>
  <si>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</si>
  <si>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</si>
  <si>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</si>
  <si>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</si>
  <si>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</si>
  <si>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</si>
  <si>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</si>
  <si>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</si>
  <si>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</si>
  <si>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</si>
  <si>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</si>
  <si>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</si>
  <si>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</si>
  <si>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</si>
  <si>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</si>
  <si>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</si>
  <si>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</si>
  <si>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</si>
  <si>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</si>
  <si>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</si>
  <si>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</si>
  <si>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</si>
  <si>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</si>
  <si>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</si>
  <si>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</si>
  <si>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</si>
  <si>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</si>
  <si>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</si>
  <si>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</si>
  <si>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</si>
  <si>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</si>
  <si>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</si>
  <si>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</si>
  <si>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</si>
  <si>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</si>
  <si>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</si>
  <si>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</si>
  <si>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</si>
  <si>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</si>
  <si>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</si>
  <si>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</si>
  <si>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</si>
  <si>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</si>
  <si>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</si>
  <si>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</si>
  <si>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</si>
  <si>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</si>
  <si>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</si>
  <si>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</si>
  <si>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</si>
  <si>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</si>
  <si>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</si>
  <si>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</si>
  <si>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</si>
  <si>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</si>
  <si>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</si>
  <si>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</si>
  <si>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</si>
  <si>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</si>
  <si>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</si>
  <si>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</si>
  <si>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</si>
  <si>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</si>
  <si>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</si>
  <si>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</si>
  <si>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</si>
  <si>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</si>
  <si>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</si>
  <si>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</si>
  <si>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</si>
  <si>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</si>
  <si>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</si>
  <si>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</si>
  <si>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</si>
  <si>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</si>
  <si>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</si>
  <si>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</si>
  <si>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</si>
  <si>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</si>
  <si>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</si>
  <si>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</si>
  <si>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</si>
  <si>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</si>
  <si>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</si>
  <si>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</si>
  <si>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</si>
  <si>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</si>
  <si>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</si>
  <si>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</si>
  <si>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</si>
  <si>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</si>
  <si>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</si>
  <si>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</si>
  <si>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</si>
  <si>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</si>
  <si>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</si>
  <si>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</si>
  <si>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</si>
  <si>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</si>
  <si>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</si>
  <si>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</si>
  <si>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</si>
  <si>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</si>
  <si>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</si>
  <si>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</si>
  <si>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</si>
  <si>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</si>
  <si>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</si>
  <si>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</si>
  <si>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</si>
  <si>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</si>
  <si>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</si>
  <si>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</si>
  <si>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</si>
  <si>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</si>
  <si>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</si>
  <si>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</si>
  <si>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</si>
  <si>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</si>
  <si>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</si>
  <si>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</si>
  <si>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</si>
  <si>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</si>
  <si>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</si>
  <si>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</si>
  <si>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</si>
  <si>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</si>
  <si>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</si>
  <si>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</si>
  <si>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</si>
  <si>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</si>
  <si>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</si>
  <si>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</si>
  <si>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</si>
  <si>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</si>
  <si>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</si>
  <si>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</si>
  <si>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</si>
  <si>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</si>
  <si>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</si>
  <si>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</si>
  <si>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</si>
  <si>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</si>
  <si>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</si>
  <si>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</si>
  <si>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</si>
  <si>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</si>
  <si>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</si>
  <si>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</si>
  <si>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</si>
  <si>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</si>
  <si>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</si>
  <si>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</si>
  <si>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</si>
  <si>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</si>
  <si>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</si>
  <si>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</si>
  <si>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</si>
  <si>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</si>
  <si>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</si>
  <si>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</si>
  <si>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</si>
  <si>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</si>
  <si>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</si>
  <si>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</si>
  <si>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</si>
  <si>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</si>
  <si>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</si>
  <si>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</si>
  <si>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</si>
  <si>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</si>
  <si>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</si>
  <si>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</si>
  <si>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</si>
  <si>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</si>
  <si>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</si>
  <si>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</si>
  <si>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</si>
  <si>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</si>
  <si>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</si>
  <si>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</si>
  <si>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</si>
  <si>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</si>
  <si>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</si>
  <si>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</si>
  <si>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</si>
  <si>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</si>
  <si>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</si>
  <si>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</si>
  <si>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</si>
  <si>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</si>
  <si>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</si>
  <si>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</si>
  <si>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</si>
  <si>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</si>
  <si>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</si>
  <si>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</si>
  <si>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</si>
  <si>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</si>
  <si>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</si>
  <si>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</si>
  <si>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</si>
  <si>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</si>
  <si>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</si>
  <si>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</si>
  <si>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</si>
  <si>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</si>
  <si>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</si>
  <si>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</si>
  <si>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</si>
  <si>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</si>
  <si>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</si>
  <si>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</si>
  <si>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</si>
  <si>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</si>
  <si>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</si>
  <si>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</si>
  <si>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</si>
  <si>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</si>
  <si>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</si>
  <si>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</si>
  <si>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</si>
  <si>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</si>
  <si>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</si>
  <si>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</si>
  <si>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</si>
  <si>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</si>
  <si>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</si>
  <si>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</si>
  <si>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</si>
  <si>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</si>
  <si>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</si>
  <si>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</si>
  <si>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</si>
  <si>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</si>
  <si>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</si>
  <si>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</si>
  <si>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</si>
  <si>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</si>
  <si>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</si>
  <si>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</si>
  <si>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</si>
  <si>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</si>
  <si>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</si>
  <si>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</si>
  <si>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</si>
  <si>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</si>
  <si>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</si>
  <si>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</si>
  <si>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</si>
  <si>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</si>
  <si>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</si>
  <si>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</si>
  <si>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</si>
  <si>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</si>
  <si>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</si>
  <si>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</si>
  <si>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</si>
  <si>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</si>
  <si>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</si>
  <si>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</si>
  <si>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</si>
  <si>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</si>
  <si>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</si>
  <si>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</si>
  <si>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</si>
  <si>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</si>
  <si>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</si>
  <si>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</si>
  <si>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</si>
  <si>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</si>
  <si>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</si>
  <si>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</si>
  <si>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</si>
  <si>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</si>
  <si>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</si>
  <si>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</si>
  <si>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</si>
  <si>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</si>
  <si>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</si>
  <si>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</si>
  <si>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</si>
  <si>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</si>
  <si>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</si>
  <si>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</si>
  <si>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</si>
  <si>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</si>
  <si>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</si>
  <si>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</si>
  <si>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</si>
  <si>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</si>
  <si>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</si>
  <si>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</si>
  <si>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</si>
  <si>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</si>
  <si>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</si>
  <si>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</si>
  <si>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</si>
  <si>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</si>
  <si>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</si>
  <si>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</si>
  <si>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</si>
  <si>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</si>
  <si>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</si>
  <si>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</si>
  <si>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</si>
  <si>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</si>
  <si>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</si>
  <si>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</si>
  <si>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</si>
  <si>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</si>
  <si>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</si>
  <si>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</si>
  <si>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</si>
  <si>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</si>
  <si>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</si>
  <si>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</si>
  <si>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</si>
  <si>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</si>
  <si>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</si>
  <si>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</si>
  <si>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</si>
  <si>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</si>
  <si>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</si>
  <si>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</si>
  <si>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</si>
  <si>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</si>
  <si>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</si>
  <si>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</si>
  <si>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</si>
  <si>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</si>
  <si>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</si>
  <si>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</si>
  <si>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</si>
  <si>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</si>
  <si>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</si>
  <si>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</si>
  <si>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</si>
  <si>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</si>
  <si>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</si>
  <si>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</si>
  <si>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</si>
  <si>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</si>
  <si>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</si>
  <si>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</si>
  <si>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</si>
  <si>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</si>
  <si>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</si>
  <si>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</si>
  <si>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</si>
  <si>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</si>
  <si>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</si>
  <si>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</si>
  <si>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</si>
  <si>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</si>
  <si>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</si>
  <si>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</si>
  <si>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</si>
  <si>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</si>
  <si>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</si>
  <si>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</si>
  <si>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</si>
  <si>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</si>
  <si>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</si>
  <si>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</si>
  <si>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</si>
  <si>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</si>
  <si>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</si>
  <si>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</si>
  <si>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</si>
  <si>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</si>
  <si>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</si>
  <si>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</si>
  <si>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</si>
  <si>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</si>
  <si>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</si>
  <si>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</si>
  <si>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</si>
  <si>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</si>
  <si>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</si>
  <si>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</si>
  <si>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</si>
  <si>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</si>
  <si>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</si>
  <si>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</si>
  <si>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</si>
  <si>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</si>
  <si>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</si>
  <si>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</si>
  <si>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</si>
  <si>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</si>
  <si>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</si>
  <si>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</si>
  <si>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</si>
  <si>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</si>
  <si>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</si>
  <si>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</si>
  <si>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</si>
  <si>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</si>
  <si>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</si>
  <si>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</si>
  <si>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</si>
  <si>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</si>
  <si>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</si>
  <si>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</si>
  <si>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</si>
  <si>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</si>
  <si>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</si>
  <si>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</si>
  <si>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</si>
  <si>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</si>
  <si>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</si>
  <si>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</si>
  <si>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</si>
  <si>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</si>
  <si>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</si>
  <si>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</si>
  <si>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</si>
  <si>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</si>
  <si>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</si>
  <si>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</si>
  <si>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</si>
  <si>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</si>
  <si>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</si>
  <si>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</si>
  <si>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</si>
  <si>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</si>
  <si>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</si>
  <si>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</si>
  <si>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</si>
  <si>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</si>
  <si>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</si>
  <si>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</si>
  <si>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</si>
  <si>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</si>
  <si>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</si>
  <si>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</si>
  <si>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</si>
  <si>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</si>
  <si>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</si>
  <si>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</si>
  <si>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</si>
  <si>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</si>
  <si>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</si>
  <si>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</si>
  <si>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</si>
  <si>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</si>
  <si>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</si>
  <si>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</si>
  <si>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</si>
  <si>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</si>
  <si>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</si>
  <si>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</si>
  <si>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</si>
  <si>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</si>
  <si>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</si>
  <si>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</si>
  <si>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</si>
  <si>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</si>
  <si>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</si>
  <si>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</si>
  <si>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</si>
  <si>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</si>
  <si>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</si>
  <si>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</si>
  <si>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</si>
  <si>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</si>
  <si>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</si>
  <si>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</si>
  <si>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</si>
  <si>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</si>
  <si>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</si>
  <si>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</si>
  <si>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</si>
  <si>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</si>
  <si>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</si>
  <si>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</si>
  <si>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</si>
  <si>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</si>
  <si>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</si>
  <si>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</si>
  <si>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</si>
  <si>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</si>
  <si>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</si>
  <si>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</si>
  <si>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</si>
  <si>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</si>
  <si>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</si>
  <si>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</si>
  <si>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</si>
  <si>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</si>
  <si>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</si>
  <si>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</si>
  <si>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</si>
  <si>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</si>
  <si>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</si>
  <si>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</si>
  <si>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</si>
  <si>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</si>
  <si>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</si>
  <si>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</si>
  <si>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</si>
  <si>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</si>
  <si>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</si>
  <si>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</si>
  <si>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</si>
  <si>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</si>
  <si>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</si>
  <si>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</si>
  <si>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</si>
  <si>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</si>
  <si>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</si>
  <si>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</si>
  <si>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</si>
  <si>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</si>
  <si>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</si>
  <si>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</si>
  <si>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</si>
  <si>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</si>
  <si>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</si>
  <si>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</si>
  <si>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</si>
  <si>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</si>
  <si>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</si>
  <si>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</si>
  <si>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</si>
  <si>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</si>
  <si>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</si>
  <si>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</si>
  <si>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</si>
  <si>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</si>
  <si>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</si>
  <si>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</si>
  <si>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</si>
  <si>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</si>
  <si>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</si>
  <si>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</si>
  <si>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</si>
  <si>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</si>
  <si>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</si>
  <si>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</si>
  <si>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</si>
  <si>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</si>
  <si>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</si>
  <si>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</si>
  <si>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</si>
  <si>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</si>
  <si>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</si>
  <si>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</si>
  <si>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</si>
  <si>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</si>
  <si>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</si>
  <si>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</si>
  <si>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</si>
  <si>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</si>
  <si>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</si>
  <si>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</si>
  <si>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</si>
  <si>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</si>
  <si>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</si>
  <si>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</si>
  <si>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</si>
  <si>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</si>
  <si>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</si>
  <si>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</si>
  <si>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</si>
  <si>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</si>
  <si>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</si>
  <si>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</si>
  <si>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</si>
  <si>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</si>
  <si>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</si>
  <si>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</si>
  <si>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</si>
  <si>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</si>
  <si>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</si>
  <si>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</si>
  <si>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</si>
  <si>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</si>
  <si>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</si>
  <si>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</si>
  <si>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</si>
  <si>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</si>
  <si>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</si>
  <si>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</si>
  <si>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</si>
  <si>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</si>
  <si>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</si>
  <si>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</si>
  <si>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</si>
  <si>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</si>
  <si>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</si>
  <si>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</si>
  <si>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</si>
  <si>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</si>
  <si>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</si>
  <si>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</si>
  <si>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</si>
  <si>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</si>
  <si>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</si>
  <si>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</si>
  <si>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</si>
  <si>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</si>
  <si>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</si>
  <si>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</si>
  <si>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</si>
  <si>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</si>
  <si>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</si>
  <si>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</si>
  <si>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</si>
  <si>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</si>
  <si>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</si>
  <si>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</si>
  <si>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</si>
  <si>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</si>
  <si>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</si>
  <si>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</si>
  <si>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</si>
  <si>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</si>
  <si>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</si>
  <si>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</si>
  <si>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</si>
  <si>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</si>
  <si>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</si>
  <si>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</si>
  <si>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</si>
  <si>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</si>
  <si>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</si>
  <si>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</si>
  <si>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</si>
  <si>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</si>
  <si>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</si>
  <si>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</si>
  <si>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</si>
  <si>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</si>
  <si>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</si>
  <si>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</si>
  <si>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</si>
  <si>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</si>
  <si>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</si>
  <si>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</si>
  <si>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</si>
  <si>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</si>
  <si>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</si>
  <si>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</si>
  <si>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</si>
  <si>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</si>
  <si>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</si>
  <si>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</si>
  <si>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</si>
  <si>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</si>
  <si>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</si>
  <si>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</si>
  <si>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</si>
  <si>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</si>
  <si>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</si>
  <si>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</si>
  <si>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</si>
  <si>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</si>
  <si>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</si>
  <si>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</si>
  <si>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</si>
  <si>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</si>
  <si>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</si>
  <si>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</si>
  <si>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</si>
  <si>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</si>
  <si>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</si>
  <si>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</si>
  <si>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</si>
  <si>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</si>
  <si>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</si>
  <si>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</si>
  <si>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</si>
  <si>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</si>
  <si>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</si>
  <si>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</si>
  <si>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</si>
  <si>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</si>
  <si>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</si>
  <si>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</si>
  <si>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</si>
  <si>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</si>
  <si>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</si>
  <si>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</si>
  <si>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</si>
  <si>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</si>
  <si>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</si>
  <si>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</si>
  <si>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</si>
  <si>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</si>
  <si>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</si>
  <si>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</si>
  <si>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</si>
  <si>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</si>
  <si>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</si>
  <si>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</si>
  <si>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</si>
  <si>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</si>
  <si>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</si>
  <si>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</si>
  <si>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</si>
  <si>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</si>
  <si>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</si>
  <si>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</si>
  <si>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</si>
  <si>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</si>
  <si>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</si>
  <si>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</si>
  <si>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</si>
  <si>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</si>
  <si>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</si>
  <si>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</si>
  <si>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</si>
  <si>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</si>
  <si>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</si>
  <si>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</si>
  <si>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</si>
  <si>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</si>
  <si>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</si>
  <si>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</si>
  <si>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</si>
  <si>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</si>
  <si>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</si>
  <si>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</si>
  <si>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</si>
  <si>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</si>
  <si>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</si>
  <si>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</si>
  <si>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</si>
  <si>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</si>
  <si>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</si>
  <si>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</si>
  <si>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</si>
  <si>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</si>
  <si>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</si>
  <si>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</si>
  <si>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</si>
  <si>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</si>
  <si>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</si>
  <si>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</si>
  <si>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</si>
  <si>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</si>
  <si>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</si>
  <si>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</si>
  <si>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</si>
  <si>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</si>
  <si>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</si>
  <si>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</si>
  <si>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</si>
  <si>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</si>
  <si>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</si>
  <si>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</si>
  <si>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</si>
  <si>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</si>
  <si>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</si>
  <si>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</si>
  <si>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</si>
  <si>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</si>
  <si>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</si>
  <si>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</si>
  <si>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</si>
  <si>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</si>
  <si>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</si>
  <si>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</si>
  <si>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</si>
  <si>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</si>
  <si>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</si>
  <si>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</si>
  <si>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</si>
  <si>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</si>
  <si>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</si>
  <si>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</si>
  <si>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</si>
  <si>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</si>
  <si>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</si>
  <si>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</si>
  <si>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</si>
  <si>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</si>
  <si>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</si>
  <si>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</si>
  <si>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</si>
  <si>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</si>
  <si>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</si>
  <si>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</si>
  <si>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</si>
  <si>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</si>
  <si>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</si>
  <si>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</si>
  <si>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</si>
  <si>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</si>
  <si>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</si>
  <si>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</si>
  <si>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</si>
  <si>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</si>
  <si>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</si>
  <si>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</si>
  <si>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</si>
  <si>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</si>
  <si>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</si>
  <si>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</si>
  <si>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</si>
  <si>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</si>
  <si>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</si>
  <si>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</si>
  <si>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</si>
  <si>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</si>
  <si>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</si>
  <si>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</si>
  <si>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</si>
  <si>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</si>
  <si>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</si>
  <si>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</si>
  <si>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</si>
  <si>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</si>
  <si>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</si>
  <si>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</si>
  <si>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</si>
  <si>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</si>
  <si>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</si>
  <si>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</si>
  <si>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</si>
  <si>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</si>
  <si>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</si>
  <si>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</si>
  <si>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</si>
  <si>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</si>
  <si>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</si>
  <si>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</si>
  <si>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</si>
  <si>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</si>
  <si>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</si>
  <si>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</si>
  <si>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</si>
  <si>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</si>
  <si>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</si>
  <si>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</si>
  <si>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</si>
  <si>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</si>
  <si>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</si>
  <si>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</si>
  <si>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</si>
  <si>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</si>
  <si>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</si>
  <si>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</si>
  <si>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</si>
  <si>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</si>
  <si>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</si>
  <si>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</si>
  <si>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</si>
  <si>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</si>
  <si>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</si>
  <si>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</si>
  <si>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</si>
  <si>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</si>
  <si>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</si>
  <si>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</si>
  <si>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</si>
  <si>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</si>
  <si>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</si>
  <si>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</si>
  <si>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</si>
  <si>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</si>
  <si>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</si>
  <si>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</si>
  <si>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</si>
  <si>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</si>
  <si>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</si>
  <si>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</si>
  <si>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</si>
  <si>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</si>
  <si>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</si>
  <si>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</si>
  <si>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</si>
  <si>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</si>
  <si>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</si>
  <si>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</si>
  <si>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</si>
  <si>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</si>
  <si>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</si>
  <si>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</si>
  <si>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</si>
  <si>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</si>
  <si>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</si>
  <si>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</si>
  <si>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</si>
  <si>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</si>
  <si>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</si>
  <si>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</si>
  <si>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</si>
  <si>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</si>
  <si>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</si>
  <si>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</si>
  <si>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</si>
  <si>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</si>
  <si>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</si>
  <si>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</si>
  <si>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</si>
  <si>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</si>
  <si>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</si>
  <si>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</si>
  <si>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</si>
  <si>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</si>
  <si>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</si>
  <si>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</si>
  <si>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</si>
  <si>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</si>
  <si>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</si>
  <si>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</si>
  <si>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</si>
  <si>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</si>
  <si>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</si>
  <si>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</si>
  <si>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</si>
  <si>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</si>
  <si>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</si>
  <si>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</si>
  <si>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</si>
  <si>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</si>
  <si>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</si>
  <si>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</si>
  <si>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</si>
  <si>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</si>
  <si>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</si>
  <si>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</si>
  <si>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</si>
  <si>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</si>
  <si>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</si>
  <si>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</si>
  <si>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</si>
  <si>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</si>
  <si>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</si>
  <si>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</si>
  <si>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</si>
  <si>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</si>
  <si>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</si>
  <si>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</si>
  <si>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</si>
  <si>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</si>
  <si>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</si>
  <si>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</si>
  <si>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</si>
  <si>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</si>
  <si>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</si>
  <si>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</si>
  <si>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</si>
  <si>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</si>
  <si>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</si>
  <si>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</si>
  <si>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</si>
  <si>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</si>
  <si>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</si>
  <si>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</si>
  <si>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</si>
  <si>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</si>
  <si>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</si>
  <si>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</si>
  <si>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</si>
  <si>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</si>
  <si>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</si>
  <si>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</si>
  <si>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</si>
  <si>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</si>
  <si>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</si>
  <si>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</si>
  <si>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</si>
  <si>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</si>
  <si>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</si>
  <si>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</si>
  <si>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</si>
  <si>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</si>
  <si>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</si>
  <si>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</si>
  <si>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</si>
  <si>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</si>
  <si>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</si>
  <si>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</si>
  <si>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</si>
  <si>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</si>
  <si>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</si>
  <si>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</si>
  <si>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</si>
  <si>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</si>
  <si>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</si>
  <si>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</si>
  <si>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</si>
  <si>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</si>
  <si>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</si>
  <si>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</si>
  <si>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</si>
  <si>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</si>
  <si>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</si>
  <si>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</si>
  <si>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</si>
  <si>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</si>
  <si>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FDH Placement</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</si>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</sst>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xf numFmtId="0" fontId="0" fillId="4" borderId="9" xfId="0"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717591" createdVersion="8" refreshedVersion="8" minRefreshableVersion="3" recordCount="204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94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20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52"/>
    <x v="5"/>
    <x v="198"/>
    <m/>
    <m/>
    <s v="FDH Placement"/>
  </r>
  <r>
    <x v="261"/>
    <x v="36"/>
    <x v="198"/>
    <n v="828"/>
    <m/>
    <s v=" 6 Toby Boxes / 6 Daps / 22 Splices"/>
  </r>
  <r>
    <x v="255"/>
    <x v="27"/>
    <x v="198"/>
    <n v="430"/>
    <m/>
    <m/>
  </r>
  <r>
    <x v="238"/>
    <x v="57"/>
    <x v="198"/>
    <n v="322"/>
    <m/>
    <m/>
  </r>
  <r>
    <x v="256"/>
    <x v="45"/>
    <x v="198"/>
    <m/>
    <m/>
    <m/>
  </r>
  <r>
    <x v="262"/>
    <x v="5"/>
    <x v="198"/>
    <m/>
    <m/>
    <m/>
  </r>
  <r>
    <x v="257"/>
    <x v="5"/>
    <x v="198"/>
    <m/>
    <m/>
    <m/>
  </r>
  <r>
    <x v="258"/>
    <x v="5"/>
    <x v="198"/>
    <m/>
    <m/>
    <m/>
  </r>
  <r>
    <x v="125"/>
    <x v="16"/>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D-HWP917"/>
    <x v="5"/>
    <d v="2025-11-14T00:00:00"/>
    <m/>
    <m/>
    <s v="FDH Placement"/>
    <x v="10"/>
  </r>
  <r>
    <s v="Sherwood"/>
    <x v="36"/>
    <d v="2025-11-14T00:00:00"/>
    <n v="828"/>
    <m/>
    <s v=" 6 Toby Boxes / 6 Daps / 22 Splices"/>
    <x v="10"/>
  </r>
  <r>
    <s v="BHZD-FLX-04-W"/>
    <x v="27"/>
    <d v="2025-11-14T00:00:00"/>
    <n v="430"/>
    <m/>
    <m/>
    <x v="10"/>
  </r>
  <r>
    <s v="D-HLR204"/>
    <x v="57"/>
    <d v="2025-11-14T00:00:00"/>
    <n v="322"/>
    <m/>
    <m/>
    <x v="10"/>
  </r>
  <r>
    <s v="D-HDF711"/>
    <x v="45"/>
    <d v="2025-11-14T00:00:00"/>
    <m/>
    <m/>
    <m/>
    <x v="10"/>
  </r>
  <r>
    <s v="D-HSH241"/>
    <x v="5"/>
    <d v="2025-11-14T00:00:00"/>
    <m/>
    <m/>
    <m/>
    <x v="10"/>
  </r>
  <r>
    <s v="D-HSH237"/>
    <x v="5"/>
    <d v="2025-11-14T00:00:00"/>
    <m/>
    <m/>
    <m/>
    <x v="10"/>
  </r>
  <r>
    <s v="D-HSH242"/>
    <x v="5"/>
    <d v="2025-11-14T00:00:00"/>
    <m/>
    <m/>
    <m/>
    <x v="10"/>
  </r>
  <r>
    <m/>
    <x v="16"/>
    <d v="2025-11-17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6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 activePane="topRight" state="frozen"/>
      <selection pane="topRight" activeCell="Z120" sqref="Z120:Z12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158">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158">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158">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1159"/>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3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9"/>
  <sheetViews>
    <sheetView topLeftCell="A935" workbookViewId="0">
      <selection activeCell="A966" sqref="A966:G99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c r="B938" s="1157"/>
      <c r="C938" s="1157"/>
      <c r="D938" s="1157"/>
      <c r="E938" s="1157"/>
      <c r="F938" s="1157"/>
      <c r="G938" s="1157"/>
    </row>
    <row r="939" spans="1:7">
      <c r="A939" t="s">
        <v>340</v>
      </c>
      <c r="B939" s="1157"/>
      <c r="C939" s="1157"/>
      <c r="D939" s="1157"/>
      <c r="E939" s="1157"/>
      <c r="F939" s="1157"/>
      <c r="G939" s="1157"/>
    </row>
    <row r="940" spans="1:7">
      <c r="A940" t="s">
        <v>412</v>
      </c>
      <c r="B940" s="1157">
        <v>560</v>
      </c>
      <c r="C940" s="1157"/>
      <c r="D940" s="1157"/>
      <c r="E940" s="1157"/>
      <c r="F940" s="1157"/>
      <c r="G940" s="1157">
        <v>560</v>
      </c>
    </row>
    <row r="941" spans="1:7">
      <c r="A941" t="s">
        <v>369</v>
      </c>
      <c r="B941" s="1157"/>
      <c r="C941" s="1157"/>
      <c r="D941" s="1157"/>
      <c r="E941" s="1157"/>
      <c r="F941" s="1157"/>
      <c r="G941" s="1157"/>
    </row>
    <row r="942" spans="1:7">
      <c r="A942" t="s">
        <v>381</v>
      </c>
      <c r="B942" s="1157">
        <v>138</v>
      </c>
      <c r="C942" s="1157"/>
      <c r="D942" s="1157"/>
      <c r="E942" s="1157"/>
      <c r="F942" s="1157"/>
      <c r="G942" s="1157">
        <v>138</v>
      </c>
    </row>
    <row r="943" spans="1:7">
      <c r="A943" t="s">
        <v>367</v>
      </c>
      <c r="B943" s="1157"/>
      <c r="C943" s="1157"/>
      <c r="D943" s="1157"/>
      <c r="E943" s="1157"/>
      <c r="F943" s="1157"/>
      <c r="G943" s="1157"/>
    </row>
    <row r="944" spans="1:7">
      <c r="A944" t="s">
        <v>364</v>
      </c>
      <c r="B944" s="1157">
        <v>96</v>
      </c>
      <c r="C944" s="1157"/>
      <c r="D944" s="1157"/>
      <c r="E944" s="1157"/>
      <c r="F944" s="1157"/>
      <c r="G944" s="1157">
        <v>96</v>
      </c>
    </row>
    <row r="945" spans="1:7">
      <c r="A945" t="s">
        <v>383</v>
      </c>
      <c r="B945" s="1157">
        <v>632</v>
      </c>
      <c r="C945" s="1157"/>
      <c r="D945" s="1157"/>
      <c r="E945" s="1157"/>
      <c r="F945" s="1157"/>
      <c r="G945" s="1157">
        <v>632</v>
      </c>
    </row>
    <row r="946" spans="1:7">
      <c r="A946" t="s">
        <v>389</v>
      </c>
      <c r="B946" s="1157">
        <v>558</v>
      </c>
      <c r="C946" s="1157"/>
      <c r="D946" s="1157"/>
      <c r="E946" s="1157"/>
      <c r="F946" s="1157"/>
      <c r="G946" s="1157">
        <v>558</v>
      </c>
    </row>
    <row r="947" spans="1:7">
      <c r="A947" t="s">
        <v>232</v>
      </c>
      <c r="B947" s="1157">
        <v>562</v>
      </c>
      <c r="C947" s="1157"/>
      <c r="D947" s="1157">
        <v>474</v>
      </c>
      <c r="E947" s="1157">
        <v>606</v>
      </c>
      <c r="F947" s="1157">
        <v>322</v>
      </c>
      <c r="G947" s="1157">
        <v>1964</v>
      </c>
    </row>
    <row r="948" spans="1:7">
      <c r="A948" t="s">
        <v>392</v>
      </c>
      <c r="B948" s="1157">
        <v>1351</v>
      </c>
      <c r="C948" s="1157"/>
      <c r="D948" s="1157">
        <v>890</v>
      </c>
      <c r="E948" s="1157"/>
      <c r="F948" s="1157"/>
      <c r="G948" s="1157">
        <v>2241</v>
      </c>
    </row>
    <row r="949" spans="1:7">
      <c r="A949" t="s">
        <v>319</v>
      </c>
      <c r="B949" s="1157">
        <v>4084</v>
      </c>
      <c r="C949" s="1157"/>
      <c r="D949" s="1157">
        <v>242</v>
      </c>
      <c r="E949" s="1157"/>
      <c r="F949" s="1157"/>
      <c r="G949" s="1157">
        <v>4326</v>
      </c>
    </row>
    <row r="950" spans="1:7">
      <c r="A950" t="s">
        <v>934</v>
      </c>
      <c r="B950" s="1157">
        <v>748</v>
      </c>
      <c r="C950" s="1157">
        <v>1062</v>
      </c>
      <c r="D950" s="1157"/>
      <c r="E950" s="1157"/>
      <c r="F950" s="1157"/>
      <c r="G950" s="1157">
        <v>1810</v>
      </c>
    </row>
    <row r="951" spans="1:7">
      <c r="A951" t="s">
        <v>236</v>
      </c>
      <c r="B951" s="1157">
        <v>435</v>
      </c>
      <c r="C951" s="1157"/>
      <c r="D951" s="1157"/>
      <c r="E951" s="1157">
        <v>1123</v>
      </c>
      <c r="F951" s="1157"/>
      <c r="G951" s="1157">
        <v>1558</v>
      </c>
    </row>
    <row r="952" spans="1:7">
      <c r="A952" t="s">
        <v>142</v>
      </c>
      <c r="B952" s="1157"/>
      <c r="C952" s="1157"/>
      <c r="D952" s="1157">
        <v>1870</v>
      </c>
      <c r="E952" s="1157">
        <v>988</v>
      </c>
      <c r="F952" s="1157"/>
      <c r="G952" s="1157">
        <v>2858</v>
      </c>
    </row>
    <row r="953" spans="1:7">
      <c r="A953" t="s">
        <v>138</v>
      </c>
      <c r="B953" s="1157"/>
      <c r="C953" s="1157"/>
      <c r="D953" s="1157">
        <v>877</v>
      </c>
      <c r="E953" s="1157">
        <v>814</v>
      </c>
      <c r="F953" s="1157"/>
      <c r="G953" s="1157">
        <v>1691</v>
      </c>
    </row>
    <row r="954" spans="1:7">
      <c r="A954" t="s">
        <v>214</v>
      </c>
      <c r="B954" s="1157"/>
      <c r="C954" s="1157"/>
      <c r="D954" s="1157">
        <v>711</v>
      </c>
      <c r="E954" s="1157">
        <v>325</v>
      </c>
      <c r="F954" s="1157">
        <v>430</v>
      </c>
      <c r="G954" s="1157">
        <v>1466</v>
      </c>
    </row>
    <row r="955" spans="1:7">
      <c r="A955" t="s">
        <v>286</v>
      </c>
      <c r="B955" s="1157"/>
      <c r="C955" s="1157"/>
      <c r="D955" s="1157">
        <v>1486</v>
      </c>
      <c r="E955" s="1157">
        <v>2912</v>
      </c>
      <c r="F955" s="1157"/>
      <c r="G955" s="1157">
        <v>4398</v>
      </c>
    </row>
    <row r="956" spans="1:7">
      <c r="A956" t="s">
        <v>314</v>
      </c>
      <c r="B956" s="1157"/>
      <c r="C956" s="1157"/>
      <c r="D956" s="1157">
        <v>1264</v>
      </c>
      <c r="E956" s="1157">
        <v>1281</v>
      </c>
      <c r="F956" s="1157"/>
      <c r="G956" s="1157">
        <v>2545</v>
      </c>
    </row>
    <row r="957" spans="1:7">
      <c r="A957" t="s">
        <v>321</v>
      </c>
      <c r="B957" s="1157"/>
      <c r="C957" s="1157"/>
      <c r="D957" s="1157"/>
      <c r="E957" s="1157"/>
      <c r="F957" s="1157"/>
      <c r="G957" s="1157"/>
    </row>
    <row r="958" spans="1:7">
      <c r="A958" t="s">
        <v>935</v>
      </c>
      <c r="B958" s="1157"/>
      <c r="C958" s="1157"/>
      <c r="D958" s="1157"/>
      <c r="E958" s="1157"/>
      <c r="F958" s="1157"/>
      <c r="G958" s="1157"/>
    </row>
    <row r="959" spans="1:7">
      <c r="A959" t="s">
        <v>323</v>
      </c>
      <c r="B959" s="1157"/>
      <c r="C959" s="1157"/>
      <c r="D959" s="1157">
        <v>3678</v>
      </c>
      <c r="E959" s="1157">
        <v>3382</v>
      </c>
      <c r="F959" s="1157"/>
      <c r="G959" s="1157">
        <v>7060</v>
      </c>
    </row>
    <row r="960" spans="1:7">
      <c r="A960" t="s">
        <v>936</v>
      </c>
      <c r="B960" s="1157"/>
      <c r="C960" s="1157"/>
      <c r="D960" s="1157"/>
      <c r="E960" s="1157"/>
      <c r="F960" s="1157">
        <v>828</v>
      </c>
      <c r="G960" s="1157">
        <v>828</v>
      </c>
    </row>
    <row r="961" spans="1:7">
      <c r="A961" t="s">
        <v>338</v>
      </c>
      <c r="B961" s="1157"/>
      <c r="C961" s="1157"/>
      <c r="D961" s="1157"/>
      <c r="E961" s="1157">
        <v>424</v>
      </c>
      <c r="F961" s="1157"/>
      <c r="G961" s="1157">
        <v>424</v>
      </c>
    </row>
    <row r="962" spans="1:7">
      <c r="A962" t="s">
        <v>325</v>
      </c>
      <c r="B962" s="1157"/>
      <c r="C962" s="1157"/>
      <c r="D962" s="1157"/>
      <c r="E962" s="1157">
        <v>598</v>
      </c>
      <c r="F962" s="1157"/>
      <c r="G962" s="1157">
        <v>598</v>
      </c>
    </row>
    <row r="963" spans="1:7">
      <c r="A963" t="s">
        <v>869</v>
      </c>
      <c r="B963" s="1157">
        <v>9164</v>
      </c>
      <c r="C963" s="1157">
        <v>1062</v>
      </c>
      <c r="D963" s="1157">
        <v>11492</v>
      </c>
      <c r="E963" s="1157">
        <v>12453</v>
      </c>
      <c r="F963" s="1157">
        <v>1580</v>
      </c>
      <c r="G963" s="1157">
        <v>35751</v>
      </c>
    </row>
    <row r="966" spans="1:7">
      <c r="A966" s="44" t="s">
        <v>867</v>
      </c>
      <c r="B966" s="44" t="s">
        <v>865</v>
      </c>
    </row>
    <row r="967" spans="1:7">
      <c r="A967" s="44" t="s">
        <v>868</v>
      </c>
      <c r="B967" s="112">
        <v>45978</v>
      </c>
      <c r="C967" t="s">
        <v>869</v>
      </c>
    </row>
    <row r="968" spans="1:7">
      <c r="A968" t="s">
        <v>898</v>
      </c>
      <c r="B968" s="1157"/>
      <c r="C968" s="1157"/>
    </row>
    <row r="969" spans="1:7">
      <c r="A969" t="s">
        <v>869</v>
      </c>
      <c r="B969" s="1157"/>
      <c r="C969" s="115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3"/>
  <sheetViews>
    <sheetView workbookViewId="0">
      <pane ySplit="1" topLeftCell="A2025" activePane="bottomLeft" state="frozen"/>
      <selection pane="bottomLeft" activeCell="C2047" sqref="C204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D2025" s="43">
        <v>606</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D2027" s="156">
        <v>2912</v>
      </c>
      <c r="G2027" t="s">
        <v>1601</v>
      </c>
    </row>
    <row r="2028" spans="1:7">
      <c r="A2028" s="636" t="s">
        <v>340</v>
      </c>
      <c r="B2028" s="43" t="s">
        <v>1306</v>
      </c>
      <c r="C2028" s="56">
        <v>45974</v>
      </c>
      <c r="F2028" s="43" t="s">
        <v>1028</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row r="2033" spans="1:7">
      <c r="A2033" s="142" t="s">
        <v>389</v>
      </c>
      <c r="B2033" s="142" t="s">
        <v>1306</v>
      </c>
      <c r="C2033" s="56">
        <v>45975</v>
      </c>
      <c r="E2033" s="1087">
        <v>5647</v>
      </c>
      <c r="F2033" s="310" t="s">
        <v>1637</v>
      </c>
      <c r="G2033" t="s">
        <v>1601</v>
      </c>
    </row>
    <row r="2034" spans="1:7">
      <c r="A2034" s="308" t="s">
        <v>381</v>
      </c>
      <c r="B2034" s="308" t="s">
        <v>1306</v>
      </c>
      <c r="C2034" s="56">
        <v>45975</v>
      </c>
      <c r="D2034" s="140"/>
      <c r="E2034" s="43">
        <v>565</v>
      </c>
      <c r="F2034" s="142"/>
      <c r="G2034" t="s">
        <v>1601</v>
      </c>
    </row>
    <row r="2035" spans="1:7">
      <c r="A2035" s="308" t="s">
        <v>142</v>
      </c>
      <c r="B2035" s="308" t="s">
        <v>139</v>
      </c>
      <c r="C2035" s="56">
        <v>45975</v>
      </c>
      <c r="D2035" s="140"/>
      <c r="E2035" s="43"/>
      <c r="F2035" s="142" t="s">
        <v>1638</v>
      </c>
      <c r="G2035" t="s">
        <v>1601</v>
      </c>
    </row>
    <row r="2036" spans="1:7">
      <c r="A2036" s="308" t="s">
        <v>936</v>
      </c>
      <c r="B2036" s="308" t="s">
        <v>207</v>
      </c>
      <c r="C2036" s="56">
        <v>45975</v>
      </c>
      <c r="D2036" s="43">
        <v>828</v>
      </c>
      <c r="E2036" s="257"/>
      <c r="F2036" s="171" t="s">
        <v>1639</v>
      </c>
      <c r="G2036" t="s">
        <v>1601</v>
      </c>
    </row>
    <row r="2037" spans="1:7">
      <c r="A2037" s="142" t="s">
        <v>214</v>
      </c>
      <c r="B2037" s="142" t="s">
        <v>1306</v>
      </c>
      <c r="C2037" s="56">
        <v>45975</v>
      </c>
      <c r="D2037" s="43">
        <v>430</v>
      </c>
      <c r="G2037" t="s">
        <v>1601</v>
      </c>
    </row>
    <row r="2038" spans="1:7">
      <c r="A2038" s="309" t="s">
        <v>232</v>
      </c>
      <c r="B2038" s="308" t="s">
        <v>233</v>
      </c>
      <c r="C2038" s="56">
        <v>45975</v>
      </c>
      <c r="D2038" s="43">
        <v>322</v>
      </c>
      <c r="G2038" t="s">
        <v>1601</v>
      </c>
    </row>
    <row r="2039" spans="1:7">
      <c r="A2039" s="315" t="s">
        <v>286</v>
      </c>
      <c r="B2039" s="319" t="s">
        <v>1526</v>
      </c>
      <c r="C2039" s="56">
        <v>45975</v>
      </c>
      <c r="G2039" t="s">
        <v>1601</v>
      </c>
    </row>
    <row r="2040" spans="1:7">
      <c r="A2040" s="142" t="s">
        <v>321</v>
      </c>
      <c r="B2040" s="142" t="s">
        <v>139</v>
      </c>
      <c r="C2040" s="56">
        <v>45975</v>
      </c>
      <c r="G2040" t="s">
        <v>1601</v>
      </c>
    </row>
    <row r="2041" spans="1:7">
      <c r="A2041" s="308" t="s">
        <v>314</v>
      </c>
      <c r="B2041" s="308" t="s">
        <v>139</v>
      </c>
      <c r="C2041" s="56">
        <v>45975</v>
      </c>
      <c r="G2041" t="s">
        <v>1601</v>
      </c>
    </row>
    <row r="2042" spans="1:7">
      <c r="A2042" s="308" t="s">
        <v>323</v>
      </c>
      <c r="B2042" s="308" t="s">
        <v>139</v>
      </c>
      <c r="C2042" s="56">
        <v>45975</v>
      </c>
      <c r="G2042" t="s">
        <v>1601</v>
      </c>
    </row>
    <row r="2043" spans="1:7">
      <c r="C2043" s="56">
        <v>45978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1011</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7">
        <v>223696</v>
      </c>
      <c r="E4" s="44" t="s">
        <v>1718</v>
      </c>
      <c r="F4" t="s">
        <v>872</v>
      </c>
      <c r="W4" t="s">
        <v>1722</v>
      </c>
      <c r="X4">
        <v>22</v>
      </c>
    </row>
    <row r="5" spans="1:25">
      <c r="B5" t="s">
        <v>60</v>
      </c>
      <c r="C5" s="1157">
        <v>53770</v>
      </c>
      <c r="E5" t="s">
        <v>872</v>
      </c>
      <c r="F5" s="1157">
        <v>307508</v>
      </c>
      <c r="K5" s="44" t="s">
        <v>1723</v>
      </c>
      <c r="P5" s="44" t="s">
        <v>1723</v>
      </c>
      <c r="W5" t="s">
        <v>1724</v>
      </c>
      <c r="X5">
        <v>13</v>
      </c>
    </row>
    <row r="6" spans="1:25">
      <c r="B6" t="s">
        <v>100</v>
      </c>
      <c r="C6" s="1157">
        <v>22387</v>
      </c>
      <c r="K6" s="44" t="s">
        <v>27</v>
      </c>
      <c r="L6" s="44" t="s">
        <v>1725</v>
      </c>
      <c r="M6" t="s">
        <v>872</v>
      </c>
      <c r="P6" s="44" t="s">
        <v>1726</v>
      </c>
      <c r="Q6" s="44" t="s">
        <v>1725</v>
      </c>
      <c r="R6" t="s">
        <v>872</v>
      </c>
    </row>
    <row r="7" spans="1:25">
      <c r="B7" t="s">
        <v>898</v>
      </c>
      <c r="C7" s="1157">
        <v>220463</v>
      </c>
      <c r="K7" t="s">
        <v>1719</v>
      </c>
      <c r="L7" t="s">
        <v>503</v>
      </c>
      <c r="M7" s="1157">
        <v>1</v>
      </c>
      <c r="P7" t="s">
        <v>1727</v>
      </c>
      <c r="R7" s="1157">
        <v>1</v>
      </c>
      <c r="X7" t="s">
        <v>1728</v>
      </c>
      <c r="Y7" t="s">
        <v>1729</v>
      </c>
    </row>
    <row r="8" spans="1:25">
      <c r="B8" t="s">
        <v>51</v>
      </c>
      <c r="C8" s="1157">
        <v>0</v>
      </c>
      <c r="L8" t="s">
        <v>505</v>
      </c>
      <c r="M8" s="1157">
        <v>1</v>
      </c>
      <c r="P8" t="s">
        <v>1730</v>
      </c>
      <c r="R8" s="1157">
        <v>1</v>
      </c>
      <c r="V8" t="s">
        <v>1731</v>
      </c>
      <c r="W8" s="261">
        <v>203521</v>
      </c>
      <c r="X8" s="317">
        <f>X5/X4</f>
        <v>0.59090909090909094</v>
      </c>
      <c r="Y8" s="317">
        <f>W9/W8</f>
        <v>0.31446386367991508</v>
      </c>
    </row>
    <row r="9" spans="1:25">
      <c r="B9" t="s">
        <v>22</v>
      </c>
      <c r="C9" s="1157">
        <v>0</v>
      </c>
      <c r="L9" t="s">
        <v>1732</v>
      </c>
      <c r="M9" s="1157">
        <v>1</v>
      </c>
      <c r="P9" t="s">
        <v>1733</v>
      </c>
      <c r="Q9" t="s">
        <v>1732</v>
      </c>
      <c r="R9" s="1157">
        <v>1</v>
      </c>
      <c r="V9" t="s">
        <v>1734</v>
      </c>
      <c r="W9">
        <v>64000</v>
      </c>
    </row>
    <row r="10" spans="1:25">
      <c r="B10" t="s">
        <v>237</v>
      </c>
      <c r="C10" s="1157">
        <v>7348</v>
      </c>
      <c r="L10" t="s">
        <v>604</v>
      </c>
      <c r="M10" s="1157">
        <v>1</v>
      </c>
      <c r="Q10" t="s">
        <v>608</v>
      </c>
      <c r="R10" s="1157">
        <v>1</v>
      </c>
    </row>
    <row r="11" spans="1:25">
      <c r="B11" t="s">
        <v>239</v>
      </c>
      <c r="C11" s="1157">
        <v>41868</v>
      </c>
      <c r="L11" t="s">
        <v>608</v>
      </c>
      <c r="M11" s="1157">
        <v>1</v>
      </c>
      <c r="Q11" t="s">
        <v>486</v>
      </c>
      <c r="R11" s="1157">
        <v>1</v>
      </c>
    </row>
    <row r="12" spans="1:25">
      <c r="B12" t="s">
        <v>201</v>
      </c>
      <c r="C12" s="1157">
        <v>103</v>
      </c>
      <c r="L12" t="s">
        <v>486</v>
      </c>
      <c r="M12" s="1157">
        <v>1</v>
      </c>
      <c r="Q12" t="s">
        <v>1735</v>
      </c>
      <c r="R12" s="1157">
        <v>1</v>
      </c>
    </row>
    <row r="13" spans="1:25">
      <c r="B13" t="s">
        <v>204</v>
      </c>
      <c r="C13" s="1157">
        <v>16290</v>
      </c>
      <c r="L13" t="s">
        <v>1736</v>
      </c>
      <c r="M13" s="1157">
        <v>1</v>
      </c>
      <c r="Q13" t="s">
        <v>822</v>
      </c>
      <c r="R13" s="1157">
        <v>1</v>
      </c>
    </row>
    <row r="14" spans="1:25">
      <c r="B14" t="s">
        <v>233</v>
      </c>
      <c r="C14" s="1157">
        <v>11123</v>
      </c>
      <c r="L14" t="s">
        <v>622</v>
      </c>
      <c r="M14" s="1157">
        <v>1</v>
      </c>
      <c r="P14" t="s">
        <v>1737</v>
      </c>
      <c r="R14" s="1157">
        <v>5</v>
      </c>
    </row>
    <row r="15" spans="1:25">
      <c r="B15" t="s">
        <v>105</v>
      </c>
      <c r="C15" s="1157">
        <v>3970</v>
      </c>
      <c r="L15" t="s">
        <v>1735</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1738</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1739</v>
      </c>
      <c r="M26" s="1157">
        <v>19</v>
      </c>
    </row>
    <row r="27" spans="2:13">
      <c r="K27" t="s">
        <v>1740</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1741</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1742</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413C6B5-8EEA-4DE3-AD2A-BEC42AB251CA}"/>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2025-11-15T20:40:27Z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