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30" documentId="8_{E14B221E-02E2-46A3-8CEC-C736815F2DD5}" xr6:coauthVersionLast="47" xr6:coauthVersionMax="47" xr10:uidLastSave="{73E18E30-70EA-4F3B-9D7F-E045833F24E0}"/>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125" r:id="rId12"/>
    <pivotCache cacheId="126" r:id="rId13"/>
    <pivotCache cacheId="127" r:id="rId14"/>
    <pivotCache cacheId="128" r:id="rId15"/>
    <pivotCache cacheId="1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<sst xmlns="http://schemas.openxmlformats.org/spreadsheetml/2006/main" count="17244" uniqueCount="2213">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</sst>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2"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I16" activePane="topRight" state="frozen"/>
      <selection pane="topRight" activeCell="J29" sqref="J2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4">
        <v>4765</v>
      </c>
      <c r="X79" s="1494">
        <f>SUM(V79-W79)</f>
        <v>2060</v>
      </c>
      <c r="Y79" s="658">
        <f>IFERROR($W79/$V79, 0)</f>
        <v>0.69816849816849813</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7">
        <v>3893</v>
      </c>
      <c r="X93" s="1378">
        <f t="shared" ref="X93:X95" si="10">SUM(V93-W93)</f>
        <v>1806</v>
      </c>
      <c r="Y93" s="1130">
        <f t="shared" ref="Y93:Y95" si="11">IFERROR($W93/$V93, 0)</f>
        <v>0.68310229864888572</v>
      </c>
      <c r="Z93" s="1498">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7">
        <v>3433</v>
      </c>
      <c r="X94" s="1378">
        <f t="shared" si="10"/>
        <v>2999</v>
      </c>
      <c r="Y94" s="1130">
        <f t="shared" si="11"/>
        <v>0.53373756218905477</v>
      </c>
      <c r="Z94" s="1498">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499">
        <v>4339</v>
      </c>
      <c r="X95" s="1236">
        <f t="shared" si="10"/>
        <v>2806</v>
      </c>
      <c r="Y95" s="868">
        <f t="shared" si="11"/>
        <v>0.60727781665500347</v>
      </c>
      <c r="Z95" s="1498">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500">
        <v>4019</v>
      </c>
      <c r="X96" s="1437">
        <f t="shared" ref="X96" si="12">SUM(V96-W96)</f>
        <v>3</v>
      </c>
      <c r="Y96" s="1365">
        <f t="shared" ref="Y96" si="13">IFERROR($W96/$V96, 0)</f>
        <v>0.99925410243659873</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8"/>
      <c r="R109" s="1335"/>
      <c r="S109" s="1335"/>
      <c r="T109" s="1335"/>
      <c r="U109" s="1335"/>
      <c r="V109" s="1236">
        <v>8641</v>
      </c>
      <c r="W109" s="1497"/>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T49" activePane="topRight" state="frozen"/>
      <selection pane="topRight" activeCell="U57" sqref="U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0" t="s">
        <v>63</v>
      </c>
      <c r="K15" s="1490"/>
      <c r="L15" s="476" t="s">
        <v>52</v>
      </c>
      <c r="M15" s="478" t="s">
        <v>57</v>
      </c>
      <c r="N15" s="1491">
        <v>1035</v>
      </c>
      <c r="O15" s="1197" t="s">
        <v>57</v>
      </c>
      <c r="P15" s="1246" t="s">
        <v>334</v>
      </c>
      <c r="Q15" s="1492">
        <v>46030</v>
      </c>
      <c r="R15" s="1309"/>
      <c r="S15" s="1309"/>
      <c r="T15" s="1309"/>
      <c r="U15" s="1309"/>
      <c r="V15" s="1493">
        <v>0</v>
      </c>
      <c r="W15" s="1504">
        <v>0</v>
      </c>
      <c r="X15" s="1494">
        <f>SUM(V15-W15)</f>
        <v>0</v>
      </c>
      <c r="Y15" s="658">
        <v>1</v>
      </c>
      <c r="Z15" s="1492">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0">
        <v>0</v>
      </c>
      <c r="I28" s="657" t="s">
        <v>333</v>
      </c>
      <c r="J28" s="1490" t="s">
        <v>63</v>
      </c>
      <c r="K28" s="1490"/>
      <c r="L28" s="1313" t="s">
        <v>137</v>
      </c>
      <c r="M28" s="1490" t="s">
        <v>57</v>
      </c>
      <c r="N28" s="1505">
        <v>15670.45</v>
      </c>
      <c r="O28" s="1490" t="s">
        <v>57</v>
      </c>
      <c r="P28" s="1506" t="s">
        <v>334</v>
      </c>
      <c r="Q28" s="1507">
        <v>46031</v>
      </c>
      <c r="R28" s="1507"/>
      <c r="S28" s="1507"/>
      <c r="T28" s="1507"/>
      <c r="U28" s="1507"/>
      <c r="V28" s="782">
        <v>1202</v>
      </c>
      <c r="W28" s="1247">
        <v>1208</v>
      </c>
      <c r="X28" s="1494">
        <f>SUM(V28-W28)</f>
        <v>-6</v>
      </c>
      <c r="Y28" s="658">
        <v>1</v>
      </c>
      <c r="Z28" s="1200">
        <v>46035</v>
      </c>
      <c r="AA28" s="355">
        <v>1</v>
      </c>
      <c r="AB28" s="1508">
        <v>0</v>
      </c>
      <c r="AC28" s="1494">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8">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8">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78"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0"/>
      <c r="V37" s="31">
        <v>7341</v>
      </c>
      <c r="W37" s="1510">
        <v>7151</v>
      </c>
      <c r="X37" s="1236">
        <f t="shared" si="15"/>
        <v>190</v>
      </c>
      <c r="Y37" s="868">
        <f t="shared" si="13"/>
        <v>0.97411796757934888</v>
      </c>
      <c r="Z37" s="1498">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8">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26">
        <v>46048</v>
      </c>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1226">
        <v>46048</v>
      </c>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26">
        <v>46048</v>
      </c>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26">
        <v>46048</v>
      </c>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79"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R34:U38 L40:L43 D42:D63 L1:L33 L66:L70 D65 Q64:U64 Q68:U70 Q40:Q43 L51:L62 Q59:U62 D34:D39 Q1:U33 U5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351</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351</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351</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331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354</v>
      </c>
      <c r="C753">
        <v>251</v>
      </c>
      <c r="D753">
        <v>253</v>
      </c>
      <c r="E753">
        <v>1076</v>
      </c>
      <c r="G753">
        <v>1580</v>
      </c>
    </row>
    <row r="754" spans="1:7">
      <c r="A754" t="s">
        <v>331</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354</v>
      </c>
      <c r="C770">
        <v>120</v>
      </c>
      <c r="D770">
        <v>190</v>
      </c>
      <c r="G770">
        <v>310</v>
      </c>
    </row>
    <row r="771" spans="1:7">
      <c r="A771" t="s">
        <v>331</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354</v>
      </c>
      <c r="B794">
        <v>479</v>
      </c>
      <c r="E794">
        <v>170</v>
      </c>
      <c r="G794">
        <v>649</v>
      </c>
    </row>
    <row r="795" spans="1:7">
      <c r="A795" t="s">
        <v>331</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357</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354</v>
      </c>
      <c r="E818">
        <v>725</v>
      </c>
      <c r="G818">
        <v>725</v>
      </c>
    </row>
    <row r="819" spans="1:7">
      <c r="A819" t="s">
        <v>331</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357</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336</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331</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339</v>
      </c>
      <c r="B847">
        <v>60</v>
      </c>
      <c r="C847">
        <v>219</v>
      </c>
      <c r="G847">
        <v>279</v>
      </c>
    </row>
    <row r="848" spans="1:7">
      <c r="A848" t="s">
        <v>1032</v>
      </c>
      <c r="D848">
        <v>240</v>
      </c>
      <c r="G848">
        <v>240</v>
      </c>
    </row>
    <row r="849" spans="1:7">
      <c r="A849" t="s">
        <v>1144</v>
      </c>
      <c r="C849">
        <v>1603</v>
      </c>
      <c r="D849">
        <v>791</v>
      </c>
      <c r="E849">
        <v>2803</v>
      </c>
      <c r="G849">
        <v>5197</v>
      </c>
    </row>
    <row r="850" spans="1:7">
      <c r="A850" t="s">
        <v>347</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350</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347</v>
      </c>
      <c r="B867">
        <v>1100</v>
      </c>
      <c r="C867">
        <v>527</v>
      </c>
      <c r="D867">
        <v>553</v>
      </c>
      <c r="G867">
        <v>2180</v>
      </c>
    </row>
    <row r="868" spans="1:7">
      <c r="A868" t="s">
        <v>579</v>
      </c>
      <c r="C868">
        <v>230</v>
      </c>
      <c r="G868">
        <v>230</v>
      </c>
    </row>
    <row r="869" spans="1:7">
      <c r="A869" t="s">
        <v>1015</v>
      </c>
      <c r="B869">
        <v>853</v>
      </c>
      <c r="G869">
        <v>853</v>
      </c>
    </row>
    <row r="870" spans="1:7">
      <c r="A870" t="s">
        <v>350</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348</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331</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347</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348</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342</v>
      </c>
      <c r="D899">
        <v>3179</v>
      </c>
      <c r="G899">
        <v>3179</v>
      </c>
    </row>
    <row r="900" spans="1:7">
      <c r="A900" t="s">
        <v>610</v>
      </c>
      <c r="E900">
        <v>978</v>
      </c>
      <c r="G900">
        <v>978</v>
      </c>
    </row>
    <row r="901" spans="1:7">
      <c r="A901" t="s">
        <v>405</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331</v>
      </c>
    </row>
    <row r="911" spans="1:7">
      <c r="A911" t="s">
        <v>357</v>
      </c>
      <c r="F911">
        <v>569</v>
      </c>
      <c r="G911">
        <v>569</v>
      </c>
    </row>
    <row r="912" spans="1:7">
      <c r="A912" t="s">
        <v>638</v>
      </c>
    </row>
    <row r="913" spans="1:7">
      <c r="A913" t="s">
        <v>339</v>
      </c>
      <c r="D913">
        <v>150</v>
      </c>
      <c r="G913">
        <v>150</v>
      </c>
    </row>
    <row r="914" spans="1:7">
      <c r="A914" t="s">
        <v>350</v>
      </c>
    </row>
    <row r="915" spans="1:7">
      <c r="A915" t="s">
        <v>585</v>
      </c>
      <c r="B915">
        <v>701</v>
      </c>
      <c r="G915">
        <v>701</v>
      </c>
    </row>
    <row r="916" spans="1:7">
      <c r="A916" t="s">
        <v>973</v>
      </c>
      <c r="B916">
        <v>463</v>
      </c>
      <c r="C916">
        <v>633</v>
      </c>
      <c r="D916">
        <v>625</v>
      </c>
      <c r="G916">
        <v>1721</v>
      </c>
    </row>
    <row r="917" spans="1:7">
      <c r="A917" t="s">
        <v>348</v>
      </c>
    </row>
    <row r="918" spans="1:7">
      <c r="A918" t="s">
        <v>342</v>
      </c>
      <c r="B918">
        <v>882</v>
      </c>
      <c r="C918">
        <v>1072</v>
      </c>
      <c r="D918">
        <v>1034</v>
      </c>
      <c r="E918">
        <v>209</v>
      </c>
      <c r="G918">
        <v>3197</v>
      </c>
    </row>
    <row r="919" spans="1:7">
      <c r="A919" t="s">
        <v>610</v>
      </c>
      <c r="B919">
        <v>1420</v>
      </c>
      <c r="C919">
        <v>990</v>
      </c>
      <c r="D919">
        <v>549</v>
      </c>
      <c r="G919">
        <v>2959</v>
      </c>
    </row>
    <row r="920" spans="1:7">
      <c r="A920" t="s">
        <v>405</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361</v>
      </c>
      <c r="B924">
        <v>207</v>
      </c>
      <c r="G924">
        <v>207</v>
      </c>
    </row>
    <row r="925" spans="1:7">
      <c r="A925" t="s">
        <v>642</v>
      </c>
      <c r="C925">
        <v>1691</v>
      </c>
      <c r="D925">
        <v>1998</v>
      </c>
      <c r="E925">
        <v>760</v>
      </c>
      <c r="F925">
        <v>3975</v>
      </c>
      <c r="G925">
        <v>8424</v>
      </c>
    </row>
    <row r="926" spans="1:7">
      <c r="A926" t="s">
        <v>613</v>
      </c>
      <c r="D926">
        <v>1031</v>
      </c>
      <c r="G926">
        <v>1031</v>
      </c>
    </row>
    <row r="927" spans="1:7">
      <c r="A927" t="s">
        <v>359</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336</v>
      </c>
    </row>
    <row r="940" spans="1:7">
      <c r="A940" t="s">
        <v>638</v>
      </c>
      <c r="B940">
        <v>560</v>
      </c>
      <c r="G940">
        <v>560</v>
      </c>
    </row>
    <row r="941" spans="1:7">
      <c r="A941" t="s">
        <v>350</v>
      </c>
    </row>
    <row r="942" spans="1:7">
      <c r="A942" t="s">
        <v>585</v>
      </c>
      <c r="B942">
        <v>138</v>
      </c>
      <c r="G942">
        <v>138</v>
      </c>
    </row>
    <row r="943" spans="1:7">
      <c r="A943" t="s">
        <v>348</v>
      </c>
    </row>
    <row r="944" spans="1:7">
      <c r="A944" t="s">
        <v>342</v>
      </c>
      <c r="B944">
        <v>96</v>
      </c>
      <c r="G944">
        <v>96</v>
      </c>
    </row>
    <row r="945" spans="1:7">
      <c r="A945" t="s">
        <v>610</v>
      </c>
      <c r="B945">
        <v>632</v>
      </c>
      <c r="G945">
        <v>632</v>
      </c>
    </row>
    <row r="946" spans="1:7">
      <c r="A946" t="s">
        <v>405</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344</v>
      </c>
      <c r="B951">
        <v>435</v>
      </c>
      <c r="E951">
        <v>1123</v>
      </c>
      <c r="G951">
        <v>1558</v>
      </c>
    </row>
    <row r="952" spans="1:7">
      <c r="A952" t="s">
        <v>387</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380</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405</v>
      </c>
      <c r="B972">
        <v>127</v>
      </c>
      <c r="G972">
        <v>127</v>
      </c>
    </row>
    <row r="973" spans="1:7">
      <c r="A973" t="s">
        <v>200</v>
      </c>
      <c r="B973">
        <v>420</v>
      </c>
      <c r="G973">
        <v>420</v>
      </c>
    </row>
    <row r="974" spans="1:7">
      <c r="A974" t="s">
        <v>613</v>
      </c>
    </row>
    <row r="975" spans="1:7">
      <c r="A975" t="s">
        <v>344</v>
      </c>
      <c r="C975">
        <v>1917</v>
      </c>
      <c r="E975">
        <v>272</v>
      </c>
      <c r="G975">
        <v>2189</v>
      </c>
    </row>
    <row r="976" spans="1:7">
      <c r="A976" t="s">
        <v>581</v>
      </c>
      <c r="B976">
        <v>956</v>
      </c>
      <c r="G976">
        <v>956</v>
      </c>
    </row>
    <row r="977" spans="1:7">
      <c r="A977" t="s">
        <v>186</v>
      </c>
      <c r="E977">
        <v>195</v>
      </c>
      <c r="G977">
        <v>195</v>
      </c>
    </row>
    <row r="978" spans="1:7">
      <c r="A978" t="s">
        <v>380</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392</v>
      </c>
      <c r="C987">
        <v>1679</v>
      </c>
      <c r="D987">
        <v>1429</v>
      </c>
      <c r="E987">
        <v>1624</v>
      </c>
      <c r="G987">
        <v>4732</v>
      </c>
    </row>
    <row r="988" spans="1:7">
      <c r="A988" t="s">
        <v>381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336</v>
      </c>
    </row>
    <row r="1008" spans="1:7">
      <c r="A1008" t="s">
        <v>973</v>
      </c>
    </row>
    <row r="1009" spans="1:7">
      <c r="A1009" t="s">
        <v>348</v>
      </c>
    </row>
    <row r="1010" spans="1:7">
      <c r="A1010" t="s">
        <v>342</v>
      </c>
    </row>
    <row r="1011" spans="1:7">
      <c r="A1011" t="s">
        <v>200</v>
      </c>
      <c r="D1011">
        <v>426</v>
      </c>
      <c r="G1011">
        <v>426</v>
      </c>
    </row>
    <row r="1012" spans="1:7">
      <c r="A1012" t="s">
        <v>359</v>
      </c>
    </row>
    <row r="1013" spans="1:7">
      <c r="A1013" t="s">
        <v>430</v>
      </c>
    </row>
    <row r="1014" spans="1:7">
      <c r="A1014" t="s">
        <v>283</v>
      </c>
      <c r="C1014">
        <v>1175</v>
      </c>
      <c r="G1014">
        <v>1175</v>
      </c>
    </row>
    <row r="1015" spans="1:7">
      <c r="A1015" t="s">
        <v>425</v>
      </c>
      <c r="C1015">
        <v>996</v>
      </c>
      <c r="G1015">
        <v>996</v>
      </c>
    </row>
    <row r="1016" spans="1:7">
      <c r="A1016" t="s">
        <v>344</v>
      </c>
      <c r="B1016">
        <v>900</v>
      </c>
      <c r="G1016">
        <v>900</v>
      </c>
    </row>
    <row r="1017" spans="1:7">
      <c r="A1017" t="s">
        <v>387</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392</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383</v>
      </c>
      <c r="C1028">
        <v>2568</v>
      </c>
      <c r="G1028">
        <v>2568</v>
      </c>
    </row>
    <row r="1029" spans="1:7">
      <c r="A1029" t="s">
        <v>602</v>
      </c>
      <c r="B1029">
        <v>286</v>
      </c>
      <c r="C1029">
        <v>357</v>
      </c>
      <c r="D1029">
        <v>331</v>
      </c>
      <c r="G1029">
        <v>974</v>
      </c>
    </row>
    <row r="1030" spans="1:7">
      <c r="A1030" t="s">
        <v>374</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383</v>
      </c>
      <c r="E1059">
        <v>489</v>
      </c>
      <c r="F1059">
        <v>2020</v>
      </c>
      <c r="G1059">
        <v>2509</v>
      </c>
    </row>
    <row r="1060" spans="1:7">
      <c r="A1060" t="s">
        <v>374</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395</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383</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395</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368</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371</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385</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395</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359</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400</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389</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336</v>
      </c>
    </row>
    <row r="1209" spans="1:7">
      <c r="A1209" t="s">
        <v>361</v>
      </c>
    </row>
    <row r="1210" spans="1:7">
      <c r="A1210" t="s">
        <v>288</v>
      </c>
    </row>
    <row r="1211" spans="1:7">
      <c r="A1211" t="s">
        <v>240</v>
      </c>
      <c r="B1211">
        <v>1812</v>
      </c>
      <c r="C1211">
        <v>1838</v>
      </c>
      <c r="E1211">
        <v>0</v>
      </c>
      <c r="G1211">
        <v>3650</v>
      </c>
    </row>
    <row r="1212" spans="1:7">
      <c r="A1212" t="s">
        <v>400</v>
      </c>
      <c r="B1212">
        <v>1314</v>
      </c>
      <c r="G1212">
        <v>1314</v>
      </c>
    </row>
    <row r="1213" spans="1:7">
      <c r="A1213" t="s">
        <v>1010</v>
      </c>
      <c r="D1213">
        <v>0</v>
      </c>
      <c r="G1213">
        <v>0</v>
      </c>
    </row>
    <row r="1214" spans="1:7">
      <c r="A1214" t="s">
        <v>389</v>
      </c>
      <c r="B1214">
        <v>0</v>
      </c>
      <c r="G1214">
        <v>0</v>
      </c>
    </row>
    <row r="1215" spans="1:7">
      <c r="A1215" t="s">
        <v>1019</v>
      </c>
      <c r="B1215">
        <v>1356</v>
      </c>
      <c r="C1215">
        <v>1435</v>
      </c>
      <c r="D1215">
        <v>1295</v>
      </c>
      <c r="G1215">
        <v>4086</v>
      </c>
    </row>
    <row r="1216" spans="1:7">
      <c r="A1216" t="s">
        <v>297</v>
      </c>
      <c r="B1216">
        <v>858</v>
      </c>
      <c r="G1216">
        <v>858</v>
      </c>
    </row>
    <row r="1217" spans="1:7">
      <c r="A1217" t="s">
        <v>377</v>
      </c>
      <c r="B1217">
        <v>926</v>
      </c>
      <c r="C1217">
        <v>1128</v>
      </c>
      <c r="D1217">
        <v>1082</v>
      </c>
      <c r="E1217">
        <v>1325</v>
      </c>
      <c r="F1217">
        <v>441</v>
      </c>
      <c r="G1217">
        <v>4902</v>
      </c>
    </row>
    <row r="1218" spans="1:7">
      <c r="A1218" t="s">
        <v>506</v>
      </c>
      <c r="B1218">
        <v>205</v>
      </c>
      <c r="F1218">
        <v>107</v>
      </c>
      <c r="G1218">
        <v>312</v>
      </c>
    </row>
    <row r="1219" spans="1:7">
      <c r="A1219" t="s">
        <v>415</v>
      </c>
      <c r="B1219">
        <v>4915</v>
      </c>
      <c r="C1219">
        <v>914</v>
      </c>
      <c r="D1219">
        <v>0</v>
      </c>
      <c r="G1219">
        <v>5829</v>
      </c>
    </row>
    <row r="1220" spans="1:7">
      <c r="A1220" t="s">
        <v>300</v>
      </c>
      <c r="B1220">
        <v>813</v>
      </c>
      <c r="C1220">
        <v>1491</v>
      </c>
      <c r="D1220">
        <v>1062</v>
      </c>
      <c r="E1220">
        <v>527</v>
      </c>
      <c r="G1220">
        <v>3893</v>
      </c>
    </row>
    <row r="1221" spans="1:7">
      <c r="A1221" t="s">
        <v>411</v>
      </c>
    </row>
    <row r="1222" spans="1:7">
      <c r="A1222" t="s">
        <v>398</v>
      </c>
    </row>
    <row r="1223" spans="1:7">
      <c r="A1223" t="s">
        <v>417</v>
      </c>
      <c r="C1223">
        <v>6092</v>
      </c>
      <c r="D1223">
        <v>0</v>
      </c>
      <c r="E1223">
        <v>0</v>
      </c>
      <c r="G1223">
        <v>6092</v>
      </c>
    </row>
    <row r="1224" spans="1:7">
      <c r="A1224" t="s">
        <v>303</v>
      </c>
      <c r="C1224">
        <v>822</v>
      </c>
      <c r="D1224">
        <v>2611</v>
      </c>
      <c r="G1224">
        <v>3433</v>
      </c>
    </row>
    <row r="1225" spans="1:7">
      <c r="A1225" t="s">
        <v>305</v>
      </c>
      <c r="D1225">
        <v>544</v>
      </c>
      <c r="E1225">
        <v>2832</v>
      </c>
      <c r="F1225">
        <v>457</v>
      </c>
      <c r="G1225">
        <v>3833</v>
      </c>
    </row>
    <row r="1226" spans="1:7">
      <c r="A1226" t="s">
        <v>419</v>
      </c>
      <c r="D1226">
        <v>1728</v>
      </c>
      <c r="F1226">
        <v>3082</v>
      </c>
      <c r="G1226">
        <v>4810</v>
      </c>
    </row>
    <row r="1227" spans="1:7">
      <c r="A1227" t="s">
        <v>421</v>
      </c>
      <c r="E1227">
        <v>1562</v>
      </c>
      <c r="F1227">
        <v>673</v>
      </c>
      <c r="G1227">
        <v>2235</v>
      </c>
    </row>
    <row r="1228" spans="1:7">
      <c r="A1228" t="s">
        <v>307</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236</v>
      </c>
      <c r="C1237">
        <v>0</v>
      </c>
      <c r="G1237">
        <v>0</v>
      </c>
    </row>
    <row r="1238" spans="1:7">
      <c r="A1238" t="s">
        <v>1134</v>
      </c>
      <c r="D1238">
        <v>150</v>
      </c>
      <c r="E1238">
        <v>0</v>
      </c>
      <c r="F1238">
        <v>274</v>
      </c>
      <c r="G1238">
        <v>424</v>
      </c>
    </row>
    <row r="1239" spans="1:7">
      <c r="A1239" t="s">
        <v>469</v>
      </c>
    </row>
    <row r="1240" spans="1:7">
      <c r="A1240" t="s">
        <v>294</v>
      </c>
    </row>
    <row r="1241" spans="1:7">
      <c r="A1241" t="s">
        <v>291</v>
      </c>
    </row>
    <row r="1242" spans="1:7">
      <c r="A1242" t="s">
        <v>479</v>
      </c>
    </row>
    <row r="1243" spans="1:7">
      <c r="A1243" t="s">
        <v>400</v>
      </c>
    </row>
    <row r="1244" spans="1:7">
      <c r="A1244" t="s">
        <v>482</v>
      </c>
    </row>
    <row r="1245" spans="1:7">
      <c r="A1245" t="s">
        <v>1019</v>
      </c>
      <c r="C1245">
        <v>0</v>
      </c>
      <c r="G1245">
        <v>0</v>
      </c>
    </row>
    <row r="1246" spans="1:7">
      <c r="A1246" t="s">
        <v>297</v>
      </c>
    </row>
    <row r="1247" spans="1:7">
      <c r="A1247" t="s">
        <v>506</v>
      </c>
      <c r="C1247">
        <v>183</v>
      </c>
      <c r="D1247">
        <v>182</v>
      </c>
      <c r="E1247">
        <v>186</v>
      </c>
      <c r="G1247">
        <v>551</v>
      </c>
    </row>
    <row r="1248" spans="1:7">
      <c r="A1248" t="s">
        <v>305</v>
      </c>
      <c r="C1248">
        <v>506</v>
      </c>
      <c r="G1248">
        <v>506</v>
      </c>
    </row>
    <row r="1249" spans="1:7">
      <c r="A1249" t="s">
        <v>421</v>
      </c>
      <c r="D1249">
        <v>2265</v>
      </c>
      <c r="F1249">
        <v>2651</v>
      </c>
      <c r="G1249">
        <v>4916</v>
      </c>
    </row>
    <row r="1250" spans="1:7">
      <c r="A1250" t="s">
        <v>307</v>
      </c>
      <c r="C1250">
        <v>0</v>
      </c>
      <c r="D1250">
        <v>575</v>
      </c>
      <c r="G1250">
        <v>575</v>
      </c>
    </row>
    <row r="1251" spans="1:7">
      <c r="A1251" t="s">
        <v>171</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272</v>
      </c>
      <c r="C1254">
        <v>2719</v>
      </c>
      <c r="D1254">
        <v>408</v>
      </c>
      <c r="G1254">
        <v>3127</v>
      </c>
    </row>
    <row r="1255" spans="1:7">
      <c r="A1255" t="s">
        <v>423</v>
      </c>
      <c r="C1255">
        <v>1277</v>
      </c>
      <c r="G1255">
        <v>1277</v>
      </c>
    </row>
    <row r="1256" spans="1:7">
      <c r="A1256" t="s">
        <v>122</v>
      </c>
      <c r="D1256">
        <v>686</v>
      </c>
      <c r="E1256">
        <v>736</v>
      </c>
      <c r="G1256">
        <v>1422</v>
      </c>
    </row>
    <row r="1257" spans="1:7">
      <c r="A1257" t="s">
        <v>117</v>
      </c>
      <c r="D1257">
        <v>867</v>
      </c>
      <c r="E1257">
        <v>1539</v>
      </c>
      <c r="G1257">
        <v>2406</v>
      </c>
    </row>
    <row r="1258" spans="1:7">
      <c r="A1258" t="s">
        <v>279</v>
      </c>
      <c r="D1258">
        <v>2000</v>
      </c>
      <c r="E1258">
        <v>970</v>
      </c>
      <c r="G1258">
        <v>2970</v>
      </c>
    </row>
    <row r="1259" spans="1:7">
      <c r="A1259" t="s">
        <v>203</v>
      </c>
      <c r="E1259">
        <v>2031</v>
      </c>
      <c r="F1259">
        <v>845</v>
      </c>
      <c r="G1259">
        <v>2876</v>
      </c>
    </row>
    <row r="1260" spans="1:7">
      <c r="A1260" t="s">
        <v>1082</v>
      </c>
      <c r="C1260">
        <v>8071</v>
      </c>
      <c r="D1260">
        <v>8880</v>
      </c>
      <c r="E1260">
        <v>7444</v>
      </c>
      <c r="F1260">
        <v>3827</v>
      </c>
      <c r="G1260">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D2560" s="43">
        <v>818</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2155</v>
      </c>
      <c r="C1" s="1485"/>
      <c r="D1" s="554"/>
      <c r="E1" s="1485" t="s">
        <v>2156</v>
      </c>
      <c r="F1" s="1485"/>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v>36706</v>
      </c>
      <c r="E4" s="44" t="s">
        <v>2157</v>
      </c>
      <c r="F4" t="s">
        <v>1085</v>
      </c>
      <c r="W4" t="s">
        <v>2161</v>
      </c>
      <c r="X4">
        <v>22</v>
      </c>
    </row>
    <row r="5" spans="1:25">
      <c r="B5" t="s">
        <v>182</v>
      </c>
      <c r="C5">
        <v>17860</v>
      </c>
      <c r="E5" t="s">
        <v>1085</v>
      </c>
      <c r="F5">
        <v>85305</v>
      </c>
      <c r="K5" s="44" t="s">
        <v>2162</v>
      </c>
      <c r="P5" s="44" t="s">
        <v>2162</v>
      </c>
      <c r="W5" t="s">
        <v>2163</v>
      </c>
      <c r="X5">
        <v>13</v>
      </c>
    </row>
    <row r="6" spans="1:25">
      <c r="B6" t="s">
        <v>1112</v>
      </c>
      <c r="C6">
        <v>175361</v>
      </c>
      <c r="K6" s="44" t="s">
        <v>27</v>
      </c>
      <c r="L6" s="44" t="s">
        <v>2164</v>
      </c>
      <c r="M6" t="s">
        <v>1085</v>
      </c>
      <c r="P6" s="44" t="s">
        <v>2165</v>
      </c>
      <c r="Q6" s="44" t="s">
        <v>2164</v>
      </c>
      <c r="R6" t="s">
        <v>1085</v>
      </c>
    </row>
    <row r="7" spans="1:25">
      <c r="B7" t="s">
        <v>51</v>
      </c>
      <c r="C7">
        <v>446</v>
      </c>
      <c r="K7" t="s">
        <v>2158</v>
      </c>
      <c r="L7" t="s">
        <v>659</v>
      </c>
      <c r="M7">
        <v>1</v>
      </c>
      <c r="P7" t="s">
        <v>2166</v>
      </c>
      <c r="R7">
        <v>1</v>
      </c>
      <c r="X7" t="s">
        <v>2167</v>
      </c>
      <c r="Y7" t="s">
        <v>2168</v>
      </c>
    </row>
    <row r="8" spans="1:25">
      <c r="B8" t="s">
        <v>22</v>
      </c>
      <c r="C8">
        <v>0</v>
      </c>
      <c r="L8" t="s">
        <v>661</v>
      </c>
      <c r="M8">
        <v>1</v>
      </c>
      <c r="P8" t="s">
        <v>2169</v>
      </c>
      <c r="R8">
        <v>1</v>
      </c>
      <c r="V8" t="s">
        <v>2170</v>
      </c>
      <c r="W8" s="257">
        <v>203521</v>
      </c>
      <c r="X8" s="313">
        <f>X5/X4</f>
        <v>0.59090909090909094</v>
      </c>
      <c r="Y8" s="313">
        <f>W9/W8</f>
        <v>0.31446386367991508</v>
      </c>
    </row>
    <row r="9" spans="1:25">
      <c r="B9" t="s">
        <v>193</v>
      </c>
      <c r="C9">
        <v>10811</v>
      </c>
      <c r="L9" t="s">
        <v>2171</v>
      </c>
      <c r="M9">
        <v>1</v>
      </c>
      <c r="P9" t="s">
        <v>2172</v>
      </c>
      <c r="Q9" t="s">
        <v>2171</v>
      </c>
      <c r="R9">
        <v>1</v>
      </c>
      <c r="V9" t="s">
        <v>2173</v>
      </c>
      <c r="W9">
        <v>64000</v>
      </c>
    </row>
    <row r="10" spans="1:25">
      <c r="B10" t="s">
        <v>204</v>
      </c>
      <c r="C10">
        <v>30887</v>
      </c>
      <c r="L10" t="s">
        <v>853</v>
      </c>
      <c r="M10">
        <v>1</v>
      </c>
      <c r="Q10" t="s">
        <v>857</v>
      </c>
      <c r="R10">
        <v>1</v>
      </c>
    </row>
    <row r="11" spans="1:25">
      <c r="B11" t="s">
        <v>118</v>
      </c>
      <c r="C11">
        <v>6428</v>
      </c>
      <c r="L11" t="s">
        <v>857</v>
      </c>
      <c r="M11">
        <v>1</v>
      </c>
      <c r="Q11" t="s">
        <v>860</v>
      </c>
      <c r="R11">
        <v>1</v>
      </c>
    </row>
    <row r="12" spans="1:25">
      <c r="B12" t="s">
        <v>123</v>
      </c>
      <c r="C12">
        <v>7441</v>
      </c>
      <c r="L12" t="s">
        <v>860</v>
      </c>
      <c r="M12">
        <v>1</v>
      </c>
      <c r="Q12" t="s">
        <v>2174</v>
      </c>
      <c r="R12">
        <v>1</v>
      </c>
    </row>
    <row r="13" spans="1:25">
      <c r="B13" t="s">
        <v>153</v>
      </c>
      <c r="C13">
        <v>3</v>
      </c>
      <c r="L13" t="s">
        <v>2175</v>
      </c>
      <c r="M13">
        <v>1</v>
      </c>
      <c r="Q13" t="s">
        <v>1039</v>
      </c>
      <c r="R13">
        <v>1</v>
      </c>
    </row>
    <row r="14" spans="1:25">
      <c r="B14" t="s">
        <v>237</v>
      </c>
      <c r="C14">
        <v>8622</v>
      </c>
      <c r="L14" t="s">
        <v>874</v>
      </c>
      <c r="M14">
        <v>1</v>
      </c>
      <c r="P14" t="s">
        <v>2176</v>
      </c>
      <c r="R14">
        <v>5</v>
      </c>
    </row>
    <row r="15" spans="1:25">
      <c r="B15" t="s">
        <v>264</v>
      </c>
      <c r="C15">
        <v>6160</v>
      </c>
      <c r="L15" t="s">
        <v>2174</v>
      </c>
      <c r="M15">
        <v>1</v>
      </c>
      <c r="P15" t="s">
        <v>1112</v>
      </c>
      <c r="R15">
        <v>12</v>
      </c>
    </row>
    <row r="16" spans="1:25">
      <c r="B16" t="s">
        <v>60</v>
      </c>
      <c r="C16">
        <v>22933</v>
      </c>
      <c r="L16" t="s">
        <v>876</v>
      </c>
      <c r="M16">
        <v>1</v>
      </c>
      <c r="P16" t="s">
        <v>1082</v>
      </c>
      <c r="R16">
        <v>19</v>
      </c>
    </row>
    <row r="17" spans="2:13">
      <c r="B17" t="s">
        <v>1082</v>
      </c>
      <c r="C17">
        <v>323658</v>
      </c>
      <c r="L17" t="s">
        <v>880</v>
      </c>
      <c r="M17">
        <v>1</v>
      </c>
    </row>
    <row r="18" spans="2:13">
      <c r="L18" t="s">
        <v>882</v>
      </c>
      <c r="M18">
        <v>1</v>
      </c>
    </row>
    <row r="19" spans="2:13">
      <c r="L19" t="s">
        <v>886</v>
      </c>
      <c r="M19">
        <v>1</v>
      </c>
    </row>
    <row r="20" spans="2:13">
      <c r="L20" t="s">
        <v>890</v>
      </c>
      <c r="M20">
        <v>1</v>
      </c>
    </row>
    <row r="21" spans="2:13">
      <c r="L21" t="s">
        <v>2177</v>
      </c>
      <c r="M21">
        <v>1</v>
      </c>
    </row>
    <row r="22" spans="2:13">
      <c r="L22" t="s">
        <v>1039</v>
      </c>
      <c r="M22">
        <v>1</v>
      </c>
    </row>
    <row r="23" spans="2:13">
      <c r="L23" t="s">
        <v>922</v>
      </c>
      <c r="M23">
        <v>1</v>
      </c>
    </row>
    <row r="24" spans="2:13">
      <c r="L24" t="s">
        <v>951</v>
      </c>
      <c r="M24">
        <v>1</v>
      </c>
    </row>
    <row r="25" spans="2:13">
      <c r="L25" t="s">
        <v>149</v>
      </c>
      <c r="M25">
        <v>1</v>
      </c>
    </row>
    <row r="26" spans="2:13">
      <c r="K26" t="s">
        <v>2178</v>
      </c>
      <c r="M26">
        <v>19</v>
      </c>
    </row>
    <row r="27" spans="2:13">
      <c r="K27" t="s">
        <v>2179</v>
      </c>
      <c r="L27" t="s">
        <v>868</v>
      </c>
      <c r="M27">
        <v>1</v>
      </c>
    </row>
    <row r="28" spans="2:13">
      <c r="L28" t="s">
        <v>870</v>
      </c>
      <c r="M28">
        <v>1</v>
      </c>
    </row>
    <row r="29" spans="2:13">
      <c r="L29" t="s">
        <v>872</v>
      </c>
      <c r="M29">
        <v>1</v>
      </c>
    </row>
    <row r="30" spans="2:13">
      <c r="L30" t="s">
        <v>888</v>
      </c>
      <c r="M30">
        <v>1</v>
      </c>
    </row>
    <row r="31" spans="2:13">
      <c r="L31" t="s">
        <v>892</v>
      </c>
      <c r="M31">
        <v>1</v>
      </c>
    </row>
    <row r="32" spans="2:13">
      <c r="L32" t="s">
        <v>2180</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2182</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3EC329F-9C24-47E2-8543-9465FAD35A4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2026-01-26T14:45:19Z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