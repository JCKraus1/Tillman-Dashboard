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70" documentId="8_{E14B221E-02E2-46A3-8CEC-C736815F2DD5}" xr6:coauthVersionLast="47" xr6:coauthVersionMax="47" xr10:uidLastSave="{AF0D0325-53C3-4223-A1EA-A9271421373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371" r:id="rId12"/>
    <pivotCache cacheId="1372" r:id="rId13"/>
    <pivotCache cacheId="1373" r:id="rId14"/>
    <pivotCache cacheId="1374" r:id="rId15"/>
    <pivotCache cacheId="13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<sst xmlns="http://schemas.openxmlformats.org/spreadsheetml/2006/main" count="17413" uniqueCount="2233">
  <si>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</si>
  <si>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</si>
  <si>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</si>
  <si>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</si>
  <si>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</si>
  <si>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</si>
  <si>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</si>
  <si>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</si>
  <si>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</si>
  <si>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</si>
  <si>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</si>
  <si>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</si>
  <si>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</si>
  <si>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</si>
  <si>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</si>
  <si>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</si>
  <si>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</si>
  <si>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</si>
  <si>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</si>
  <si>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</si>
  <si>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</si>
  <si>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</si>
  <si>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</si>
  <si>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</si>
  <si>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</si>
  <si>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</si>
  <si>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</si>
  <si>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</si>
  <si>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</si>
  <si>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</si>
  <si>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</si>
  <si>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</si>
  <si>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</si>
  <si>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</si>
  <si>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</si>
  <si>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</si>
  <si>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</si>
  <si>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</si>
  <si>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</si>
  <si>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</si>
  <si>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</si>
  <si>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</si>
  <si>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</si>
  <si>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</si>
  <si>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</si>
  <si>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</si>
  <si>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</si>
  <si>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</si>
  <si>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</si>
  <si>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</si>
  <si>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</si>
  <si>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</si>
  <si>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</si>
  <si>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</si>
  <si>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</si>
  <si>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</si>
  <si>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</si>
  <si>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</si>
  <si>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</si>
  <si>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</si>
  <si>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</si>
  <si>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</si>
  <si>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</si>
  <si>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</si>
  <si>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</si>
  <si>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</si>
  <si>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</si>
  <si>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</si>
  <si>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</si>
  <si>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</si>
  <si>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</si>
  <si>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</si>
  <si>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</si>
  <si>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</si>
  <si>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</si>
  <si>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</si>
  <si>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</si>
  <si>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</si>
  <si>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</si>
  <si>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</si>
  <si>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</si>
  <si>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</si>
  <si>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</si>
  <si>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</si>
  <si>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</si>
  <si>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</si>
  <si>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</si>
  <si>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</si>
  <si>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</si>
  <si>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</si>
  <si>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</si>
  <si>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</si>
  <si>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</si>
  <si>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</si>
  <si>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</si>
  <si>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</si>
  <si>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</si>
  <si>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</si>
  <si>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</si>
  <si>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</si>
  <si>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</si>
  <si>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</si>
  <si>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</si>
  <si>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</si>
  <si>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</si>
  <si>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</si>
  <si>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</si>
  <si>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</si>
  <si>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</si>
  <si>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</si>
  <si>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</si>
  <si>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</si>
  <si>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</si>
  <si>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</si>
  <si>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</si>
  <si>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</si>
  <si>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</si>
  <si>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</si>
  <si>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</si>
  <si>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</si>
  <si>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</si>
  <si>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</si>
  <si>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</si>
  <si>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</si>
  <si>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</si>
  <si>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</si>
  <si>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</si>
  <si>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</si>
  <si>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D-HWP1007</t>
  </si>
  <si>
    <t>PLK105406</t>
  </si>
  <si>
    <t>9/3 Pending Permit. LC 1-5 / 1/23 Permit Received./ 1-26 CX Started/  1/27 CX Construction Started--Progress At 55% Complete./  1/27 CX Construction Continues--Progress At 98%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</si>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</sst>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H61" activePane="topRight" state="frozen"/>
      <selection pane="topRight" activeCell="I68" sqref="I6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3">
        <v>4091</v>
      </c>
      <c r="X26" s="1181">
        <f t="shared" si="3"/>
        <v>640</v>
      </c>
      <c r="Y26" s="658">
        <f t="shared" si="4"/>
        <v>0.86472204607905301</v>
      </c>
      <c r="Z26" s="1200">
        <v>46043</v>
      </c>
      <c r="AA26" s="1183">
        <v>0</v>
      </c>
      <c r="AB26" s="1183">
        <v>0</v>
      </c>
      <c r="AC26" s="782">
        <v>0</v>
      </c>
      <c r="AD26" s="1184" t="s">
        <v>127</v>
      </c>
      <c r="AE26" s="1211"/>
    </row>
    <row r="27" spans="1:31" ht="24.75" customHeight="1">
      <c r="A27" s="1245" t="s">
        <v>128</v>
      </c>
      <c r="B27" s="1176" t="s">
        <v>96</v>
      </c>
      <c r="C27" s="1175">
        <v>46052</v>
      </c>
      <c r="D27" s="1175" t="s">
        <v>118</v>
      </c>
      <c r="E27" s="1175">
        <v>46045</v>
      </c>
      <c r="F27" s="1176" t="s">
        <v>119</v>
      </c>
      <c r="G27" s="1176" t="s">
        <v>129</v>
      </c>
      <c r="H27" s="1177">
        <v>69</v>
      </c>
      <c r="I27" s="657" t="s">
        <v>121</v>
      </c>
      <c r="J27" s="1177" t="s">
        <v>63</v>
      </c>
      <c r="K27" s="1177"/>
      <c r="L27" s="1175">
        <v>46027</v>
      </c>
      <c r="M27" s="1177" t="s">
        <v>57</v>
      </c>
      <c r="N27" s="1178">
        <v>41834.75</v>
      </c>
      <c r="O27" s="1177" t="s">
        <v>57</v>
      </c>
      <c r="P27" s="1246" t="s">
        <v>122</v>
      </c>
      <c r="Q27" s="1180">
        <v>46027</v>
      </c>
      <c r="R27" s="1225"/>
      <c r="S27" s="1225"/>
      <c r="T27" s="1225"/>
      <c r="U27" s="1225"/>
      <c r="V27" s="1181">
        <v>3183</v>
      </c>
      <c r="W27" s="1247">
        <v>3121</v>
      </c>
      <c r="X27" s="1181">
        <f t="shared" si="3"/>
        <v>62</v>
      </c>
      <c r="Y27" s="658">
        <f t="shared" si="4"/>
        <v>0.98052152057807096</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1"/>
      <c r="I63" s="823" t="s">
        <v>55</v>
      </c>
      <c r="J63" s="826" t="s">
        <v>63</v>
      </c>
      <c r="K63" s="1492"/>
      <c r="L63" s="1315"/>
      <c r="M63" s="823" t="s">
        <v>57</v>
      </c>
      <c r="N63" s="1493">
        <v>36998.550000000003</v>
      </c>
      <c r="O63" s="823" t="s">
        <v>57</v>
      </c>
      <c r="P63" s="1210" t="s">
        <v>58</v>
      </c>
      <c r="Q63" s="1494"/>
      <c r="R63" s="1494"/>
      <c r="S63" s="1494"/>
      <c r="T63" s="1494"/>
      <c r="U63" s="1494"/>
      <c r="V63" s="1495">
        <v>2944</v>
      </c>
      <c r="W63" s="1496"/>
      <c r="X63" s="1496">
        <f>SUM(V63-W63)</f>
        <v>2944</v>
      </c>
      <c r="Y63" s="658">
        <f>IFERROR($W63/$V63, 0)</f>
        <v>0</v>
      </c>
      <c r="Z63" s="1497"/>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4">
        <v>7628</v>
      </c>
      <c r="X67" s="1181">
        <f>SUM(V67-W67)</f>
        <v>994</v>
      </c>
      <c r="Y67" s="658">
        <f>IFERROR($W67/$V67, 0)</f>
        <v>0.88471352354442123</v>
      </c>
      <c r="Z67" s="1200">
        <v>45884</v>
      </c>
      <c r="AA67" s="1183">
        <v>0</v>
      </c>
      <c r="AB67" s="1183">
        <v>0</v>
      </c>
      <c r="AC67" s="1201">
        <v>0</v>
      </c>
      <c r="AD67" s="1184" t="s">
        <v>241</v>
      </c>
      <c r="AE67" s="1242"/>
    </row>
    <row r="68" spans="1:31" ht="24.75" customHeight="1">
      <c r="A68" s="1245" t="s">
        <v>242</v>
      </c>
      <c r="B68" s="825" t="s">
        <v>183</v>
      </c>
      <c r="C68" s="1195">
        <v>46011</v>
      </c>
      <c r="D68" s="1196" t="s">
        <v>206</v>
      </c>
      <c r="E68" s="1195">
        <v>45923</v>
      </c>
      <c r="F68" s="1196" t="s">
        <v>207</v>
      </c>
      <c r="G68" s="1196" t="s">
        <v>243</v>
      </c>
      <c r="H68" s="1197">
        <v>0</v>
      </c>
      <c r="I68" s="823" t="s">
        <v>121</v>
      </c>
      <c r="J68" s="1197" t="s">
        <v>63</v>
      </c>
      <c r="K68" s="1177"/>
      <c r="L68" s="1195"/>
      <c r="M68" s="1197" t="s">
        <v>57</v>
      </c>
      <c r="N68" s="1208">
        <v>139581.6</v>
      </c>
      <c r="O68" s="1197" t="s">
        <v>57</v>
      </c>
      <c r="P68" s="1246" t="s">
        <v>122</v>
      </c>
      <c r="Q68" s="1200">
        <v>45918</v>
      </c>
      <c r="R68" s="1200"/>
      <c r="S68" s="1200"/>
      <c r="T68" s="1200"/>
      <c r="U68" s="1200"/>
      <c r="V68" s="970">
        <v>11150</v>
      </c>
      <c r="W68" s="1247">
        <v>10923</v>
      </c>
      <c r="X68" s="1181">
        <f>SUM(V68-W68)</f>
        <v>227</v>
      </c>
      <c r="Y68" s="658">
        <f>IFERROR($W68/$V68, 0)</f>
        <v>0.97964125560538118</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483">
        <v>881</v>
      </c>
      <c r="X72" s="1181">
        <f>SUM(V72-W72)</f>
        <v>2802</v>
      </c>
      <c r="Y72" s="658">
        <f>IFERROR($W72/$V72, 0)</f>
        <v>0.23920716806950856</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2"/>
      <c r="L73" s="1315"/>
      <c r="M73" s="1197" t="s">
        <v>57</v>
      </c>
      <c r="N73" s="1493">
        <v>118710.8</v>
      </c>
      <c r="O73" s="1197" t="s">
        <v>57</v>
      </c>
      <c r="P73" s="1179" t="s">
        <v>58</v>
      </c>
      <c r="Q73" s="1494"/>
      <c r="R73" s="1494"/>
      <c r="S73" s="1494"/>
      <c r="T73" s="1494"/>
      <c r="U73" s="1494"/>
      <c r="V73" s="1495">
        <v>9628</v>
      </c>
      <c r="W73" s="1496"/>
      <c r="X73" s="1496">
        <f>SUM(V73-W73)</f>
        <v>9628</v>
      </c>
      <c r="Y73" s="658">
        <f>IFERROR($W73/$V73, 0)</f>
        <v>0</v>
      </c>
      <c r="Z73" s="1494"/>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1">
        <v>109</v>
      </c>
      <c r="I79" s="823" t="s">
        <v>55</v>
      </c>
      <c r="J79" s="826" t="s">
        <v>63</v>
      </c>
      <c r="K79" s="1492"/>
      <c r="L79" s="1315">
        <v>45663</v>
      </c>
      <c r="M79" s="1197" t="s">
        <v>57</v>
      </c>
      <c r="N79" s="1493">
        <v>123587.5</v>
      </c>
      <c r="O79" s="1491" t="s">
        <v>57</v>
      </c>
      <c r="P79" s="1498" t="s">
        <v>64</v>
      </c>
      <c r="Q79" s="1494">
        <v>46008</v>
      </c>
      <c r="R79" s="1494"/>
      <c r="S79" s="1494"/>
      <c r="T79" s="1494"/>
      <c r="U79" s="1494"/>
      <c r="V79" s="1495">
        <v>6825</v>
      </c>
      <c r="W79" s="1499">
        <v>6353</v>
      </c>
      <c r="X79" s="1496">
        <f>SUM(V79-W79)</f>
        <v>472</v>
      </c>
      <c r="Y79" s="658">
        <f>IFERROR($W79/$V79, 0)</f>
        <v>0.93084249084249082</v>
      </c>
      <c r="Z79" s="1494">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3"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6">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5">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3"/>
      <c r="S93" s="1335"/>
      <c r="T93" s="1374"/>
      <c r="U93" s="1335"/>
      <c r="V93" s="31">
        <v>6432</v>
      </c>
      <c r="W93" s="1500">
        <v>5341</v>
      </c>
      <c r="X93" s="1376">
        <f t="shared" ref="X93:X94" si="10">SUM(V93-W93)</f>
        <v>1091</v>
      </c>
      <c r="Y93" s="1130">
        <f t="shared" ref="Y93:Y94" si="11">IFERROR($W93/$V93, 0)</f>
        <v>0.83037935323383083</v>
      </c>
      <c r="Z93" s="1501">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3"/>
      <c r="S94" s="1335"/>
      <c r="T94" s="1374"/>
      <c r="U94" s="1335"/>
      <c r="V94" s="31">
        <v>7145</v>
      </c>
      <c r="W94" s="1502">
        <v>4339</v>
      </c>
      <c r="X94" s="1236">
        <f t="shared" si="10"/>
        <v>2806</v>
      </c>
      <c r="Y94" s="868">
        <f t="shared" si="11"/>
        <v>0.60727781665500347</v>
      </c>
      <c r="Z94" s="1501">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1"/>
      <c r="R107" s="1335"/>
      <c r="S107" s="1335"/>
      <c r="T107" s="1335"/>
      <c r="U107" s="1335"/>
      <c r="V107" s="1236">
        <v>8641</v>
      </c>
      <c r="W107" s="1500"/>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3"/>
      <c r="R108" s="1337"/>
      <c r="S108" s="1337"/>
      <c r="T108" s="1337"/>
      <c r="U108" s="1337"/>
      <c r="V108" s="1339">
        <v>7502</v>
      </c>
      <c r="W108" s="1504"/>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4"/>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63"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2" t="s">
        <v>63</v>
      </c>
      <c r="K15" s="1492"/>
      <c r="L15" s="476" t="s">
        <v>52</v>
      </c>
      <c r="M15" s="478" t="s">
        <v>57</v>
      </c>
      <c r="N15" s="1493">
        <v>1035</v>
      </c>
      <c r="O15" s="1197" t="s">
        <v>57</v>
      </c>
      <c r="P15" s="1246" t="s">
        <v>122</v>
      </c>
      <c r="Q15" s="1494">
        <v>46030</v>
      </c>
      <c r="R15" s="1309"/>
      <c r="S15" s="1309"/>
      <c r="T15" s="1309"/>
      <c r="U15" s="1309"/>
      <c r="V15" s="1495">
        <v>0</v>
      </c>
      <c r="W15" s="1505">
        <v>0</v>
      </c>
      <c r="X15" s="1496">
        <f>SUM(V15-W15)</f>
        <v>0</v>
      </c>
      <c r="Y15" s="658">
        <v>1</v>
      </c>
      <c r="Z15" s="1494">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2">
        <v>0</v>
      </c>
      <c r="I27" s="657" t="s">
        <v>121</v>
      </c>
      <c r="J27" s="1492" t="s">
        <v>63</v>
      </c>
      <c r="K27" s="1492"/>
      <c r="L27" s="1313" t="s">
        <v>139</v>
      </c>
      <c r="M27" s="1492" t="s">
        <v>57</v>
      </c>
      <c r="N27" s="1506">
        <v>15670.45</v>
      </c>
      <c r="O27" s="1492" t="s">
        <v>57</v>
      </c>
      <c r="P27" s="1507" t="s">
        <v>122</v>
      </c>
      <c r="Q27" s="1508">
        <v>46031</v>
      </c>
      <c r="R27" s="1508"/>
      <c r="S27" s="1508"/>
      <c r="T27" s="1508"/>
      <c r="U27" s="1508"/>
      <c r="V27" s="782">
        <v>1202</v>
      </c>
      <c r="W27" s="1247">
        <v>1208</v>
      </c>
      <c r="X27" s="1496">
        <f>SUM(V27-W27)</f>
        <v>-6</v>
      </c>
      <c r="Y27" s="658">
        <v>1</v>
      </c>
      <c r="Z27" s="1200">
        <v>46035</v>
      </c>
      <c r="AA27" s="355">
        <v>1</v>
      </c>
      <c r="AB27" s="1509">
        <v>0</v>
      </c>
      <c r="AC27" s="1496">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3"/>
      <c r="S34" s="1335"/>
      <c r="T34" s="1374"/>
      <c r="U34" s="1335"/>
      <c r="V34" s="31">
        <v>5860</v>
      </c>
      <c r="W34" s="1510">
        <v>5829</v>
      </c>
      <c r="X34" s="1376">
        <f t="shared" ref="X34:X39" si="15">SUM(V34-W34)</f>
        <v>31</v>
      </c>
      <c r="Y34" s="1130">
        <f t="shared" si="13"/>
        <v>0.99470989761092155</v>
      </c>
      <c r="Z34" s="1501">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3"/>
      <c r="S35" s="1335"/>
      <c r="T35" s="1374"/>
      <c r="U35" s="1335"/>
      <c r="V35" s="31">
        <v>6021</v>
      </c>
      <c r="W35" s="1510">
        <v>6080</v>
      </c>
      <c r="X35" s="1376">
        <f t="shared" si="15"/>
        <v>-59</v>
      </c>
      <c r="Y35" s="1130">
        <f t="shared" si="13"/>
        <v>1.0097990367048664</v>
      </c>
      <c r="Z35" s="1501">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3"/>
      <c r="S36" s="1335"/>
      <c r="T36" s="1374"/>
      <c r="U36" s="1335"/>
      <c r="V36" s="31">
        <v>4836</v>
      </c>
      <c r="W36" s="1510">
        <v>4810</v>
      </c>
      <c r="X36" s="1377">
        <f t="shared" si="15"/>
        <v>26</v>
      </c>
      <c r="Y36" s="1364">
        <f t="shared" si="13"/>
        <v>0.9946236559139785</v>
      </c>
      <c r="Z36" s="1503">
        <v>46036</v>
      </c>
      <c r="AA36" s="1256">
        <v>0</v>
      </c>
      <c r="AB36" s="1256">
        <v>0</v>
      </c>
      <c r="AC36" s="1255">
        <v>0</v>
      </c>
      <c r="AD36" s="1228" t="s">
        <v>415</v>
      </c>
    </row>
    <row r="37" spans="1:30" ht="39.75" customHeight="1">
      <c r="A37" s="1474" t="s">
        <v>416</v>
      </c>
      <c r="B37" s="1261" t="s">
        <v>286</v>
      </c>
      <c r="C37" s="1357">
        <v>46052</v>
      </c>
      <c r="D37" s="1346" t="s">
        <v>137</v>
      </c>
      <c r="E37" s="1363">
        <v>46027</v>
      </c>
      <c r="F37" s="1366" t="s">
        <v>303</v>
      </c>
      <c r="G37" s="1264"/>
      <c r="H37" s="52">
        <v>90</v>
      </c>
      <c r="I37" s="656" t="s">
        <v>121</v>
      </c>
      <c r="J37" s="1269" t="s">
        <v>63</v>
      </c>
      <c r="K37" s="1465"/>
      <c r="L37" s="1262">
        <v>46027</v>
      </c>
      <c r="M37" s="1197" t="s">
        <v>57</v>
      </c>
      <c r="N37" s="1178">
        <v>86984</v>
      </c>
      <c r="O37" s="1350" t="s">
        <v>57</v>
      </c>
      <c r="P37" s="1294" t="s">
        <v>122</v>
      </c>
      <c r="Q37" s="1226">
        <v>46027</v>
      </c>
      <c r="R37" s="1454"/>
      <c r="S37" s="1337"/>
      <c r="T37" s="1375"/>
      <c r="U37" s="1476"/>
      <c r="V37" s="31">
        <v>7341</v>
      </c>
      <c r="W37" s="1511">
        <v>7151</v>
      </c>
      <c r="X37" s="1236">
        <f t="shared" si="15"/>
        <v>190</v>
      </c>
      <c r="Y37" s="868">
        <f t="shared" si="13"/>
        <v>0.97411796757934888</v>
      </c>
      <c r="Z37" s="1501">
        <v>46037</v>
      </c>
      <c r="AA37" s="1434">
        <v>1</v>
      </c>
      <c r="AB37" s="1256">
        <v>0</v>
      </c>
      <c r="AC37" s="1255">
        <v>0</v>
      </c>
      <c r="AD37" s="1228" t="s">
        <v>417</v>
      </c>
    </row>
    <row r="38" spans="1:30" ht="39.75" customHeight="1">
      <c r="A38" s="1474" t="s">
        <v>418</v>
      </c>
      <c r="B38" s="1261" t="s">
        <v>286</v>
      </c>
      <c r="C38" s="1357">
        <v>46052</v>
      </c>
      <c r="D38" s="1346" t="s">
        <v>137</v>
      </c>
      <c r="E38" s="1363">
        <v>46027</v>
      </c>
      <c r="F38" s="1176" t="s">
        <v>142</v>
      </c>
      <c r="G38" s="1264"/>
      <c r="H38" s="1265">
        <v>0</v>
      </c>
      <c r="I38" s="656" t="s">
        <v>121</v>
      </c>
      <c r="J38" s="1269" t="s">
        <v>63</v>
      </c>
      <c r="K38" s="1465"/>
      <c r="L38" s="1262">
        <v>46027</v>
      </c>
      <c r="M38" s="1197" t="s">
        <v>57</v>
      </c>
      <c r="N38" s="1178">
        <v>54261.05</v>
      </c>
      <c r="O38" s="1350" t="s">
        <v>57</v>
      </c>
      <c r="P38" s="1294" t="s">
        <v>122</v>
      </c>
      <c r="Q38" s="1226">
        <v>46027</v>
      </c>
      <c r="R38" s="1477"/>
      <c r="S38" s="1378"/>
      <c r="T38" s="1225"/>
      <c r="U38" s="1271"/>
      <c r="V38" s="31">
        <v>4022</v>
      </c>
      <c r="W38" s="1297">
        <v>4019</v>
      </c>
      <c r="X38" s="1435">
        <f>SUM(V38-W38)</f>
        <v>3</v>
      </c>
      <c r="Y38" s="1364">
        <f>IFERROR($W38/$V38, 0)</f>
        <v>0.99925410243659873</v>
      </c>
      <c r="Z38" s="1478">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5"/>
      <c r="L39" s="1262">
        <v>46027</v>
      </c>
      <c r="M39" s="1197" t="s">
        <v>57</v>
      </c>
      <c r="N39" s="1293">
        <v>18078.28</v>
      </c>
      <c r="O39" s="1350" t="s">
        <v>57</v>
      </c>
      <c r="P39" s="1294" t="s">
        <v>122</v>
      </c>
      <c r="Q39" s="1226">
        <v>46027</v>
      </c>
      <c r="R39" s="1453"/>
      <c r="S39" s="1335"/>
      <c r="T39" s="1374"/>
      <c r="U39" s="1335"/>
      <c r="V39" s="31">
        <v>1284</v>
      </c>
      <c r="W39" s="1511">
        <v>1277</v>
      </c>
      <c r="X39" s="1236">
        <f t="shared" si="15"/>
        <v>7</v>
      </c>
      <c r="Y39" s="868">
        <f t="shared" si="13"/>
        <v>0.99454828660436134</v>
      </c>
      <c r="Z39" s="1501">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49"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49"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49"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49"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49"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49"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49"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49"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49"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49"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49"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49"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49"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49"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49"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49"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49"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49"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49"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0"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1"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2"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2">
        <v>863</v>
      </c>
      <c r="X68" s="1181">
        <f t="shared" ref="X68" si="18">SUM(V68-W68)</f>
        <v>-32</v>
      </c>
      <c r="Y68" s="658">
        <f t="shared" ref="Y68" si="19">IFERROR($W68/$V68, 0)</f>
        <v>1.0385078219013237</v>
      </c>
      <c r="Z68" s="1200">
        <v>46034</v>
      </c>
      <c r="AA68" s="1183">
        <v>0</v>
      </c>
      <c r="AB68" s="1183">
        <v>0</v>
      </c>
      <c r="AC68" s="641">
        <v>0</v>
      </c>
      <c r="AD68" s="1475"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1"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0"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6"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7" t="s">
        <v>122</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2">
        <v>20891</v>
      </c>
      <c r="N145" s="731"/>
      <c r="O145" s="1177" t="s">
        <v>57</v>
      </c>
      <c r="P145" s="1463" t="s">
        <v>122</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2">
        <v>38323.550000000003</v>
      </c>
      <c r="N149" s="731"/>
      <c r="O149" s="1177" t="s">
        <v>57</v>
      </c>
      <c r="P149" s="1463" t="s">
        <v>122</v>
      </c>
      <c r="Q149" s="1180">
        <v>46021</v>
      </c>
      <c r="R149" s="1181">
        <v>2691</v>
      </c>
      <c r="S149" s="1464">
        <v>2740</v>
      </c>
      <c r="T149" s="31">
        <v>0</v>
      </c>
      <c r="U149" s="653">
        <f>IFERROR(Table5[[#This Row],[Actual Redline Completed Footage UG]]/Table5[[#This Row],[Footage UG]], 0)</f>
        <v>1.0182088442958008</v>
      </c>
      <c r="V149" s="1200">
        <v>46029</v>
      </c>
      <c r="W149" s="597">
        <v>1</v>
      </c>
      <c r="X149" s="597">
        <v>1</v>
      </c>
      <c r="Y149" s="957">
        <v>1</v>
      </c>
      <c r="Z149" s="54"/>
      <c r="AA149" s="1482" t="s">
        <v>1018</v>
      </c>
    </row>
    <row r="150" spans="1:27" ht="39.75" customHeight="1">
      <c r="A150" s="1461"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2">
        <v>63322.45</v>
      </c>
      <c r="N150" s="731"/>
      <c r="O150" s="1177" t="s">
        <v>57</v>
      </c>
      <c r="P150" s="1463" t="s">
        <v>122</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137</v>
      </c>
      <c r="K6">
        <v>22274</v>
      </c>
      <c r="N6" t="s">
        <v>137</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125</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125</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347</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238</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238</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238</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329</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350</v>
      </c>
      <c r="C753">
        <v>251</v>
      </c>
      <c r="D753">
        <v>253</v>
      </c>
      <c r="E753">
        <v>1076</v>
      </c>
      <c r="G753">
        <v>1580</v>
      </c>
    </row>
    <row r="754" spans="1:7">
      <c r="A754" t="s">
        <v>329</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238</v>
      </c>
      <c r="D767">
        <v>362</v>
      </c>
      <c r="E767">
        <v>399</v>
      </c>
      <c r="G767">
        <v>761</v>
      </c>
    </row>
    <row r="768" spans="1:7">
      <c r="A768" t="s">
        <v>1005</v>
      </c>
    </row>
    <row r="769" spans="1:7">
      <c r="A769" t="s">
        <v>995</v>
      </c>
    </row>
    <row r="770" spans="1:7">
      <c r="A770" t="s">
        <v>350</v>
      </c>
      <c r="C770">
        <v>120</v>
      </c>
      <c r="D770">
        <v>190</v>
      </c>
      <c r="G770">
        <v>310</v>
      </c>
    </row>
    <row r="771" spans="1:7">
      <c r="A771" t="s">
        <v>329</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350</v>
      </c>
      <c r="B794">
        <v>479</v>
      </c>
      <c r="E794">
        <v>170</v>
      </c>
      <c r="G794">
        <v>649</v>
      </c>
    </row>
    <row r="795" spans="1:7">
      <c r="A795" t="s">
        <v>329</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350</v>
      </c>
      <c r="E818">
        <v>725</v>
      </c>
      <c r="G818">
        <v>725</v>
      </c>
    </row>
    <row r="819" spans="1:7">
      <c r="A819" t="s">
        <v>329</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353</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136</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238</v>
      </c>
      <c r="E838">
        <v>170</v>
      </c>
      <c r="G838">
        <v>170</v>
      </c>
    </row>
    <row r="839" spans="1:7">
      <c r="A839" t="s">
        <v>329</v>
      </c>
      <c r="D839">
        <v>986</v>
      </c>
      <c r="G839">
        <v>986</v>
      </c>
    </row>
    <row r="840" spans="1:7">
      <c r="A840" t="s">
        <v>1139</v>
      </c>
      <c r="B840">
        <v>916</v>
      </c>
      <c r="C840">
        <v>144</v>
      </c>
      <c r="G840">
        <v>1060</v>
      </c>
    </row>
    <row r="841" spans="1:7">
      <c r="A841" t="s">
        <v>570</v>
      </c>
    </row>
    <row r="842" spans="1:7">
      <c r="A842" t="s">
        <v>1010</v>
      </c>
    </row>
    <row r="843" spans="1:7">
      <c r="A843" t="s">
        <v>136</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576</v>
      </c>
      <c r="C868">
        <v>230</v>
      </c>
      <c r="G868">
        <v>230</v>
      </c>
    </row>
    <row r="869" spans="1:7">
      <c r="A869" t="s">
        <v>1012</v>
      </c>
      <c r="B869">
        <v>853</v>
      </c>
      <c r="G869">
        <v>853</v>
      </c>
    </row>
    <row r="870" spans="1:7">
      <c r="A870" t="s">
        <v>346</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238</v>
      </c>
    </row>
    <row r="885" spans="1:7">
      <c r="A885" t="s">
        <v>329</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338</v>
      </c>
      <c r="D899">
        <v>3179</v>
      </c>
      <c r="G899">
        <v>3179</v>
      </c>
    </row>
    <row r="900" spans="1:7">
      <c r="A900" t="s">
        <v>607</v>
      </c>
      <c r="E900">
        <v>978</v>
      </c>
      <c r="G900">
        <v>978</v>
      </c>
    </row>
    <row r="901" spans="1:7">
      <c r="A901" t="s">
        <v>398</v>
      </c>
      <c r="E901">
        <v>502</v>
      </c>
      <c r="G901">
        <v>502</v>
      </c>
    </row>
    <row r="902" spans="1:7">
      <c r="A902" t="s">
        <v>202</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329</v>
      </c>
    </row>
    <row r="911" spans="1:7">
      <c r="A911" t="s">
        <v>353</v>
      </c>
      <c r="F911">
        <v>569</v>
      </c>
      <c r="G911">
        <v>569</v>
      </c>
    </row>
    <row r="912" spans="1:7">
      <c r="A912" t="s">
        <v>635</v>
      </c>
    </row>
    <row r="913" spans="1:7">
      <c r="A913" t="s">
        <v>335</v>
      </c>
      <c r="D913">
        <v>150</v>
      </c>
      <c r="G913">
        <v>150</v>
      </c>
    </row>
    <row r="914" spans="1:7">
      <c r="A914" t="s">
        <v>346</v>
      </c>
    </row>
    <row r="915" spans="1:7">
      <c r="A915" t="s">
        <v>582</v>
      </c>
      <c r="B915">
        <v>701</v>
      </c>
      <c r="G915">
        <v>701</v>
      </c>
    </row>
    <row r="916" spans="1:7">
      <c r="A916" t="s">
        <v>970</v>
      </c>
      <c r="B916">
        <v>463</v>
      </c>
      <c r="C916">
        <v>633</v>
      </c>
      <c r="D916">
        <v>625</v>
      </c>
      <c r="G916">
        <v>1721</v>
      </c>
    </row>
    <row r="917" spans="1:7">
      <c r="A917" t="s">
        <v>344</v>
      </c>
    </row>
    <row r="918" spans="1:7">
      <c r="A918" t="s">
        <v>338</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202</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357</v>
      </c>
      <c r="B924">
        <v>207</v>
      </c>
      <c r="G924">
        <v>207</v>
      </c>
    </row>
    <row r="925" spans="1:7">
      <c r="A925" t="s">
        <v>639</v>
      </c>
      <c r="C925">
        <v>1691</v>
      </c>
      <c r="D925">
        <v>1998</v>
      </c>
      <c r="E925">
        <v>760</v>
      </c>
      <c r="F925">
        <v>3975</v>
      </c>
      <c r="G925">
        <v>8424</v>
      </c>
    </row>
    <row r="926" spans="1:7">
      <c r="A926" t="s">
        <v>610</v>
      </c>
      <c r="D926">
        <v>1031</v>
      </c>
      <c r="G926">
        <v>1031</v>
      </c>
    </row>
    <row r="927" spans="1:7">
      <c r="A927" t="s">
        <v>355</v>
      </c>
      <c r="E927">
        <v>1063</v>
      </c>
      <c r="F927">
        <v>1263</v>
      </c>
      <c r="G927">
        <v>2326</v>
      </c>
    </row>
    <row r="928" spans="1:7">
      <c r="A928" t="s">
        <v>637</v>
      </c>
      <c r="F928">
        <v>451</v>
      </c>
      <c r="G928">
        <v>451</v>
      </c>
    </row>
    <row r="929" spans="1:7">
      <c r="A929" t="s">
        <v>427</v>
      </c>
      <c r="B929">
        <v>3266</v>
      </c>
      <c r="C929">
        <v>3910</v>
      </c>
      <c r="D929">
        <v>346</v>
      </c>
      <c r="G929">
        <v>7522</v>
      </c>
    </row>
    <row r="930" spans="1:7">
      <c r="A930" t="s">
        <v>285</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332</v>
      </c>
    </row>
    <row r="940" spans="1:7">
      <c r="A940" t="s">
        <v>635</v>
      </c>
      <c r="B940">
        <v>560</v>
      </c>
      <c r="G940">
        <v>560</v>
      </c>
    </row>
    <row r="941" spans="1:7">
      <c r="A941" t="s">
        <v>346</v>
      </c>
    </row>
    <row r="942" spans="1:7">
      <c r="A942" t="s">
        <v>582</v>
      </c>
      <c r="B942">
        <v>138</v>
      </c>
      <c r="G942">
        <v>138</v>
      </c>
    </row>
    <row r="943" spans="1:7">
      <c r="A943" t="s">
        <v>344</v>
      </c>
    </row>
    <row r="944" spans="1:7">
      <c r="A944" t="s">
        <v>338</v>
      </c>
      <c r="B944">
        <v>96</v>
      </c>
      <c r="G944">
        <v>96</v>
      </c>
    </row>
    <row r="945" spans="1:7">
      <c r="A945" t="s">
        <v>607</v>
      </c>
      <c r="B945">
        <v>632</v>
      </c>
      <c r="G945">
        <v>632</v>
      </c>
    </row>
    <row r="946" spans="1:7">
      <c r="A946" t="s">
        <v>398</v>
      </c>
      <c r="B946">
        <v>558</v>
      </c>
      <c r="G946">
        <v>558</v>
      </c>
    </row>
    <row r="947" spans="1:7">
      <c r="A947" t="s">
        <v>202</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578</v>
      </c>
      <c r="D953">
        <v>877</v>
      </c>
      <c r="E953">
        <v>814</v>
      </c>
      <c r="G953">
        <v>1691</v>
      </c>
    </row>
    <row r="954" spans="1:7">
      <c r="A954" t="s">
        <v>188</v>
      </c>
      <c r="D954">
        <v>711</v>
      </c>
      <c r="E954">
        <v>325</v>
      </c>
      <c r="F954">
        <v>430</v>
      </c>
      <c r="G954">
        <v>1466</v>
      </c>
    </row>
    <row r="955" spans="1:7">
      <c r="A955" t="s">
        <v>376</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238</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202</v>
      </c>
      <c r="B973">
        <v>420</v>
      </c>
      <c r="G973">
        <v>420</v>
      </c>
    </row>
    <row r="974" spans="1:7">
      <c r="A974" t="s">
        <v>610</v>
      </c>
    </row>
    <row r="975" spans="1:7">
      <c r="A975" t="s">
        <v>340</v>
      </c>
      <c r="C975">
        <v>1917</v>
      </c>
      <c r="E975">
        <v>272</v>
      </c>
      <c r="G975">
        <v>2189</v>
      </c>
    </row>
    <row r="976" spans="1:7">
      <c r="A976" t="s">
        <v>578</v>
      </c>
      <c r="B976">
        <v>956</v>
      </c>
      <c r="G976">
        <v>956</v>
      </c>
    </row>
    <row r="977" spans="1:7">
      <c r="A977" t="s">
        <v>188</v>
      </c>
      <c r="E977">
        <v>195</v>
      </c>
      <c r="G977">
        <v>195</v>
      </c>
    </row>
    <row r="978" spans="1:7">
      <c r="A978" t="s">
        <v>376</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332</v>
      </c>
    </row>
    <row r="1008" spans="1:7">
      <c r="A1008" t="s">
        <v>970</v>
      </c>
    </row>
    <row r="1009" spans="1:7">
      <c r="A1009" t="s">
        <v>344</v>
      </c>
    </row>
    <row r="1010" spans="1:7">
      <c r="A1010" t="s">
        <v>338</v>
      </c>
    </row>
    <row r="1011" spans="1:7">
      <c r="A1011" t="s">
        <v>202</v>
      </c>
      <c r="D1011">
        <v>426</v>
      </c>
      <c r="G1011">
        <v>426</v>
      </c>
    </row>
    <row r="1012" spans="1:7">
      <c r="A1012" t="s">
        <v>355</v>
      </c>
    </row>
    <row r="1013" spans="1:7">
      <c r="A1013" t="s">
        <v>427</v>
      </c>
    </row>
    <row r="1014" spans="1:7">
      <c r="A1014" t="s">
        <v>285</v>
      </c>
      <c r="C1014">
        <v>1175</v>
      </c>
      <c r="G1014">
        <v>1175</v>
      </c>
    </row>
    <row r="1015" spans="1:7">
      <c r="A1015" t="s">
        <v>422</v>
      </c>
      <c r="C1015">
        <v>996</v>
      </c>
      <c r="G1015">
        <v>996</v>
      </c>
    </row>
    <row r="1016" spans="1:7">
      <c r="A1016" t="s">
        <v>340</v>
      </c>
      <c r="B1016">
        <v>900</v>
      </c>
      <c r="G1016">
        <v>900</v>
      </c>
    </row>
    <row r="1017" spans="1:7">
      <c r="A1017" t="s">
        <v>383</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178</v>
      </c>
      <c r="B1025">
        <v>82</v>
      </c>
      <c r="G1025">
        <v>82</v>
      </c>
    </row>
    <row r="1026" spans="1:7">
      <c r="A1026" t="s">
        <v>457</v>
      </c>
      <c r="C1026">
        <v>3311</v>
      </c>
      <c r="G1026">
        <v>3311</v>
      </c>
    </row>
    <row r="1027" spans="1:7">
      <c r="A1027" t="s">
        <v>425</v>
      </c>
    </row>
    <row r="1028" spans="1:7">
      <c r="A1028" t="s">
        <v>379</v>
      </c>
      <c r="C1028">
        <v>2568</v>
      </c>
      <c r="G1028">
        <v>2568</v>
      </c>
    </row>
    <row r="1029" spans="1:7">
      <c r="A1029" t="s">
        <v>599</v>
      </c>
      <c r="B1029">
        <v>286</v>
      </c>
      <c r="C1029">
        <v>357</v>
      </c>
      <c r="D1029">
        <v>331</v>
      </c>
      <c r="G1029">
        <v>974</v>
      </c>
    </row>
    <row r="1030" spans="1:7">
      <c r="A1030" t="s">
        <v>370</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285</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379</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364</v>
      </c>
      <c r="C1096">
        <v>1640</v>
      </c>
      <c r="D1096">
        <v>1177</v>
      </c>
      <c r="G1096">
        <v>2817</v>
      </c>
    </row>
    <row r="1097" spans="1:7">
      <c r="A1097" t="s">
        <v>463</v>
      </c>
      <c r="C1097">
        <v>1980</v>
      </c>
      <c r="D1097">
        <v>1251</v>
      </c>
      <c r="E1097">
        <v>3172</v>
      </c>
      <c r="G1097">
        <v>6403</v>
      </c>
    </row>
    <row r="1098" spans="1:7">
      <c r="A1098" t="s">
        <v>290</v>
      </c>
      <c r="C1098">
        <v>1111</v>
      </c>
      <c r="D1098">
        <v>1373</v>
      </c>
      <c r="E1098">
        <v>1090</v>
      </c>
      <c r="F1098">
        <v>1204</v>
      </c>
      <c r="G1098">
        <v>4778</v>
      </c>
    </row>
    <row r="1099" spans="1:7">
      <c r="A1099" t="s">
        <v>556</v>
      </c>
      <c r="C1099">
        <v>1500</v>
      </c>
      <c r="D1099">
        <v>1084</v>
      </c>
      <c r="G1099">
        <v>2584</v>
      </c>
    </row>
    <row r="1100" spans="1:7">
      <c r="A1100" t="s">
        <v>367</v>
      </c>
      <c r="D1100">
        <v>817</v>
      </c>
      <c r="E1100">
        <v>1820</v>
      </c>
      <c r="G1100">
        <v>2637</v>
      </c>
    </row>
    <row r="1101" spans="1:7">
      <c r="A1101" t="s">
        <v>550</v>
      </c>
      <c r="E1101">
        <v>1351</v>
      </c>
      <c r="G1101">
        <v>1351</v>
      </c>
    </row>
    <row r="1102" spans="1:7">
      <c r="A1102" t="s">
        <v>270</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290</v>
      </c>
      <c r="F1123">
        <v>1235</v>
      </c>
      <c r="G1123">
        <v>1235</v>
      </c>
    </row>
    <row r="1124" spans="1:7">
      <c r="A1124" t="s">
        <v>556</v>
      </c>
    </row>
    <row r="1125" spans="1:7">
      <c r="A1125" t="s">
        <v>550</v>
      </c>
      <c r="B1125">
        <v>689</v>
      </c>
      <c r="C1125">
        <v>586</v>
      </c>
      <c r="D1125">
        <v>199</v>
      </c>
      <c r="G1125">
        <v>1474</v>
      </c>
    </row>
    <row r="1126" spans="1:7">
      <c r="A1126" t="s">
        <v>270</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194</v>
      </c>
      <c r="C1129">
        <v>890</v>
      </c>
      <c r="D1129">
        <v>1810</v>
      </c>
      <c r="E1129">
        <v>967</v>
      </c>
      <c r="G1129">
        <v>3667</v>
      </c>
    </row>
    <row r="1130" spans="1:7">
      <c r="A1130" t="s">
        <v>381</v>
      </c>
      <c r="B1130">
        <v>1511</v>
      </c>
      <c r="C1130">
        <v>1887</v>
      </c>
      <c r="D1130">
        <v>916</v>
      </c>
      <c r="E1130">
        <v>1704</v>
      </c>
      <c r="F1130">
        <v>974</v>
      </c>
      <c r="G1130">
        <v>6992</v>
      </c>
    </row>
    <row r="1131" spans="1:7">
      <c r="A1131" t="s">
        <v>466</v>
      </c>
      <c r="C1131">
        <v>1617</v>
      </c>
      <c r="D1131">
        <v>1083</v>
      </c>
      <c r="E1131">
        <v>1905</v>
      </c>
      <c r="F1131">
        <v>2064</v>
      </c>
      <c r="G1131">
        <v>6669</v>
      </c>
    </row>
    <row r="1132" spans="1:7">
      <c r="A1132" t="s">
        <v>296</v>
      </c>
      <c r="D1132">
        <v>95</v>
      </c>
      <c r="E1132">
        <v>881</v>
      </c>
      <c r="G1132">
        <v>976</v>
      </c>
    </row>
    <row r="1133" spans="1:7">
      <c r="A1133" t="s">
        <v>293</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270</v>
      </c>
      <c r="B1147">
        <v>154</v>
      </c>
      <c r="G1147">
        <v>154</v>
      </c>
    </row>
    <row r="1148" spans="1:7">
      <c r="A1148" t="s">
        <v>562</v>
      </c>
      <c r="B1148">
        <v>342</v>
      </c>
      <c r="G1148">
        <v>342</v>
      </c>
    </row>
    <row r="1149" spans="1:7">
      <c r="A1149" t="s">
        <v>466</v>
      </c>
    </row>
    <row r="1150" spans="1:7">
      <c r="A1150" t="s">
        <v>296</v>
      </c>
      <c r="B1150">
        <v>3523</v>
      </c>
      <c r="C1150">
        <v>2384</v>
      </c>
      <c r="G1150">
        <v>5907</v>
      </c>
    </row>
    <row r="1151" spans="1:7">
      <c r="A1151" t="s">
        <v>293</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270</v>
      </c>
      <c r="D1168">
        <v>173</v>
      </c>
      <c r="G1168">
        <v>173</v>
      </c>
    </row>
    <row r="1169" spans="1:7">
      <c r="A1169" t="s">
        <v>293</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355</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290</v>
      </c>
    </row>
    <row r="1187" spans="1:7">
      <c r="A1187" t="s">
        <v>466</v>
      </c>
      <c r="D1187">
        <v>0</v>
      </c>
      <c r="F1187">
        <v>104</v>
      </c>
      <c r="G1187">
        <v>104</v>
      </c>
    </row>
    <row r="1188" spans="1:7">
      <c r="A1188" t="s">
        <v>476</v>
      </c>
      <c r="B1188">
        <v>568</v>
      </c>
      <c r="G1188">
        <v>568</v>
      </c>
    </row>
    <row r="1189" spans="1:7">
      <c r="A1189" t="s">
        <v>242</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299</v>
      </c>
      <c r="E1195">
        <v>2367</v>
      </c>
      <c r="F1195">
        <v>447</v>
      </c>
      <c r="G1195">
        <v>2814</v>
      </c>
    </row>
    <row r="1196" spans="1:7">
      <c r="A1196" t="s">
        <v>257</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238</v>
      </c>
      <c r="D1206">
        <v>1200</v>
      </c>
      <c r="E1206">
        <v>445</v>
      </c>
      <c r="F1206">
        <v>686</v>
      </c>
      <c r="G1206">
        <v>2331</v>
      </c>
    </row>
    <row r="1207" spans="1:7">
      <c r="A1207" t="s">
        <v>532</v>
      </c>
    </row>
    <row r="1208" spans="1:7">
      <c r="A1208" t="s">
        <v>332</v>
      </c>
    </row>
    <row r="1209" spans="1:7">
      <c r="A1209" t="s">
        <v>357</v>
      </c>
    </row>
    <row r="1210" spans="1:7">
      <c r="A1210" t="s">
        <v>290</v>
      </c>
    </row>
    <row r="1211" spans="1:7">
      <c r="A1211" t="s">
        <v>242</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299</v>
      </c>
      <c r="B1216">
        <v>858</v>
      </c>
      <c r="G1216">
        <v>858</v>
      </c>
    </row>
    <row r="1217" spans="1:7">
      <c r="A1217" t="s">
        <v>373</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302</v>
      </c>
      <c r="C1224">
        <v>822</v>
      </c>
      <c r="D1224">
        <v>2611</v>
      </c>
      <c r="G1224">
        <v>3433</v>
      </c>
    </row>
    <row r="1225" spans="1:7">
      <c r="A1225" t="s">
        <v>305</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268</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238</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299</v>
      </c>
      <c r="E1242">
        <v>1940</v>
      </c>
      <c r="G1242">
        <v>1940</v>
      </c>
    </row>
    <row r="1243" spans="1:7">
      <c r="A1243" t="s">
        <v>503</v>
      </c>
      <c r="C1243">
        <v>183</v>
      </c>
      <c r="D1243">
        <v>182</v>
      </c>
      <c r="E1243">
        <v>186</v>
      </c>
      <c r="G1243">
        <v>551</v>
      </c>
    </row>
    <row r="1244" spans="1:7">
      <c r="A1244" t="s">
        <v>408</v>
      </c>
      <c r="E1244">
        <v>1776</v>
      </c>
      <c r="G1244">
        <v>1776</v>
      </c>
    </row>
    <row r="1245" spans="1:7">
      <c r="A1245" t="s">
        <v>305</v>
      </c>
      <c r="C1245">
        <v>506</v>
      </c>
      <c r="G1245">
        <v>506</v>
      </c>
    </row>
    <row r="1246" spans="1:7">
      <c r="A1246" t="s">
        <v>416</v>
      </c>
      <c r="D1246">
        <v>2265</v>
      </c>
      <c r="F1246">
        <v>2651</v>
      </c>
      <c r="G1246">
        <v>4916</v>
      </c>
    </row>
    <row r="1247" spans="1:7">
      <c r="A1247" t="s">
        <v>418</v>
      </c>
      <c r="C1247">
        <v>0</v>
      </c>
      <c r="D1247">
        <v>575</v>
      </c>
      <c r="F1247">
        <v>818</v>
      </c>
      <c r="G1247">
        <v>1393</v>
      </c>
    </row>
    <row r="1248" spans="1:7">
      <c r="A1248" t="s">
        <v>173</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274</v>
      </c>
      <c r="C1251">
        <v>2719</v>
      </c>
      <c r="D1251">
        <v>408</v>
      </c>
      <c r="G1251">
        <v>3127</v>
      </c>
    </row>
    <row r="1252" spans="1:7">
      <c r="A1252" t="s">
        <v>420</v>
      </c>
      <c r="C1252">
        <v>1277</v>
      </c>
      <c r="G1252">
        <v>1277</v>
      </c>
    </row>
    <row r="1253" spans="1:7">
      <c r="A1253" t="s">
        <v>124</v>
      </c>
      <c r="D1253">
        <v>686</v>
      </c>
      <c r="E1253">
        <v>736</v>
      </c>
      <c r="G1253">
        <v>1422</v>
      </c>
    </row>
    <row r="1254" spans="1:7">
      <c r="A1254" t="s">
        <v>117</v>
      </c>
      <c r="D1254">
        <v>867</v>
      </c>
      <c r="E1254">
        <v>1539</v>
      </c>
      <c r="G1254">
        <v>2406</v>
      </c>
    </row>
    <row r="1255" spans="1:7">
      <c r="A1255" t="s">
        <v>281</v>
      </c>
      <c r="D1255">
        <v>2000</v>
      </c>
      <c r="E1255">
        <v>970</v>
      </c>
      <c r="G1255">
        <v>2970</v>
      </c>
    </row>
    <row r="1256" spans="1:7">
      <c r="A1256" t="s">
        <v>205</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238</v>
      </c>
      <c r="C1265">
        <v>511</v>
      </c>
      <c r="D1265">
        <v>324</v>
      </c>
      <c r="E1265">
        <v>835</v>
      </c>
    </row>
    <row r="1266" spans="1:5">
      <c r="A1266" t="s">
        <v>1134</v>
      </c>
      <c r="C1266">
        <v>343</v>
      </c>
      <c r="D1266">
        <v>62</v>
      </c>
      <c r="E1266">
        <v>405</v>
      </c>
    </row>
    <row r="1267" spans="1:5">
      <c r="A1267" t="s">
        <v>296</v>
      </c>
    </row>
    <row r="1268" spans="1:5">
      <c r="A1268" t="s">
        <v>476</v>
      </c>
    </row>
    <row r="1269" spans="1:5">
      <c r="A1269" t="s">
        <v>242</v>
      </c>
      <c r="D1269">
        <v>149</v>
      </c>
      <c r="E1269">
        <v>149</v>
      </c>
    </row>
    <row r="1270" spans="1:5">
      <c r="A1270" t="s">
        <v>393</v>
      </c>
    </row>
    <row r="1271" spans="1:5">
      <c r="A1271" t="s">
        <v>479</v>
      </c>
    </row>
    <row r="1272" spans="1:5">
      <c r="A1272" t="s">
        <v>1016</v>
      </c>
    </row>
    <row r="1273" spans="1:5">
      <c r="A1273" t="s">
        <v>299</v>
      </c>
    </row>
    <row r="1274" spans="1:5">
      <c r="A1274" t="s">
        <v>410</v>
      </c>
    </row>
    <row r="1275" spans="1:5">
      <c r="A1275" t="s">
        <v>408</v>
      </c>
    </row>
    <row r="1276" spans="1:5">
      <c r="A1276" t="s">
        <v>412</v>
      </c>
    </row>
    <row r="1277" spans="1:5">
      <c r="A1277" t="s">
        <v>302</v>
      </c>
      <c r="B1277">
        <v>1908</v>
      </c>
      <c r="E1277">
        <v>1908</v>
      </c>
    </row>
    <row r="1278" spans="1:5">
      <c r="A1278" t="s">
        <v>305</v>
      </c>
    </row>
    <row r="1279" spans="1:5">
      <c r="A1279" t="s">
        <v>414</v>
      </c>
    </row>
    <row r="1280" spans="1:5">
      <c r="A1280" t="s">
        <v>416</v>
      </c>
    </row>
    <row r="1281" spans="1:5">
      <c r="A1281" t="s">
        <v>418</v>
      </c>
    </row>
    <row r="1282" spans="1:5">
      <c r="A1282" t="s">
        <v>173</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124</v>
      </c>
      <c r="B1286">
        <v>835</v>
      </c>
      <c r="C1286">
        <v>858</v>
      </c>
      <c r="D1286">
        <v>976</v>
      </c>
      <c r="E1286">
        <v>2669</v>
      </c>
    </row>
    <row r="1287" spans="1:5">
      <c r="A1287" t="s">
        <v>117</v>
      </c>
      <c r="B1287">
        <v>1590</v>
      </c>
      <c r="C1287">
        <v>1230</v>
      </c>
      <c r="D1287">
        <v>1015</v>
      </c>
      <c r="E1287">
        <v>3835</v>
      </c>
    </row>
    <row r="1288" spans="1:5">
      <c r="A1288" t="s">
        <v>205</v>
      </c>
      <c r="B1288">
        <v>1530</v>
      </c>
      <c r="C1288">
        <v>388</v>
      </c>
      <c r="E1288">
        <v>1918</v>
      </c>
    </row>
    <row r="1289" spans="1:5">
      <c r="A1289" t="s">
        <v>128</v>
      </c>
      <c r="C1289">
        <v>1758</v>
      </c>
      <c r="D1289">
        <v>1363</v>
      </c>
      <c r="E1289">
        <v>3121</v>
      </c>
    </row>
    <row r="1290" spans="1:5">
      <c r="A1290" t="s">
        <v>254</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0"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79">
        <v>2265</v>
      </c>
      <c r="E2544" s="201"/>
      <c r="F2544" s="1480"/>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81"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1015</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238</v>
      </c>
      <c r="B2597" s="751" t="s">
        <v>206</v>
      </c>
      <c r="C2597" s="56">
        <v>46050</v>
      </c>
      <c r="D2597" s="201">
        <v>324</v>
      </c>
      <c r="E2597" s="43"/>
      <c r="F2597" s="751" t="s">
        <v>1558</v>
      </c>
      <c r="G2597" t="s">
        <v>2024</v>
      </c>
    </row>
    <row r="2598" spans="1:7">
      <c r="A2598" s="134" t="s">
        <v>242</v>
      </c>
      <c r="B2598" s="141" t="s">
        <v>206</v>
      </c>
      <c r="C2598" s="56">
        <v>46050</v>
      </c>
      <c r="D2598" s="43">
        <v>149</v>
      </c>
      <c r="E2598" s="169"/>
      <c r="F2598" s="169"/>
      <c r="G2598" t="s">
        <v>2024</v>
      </c>
    </row>
    <row r="2599" spans="1:7">
      <c r="A2599" s="134" t="s">
        <v>254</v>
      </c>
      <c r="B2599" s="141" t="s">
        <v>206</v>
      </c>
      <c r="C2599" s="56">
        <v>46050</v>
      </c>
      <c r="D2599" s="43">
        <v>881</v>
      </c>
      <c r="E2599" s="43"/>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5"/>
      <c r="B1" s="1485"/>
      <c r="C1" s="1485"/>
      <c r="D1" s="1485"/>
      <c r="E1" s="1485"/>
      <c r="F1" s="1485"/>
      <c r="G1" s="1485"/>
      <c r="H1" s="1485"/>
      <c r="I1" s="1485"/>
      <c r="J1" s="1"/>
      <c r="K1" s="1"/>
      <c r="L1" s="1"/>
      <c r="M1" s="1"/>
      <c r="N1" s="1"/>
      <c r="O1" s="1"/>
      <c r="P1" s="1486" t="s">
        <v>34</v>
      </c>
      <c r="Q1" s="1486"/>
      <c r="R1" s="1486"/>
      <c r="S1" s="1486"/>
      <c r="T1" s="1486"/>
      <c r="U1" s="1486"/>
      <c r="V1" s="1486"/>
      <c r="W1" s="1486"/>
      <c r="X1" s="1486"/>
      <c r="Y1" s="1486"/>
      <c r="Z1" s="1486"/>
      <c r="AA1" s="1486"/>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7" t="s">
        <v>2175</v>
      </c>
      <c r="C1" s="1487"/>
      <c r="D1" s="554"/>
      <c r="E1" s="1487" t="s">
        <v>2176</v>
      </c>
      <c r="F1" s="1487"/>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v>36706</v>
      </c>
      <c r="E4" s="44" t="s">
        <v>2177</v>
      </c>
      <c r="F4" t="s">
        <v>1085</v>
      </c>
      <c r="W4" t="s">
        <v>2181</v>
      </c>
      <c r="X4">
        <v>22</v>
      </c>
    </row>
    <row r="5" spans="1:25">
      <c r="B5" t="s">
        <v>184</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195</v>
      </c>
      <c r="C9">
        <v>10811</v>
      </c>
      <c r="L9" t="s">
        <v>2191</v>
      </c>
      <c r="M9">
        <v>1</v>
      </c>
      <c r="P9" t="s">
        <v>2192</v>
      </c>
      <c r="Q9" t="s">
        <v>2191</v>
      </c>
      <c r="R9">
        <v>1</v>
      </c>
      <c r="V9" t="s">
        <v>2193</v>
      </c>
      <c r="W9">
        <v>64000</v>
      </c>
    </row>
    <row r="10" spans="1:25">
      <c r="B10" t="s">
        <v>206</v>
      </c>
      <c r="C10">
        <v>30887</v>
      </c>
      <c r="L10" t="s">
        <v>850</v>
      </c>
      <c r="M10">
        <v>1</v>
      </c>
      <c r="Q10" t="s">
        <v>854</v>
      </c>
      <c r="R10">
        <v>1</v>
      </c>
    </row>
    <row r="11" spans="1:25">
      <c r="B11" t="s">
        <v>118</v>
      </c>
      <c r="C11">
        <v>9611</v>
      </c>
      <c r="L11" t="s">
        <v>854</v>
      </c>
      <c r="M11">
        <v>1</v>
      </c>
      <c r="Q11" t="s">
        <v>857</v>
      </c>
      <c r="R11">
        <v>1</v>
      </c>
    </row>
    <row r="12" spans="1:25">
      <c r="B12" t="s">
        <v>125</v>
      </c>
      <c r="C12">
        <v>7441</v>
      </c>
      <c r="L12" t="s">
        <v>857</v>
      </c>
      <c r="M12">
        <v>1</v>
      </c>
      <c r="Q12" t="s">
        <v>2194</v>
      </c>
      <c r="R12">
        <v>1</v>
      </c>
    </row>
    <row r="13" spans="1:25">
      <c r="B13" t="s">
        <v>155</v>
      </c>
      <c r="C13">
        <v>3</v>
      </c>
      <c r="L13" t="s">
        <v>2195</v>
      </c>
      <c r="M13">
        <v>1</v>
      </c>
      <c r="Q13" t="s">
        <v>1039</v>
      </c>
      <c r="R13">
        <v>1</v>
      </c>
    </row>
    <row r="14" spans="1:25">
      <c r="B14" t="s">
        <v>239</v>
      </c>
      <c r="C14">
        <v>8622</v>
      </c>
      <c r="L14" t="s">
        <v>871</v>
      </c>
      <c r="M14">
        <v>1</v>
      </c>
      <c r="P14" t="s">
        <v>2196</v>
      </c>
      <c r="R14">
        <v>5</v>
      </c>
    </row>
    <row r="15" spans="1:25">
      <c r="B15" t="s">
        <v>266</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151</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8"/>
      <c r="B1" s="1488"/>
      <c r="C1" s="1488"/>
      <c r="D1" s="1488"/>
      <c r="E1" s="1488"/>
      <c r="F1" s="1488"/>
      <c r="G1" s="1488"/>
      <c r="H1" s="1489" t="s">
        <v>2202</v>
      </c>
      <c r="I1" s="1489"/>
      <c r="J1" s="1489"/>
      <c r="K1" s="1489"/>
      <c r="L1" s="1489"/>
      <c r="M1" s="1489"/>
      <c r="N1" s="1489"/>
      <c r="O1" s="1489"/>
      <c r="P1" s="260"/>
      <c r="Q1" s="1490" t="s">
        <v>34</v>
      </c>
      <c r="R1" s="1490"/>
      <c r="S1" s="1486"/>
      <c r="T1" s="1490"/>
      <c r="U1" s="1490"/>
      <c r="V1" s="1490"/>
      <c r="W1" s="1490"/>
      <c r="X1" s="1490"/>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8094679-3E43-44C8-93A4-533BD4E1538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2026-01-29T12:26:40Z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