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5" documentId="8_{E14B221E-02E2-46A3-8CEC-C736815F2DD5}" xr6:coauthVersionLast="47" xr6:coauthVersionMax="47" xr10:uidLastSave="{07A6AE65-B966-4D21-B0BB-0CF63849DD7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4" r:id="rId12"/>
    <pivotCache cacheId="35" r:id="rId13"/>
    <pivotCache cacheId="36" r:id="rId14"/>
    <pivotCache cacheId="37" r:id="rId15"/>
    <pivotCache cacheId="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<sst xmlns="http://schemas.openxmlformats.org/spreadsheetml/2006/main" count="17026" uniqueCount="2218">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</sst>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4" borderId="69" xfId="0" applyFont="1" applyFill="1" applyBorder="1" applyAlignment="1">
      <alignment horizontal="center"/>
    </xf>
    <xf numFmtId="0" fontId="56" fillId="0" borderId="9" xfId="0" applyFont="1" applyBorder="1"/>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6"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t="s">
        <v>112</v>
      </c>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113</v>
      </c>
      <c r="AE21" s="1251"/>
    </row>
    <row r="22" spans="1:31" s="1252" customFormat="1" ht="24.75" customHeight="1">
      <c r="A22" s="1253" t="s">
        <v>114</v>
      </c>
      <c r="B22" s="1204" t="s">
        <v>109</v>
      </c>
      <c r="C22" s="1203">
        <v>46041</v>
      </c>
      <c r="D22" s="1203"/>
      <c r="E22" s="1203"/>
      <c r="F22" s="1204"/>
      <c r="G22" s="1204" t="s">
        <v>115</v>
      </c>
      <c r="H22" s="1205">
        <v>65</v>
      </c>
      <c r="I22" s="661" t="s">
        <v>55</v>
      </c>
      <c r="J22" s="1205" t="s">
        <v>92</v>
      </c>
      <c r="K22" s="1205" t="s">
        <v>112</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112</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112</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112</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112</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112</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112</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112</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112</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92</v>
      </c>
      <c r="K37" s="1464" t="s">
        <v>112</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112</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112</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112</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112</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112</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112</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112</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112</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112</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1269</v>
      </c>
      <c r="X88" s="1468">
        <f>SUM(V88-W88)</f>
        <v>5556</v>
      </c>
      <c r="Y88" s="662">
        <f>IFERROR($W88/$V88, 0)</f>
        <v>0.18593406593406595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1462"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76" activePane="bottomLeft" state="frozen"/>
      <selection pane="bottomLeft" activeCell="E2490" sqref="E2490:F25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63"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2160</v>
      </c>
      <c r="C1" s="1458"/>
      <c r="D1" s="558"/>
      <c r="E1" s="1458" t="s">
        <v>2161</v>
      </c>
      <c r="F1" s="1458"/>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2187</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5EAE0F-C447-40FF-91FA-6275A87681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2026-01-14T01:09:32Z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