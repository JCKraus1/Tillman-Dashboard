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61" documentId="8_{E14B221E-02E2-46A3-8CEC-C736815F2DD5}" xr6:coauthVersionLast="47" xr6:coauthVersionMax="47" xr10:uidLastSave="{A3370DDD-299F-4391-8E57-24764142A9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85" r:id="rId12"/>
    <pivotCache cacheId="1991" r:id="rId13"/>
    <pivotCache cacheId="1998" r:id="rId14"/>
    <pivotCache cacheId="2003" r:id="rId15"/>
    <pivotCache cacheId="20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<sst xmlns="http://schemas.openxmlformats.org/spreadsheetml/2006/main" count="13784" uniqueCount="1673">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</sst>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49" activePane="topRight" state="frozen"/>
      <selection pane="topRight" activeCell="W62" sqref="W6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c r="X35" s="486">
        <f>SUM(V35-W35)</f>
        <v>4342</v>
      </c>
      <c r="Y35" s="688">
        <f t="shared" si="1"/>
        <v>0</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c r="F96" s="489"/>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c r="C913" s="1154"/>
    </row>
    <row r="914" spans="1:3">
      <c r="A914" t="s">
        <v>220</v>
      </c>
      <c r="B914" s="1154"/>
      <c r="C914" s="1154"/>
    </row>
    <row r="915" spans="1:3">
      <c r="A915" t="s">
        <v>182</v>
      </c>
      <c r="B915" s="1154"/>
      <c r="C915" s="1154"/>
    </row>
    <row r="916" spans="1:3">
      <c r="A916" t="s">
        <v>189</v>
      </c>
      <c r="B916" s="1154"/>
      <c r="C916" s="1154"/>
    </row>
    <row r="917" spans="1:3">
      <c r="A917" t="s">
        <v>138</v>
      </c>
      <c r="B917" s="1154"/>
      <c r="C917" s="1154"/>
    </row>
    <row r="918" spans="1:3">
      <c r="A918" t="s">
        <v>870</v>
      </c>
      <c r="B918" s="1154"/>
      <c r="C918" s="1154"/>
    </row>
    <row r="919" spans="1:3">
      <c r="A919" t="s">
        <v>258</v>
      </c>
      <c r="B919" s="1154"/>
      <c r="C919" s="1154"/>
    </row>
    <row r="920" spans="1:3">
      <c r="A920" t="s">
        <v>806</v>
      </c>
      <c r="B920" s="1154">
        <v>701</v>
      </c>
      <c r="C920" s="1154">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workbookViewId="0">
      <pane ySplit="1" topLeftCell="A1910" activePane="bottomLeft" state="frozen"/>
      <selection pane="bottomLeft" activeCell="A1928" sqref="A1928:XFD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G1931" t="s">
        <v>1536</v>
      </c>
    </row>
    <row r="1932" spans="1:7">
      <c r="A1932" s="1148" t="s">
        <v>870</v>
      </c>
      <c r="B1932" s="1148" t="s">
        <v>1537</v>
      </c>
      <c r="C1932" s="56">
        <v>45964</v>
      </c>
      <c r="G1932" t="s">
        <v>1536</v>
      </c>
    </row>
    <row r="1933" spans="1:7">
      <c r="A1933" s="1148" t="s">
        <v>189</v>
      </c>
      <c r="B1933" s="1148" t="s">
        <v>815</v>
      </c>
      <c r="C1933" s="56">
        <v>45964</v>
      </c>
      <c r="G1933" t="s">
        <v>1536</v>
      </c>
    </row>
    <row r="1934" spans="1:7">
      <c r="A1934" s="1147" t="s">
        <v>255</v>
      </c>
      <c r="B1934" s="1150" t="s">
        <v>1461</v>
      </c>
      <c r="C1934" s="56">
        <v>45964</v>
      </c>
      <c r="G1934" t="s">
        <v>1536</v>
      </c>
    </row>
    <row r="1935" spans="1:7">
      <c r="A1935" s="1148" t="s">
        <v>220</v>
      </c>
      <c r="B1935" s="1148" t="s">
        <v>221</v>
      </c>
      <c r="C1935" s="56">
        <v>45964</v>
      </c>
      <c r="G1935" t="s">
        <v>1536</v>
      </c>
    </row>
    <row r="1936" spans="1:7">
      <c r="A1936" s="1152" t="s">
        <v>304</v>
      </c>
      <c r="B1936" s="1151" t="s">
        <v>815</v>
      </c>
      <c r="C1936" s="56">
        <v>45964</v>
      </c>
      <c r="G1936" t="s">
        <v>1536</v>
      </c>
    </row>
    <row r="1937" spans="1:7">
      <c r="A1937" s="1147" t="s">
        <v>258</v>
      </c>
      <c r="B1937" s="1153"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1614</v>
      </c>
      <c r="C1" s="1136"/>
      <c r="D1" s="577"/>
      <c r="E1" s="1136" t="s">
        <v>1615</v>
      </c>
      <c r="F1" s="1136"/>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s="1154">
        <v>122681</v>
      </c>
      <c r="E4" s="44" t="s">
        <v>1616</v>
      </c>
      <c r="F4" t="s">
        <v>809</v>
      </c>
      <c r="W4" t="s">
        <v>1620</v>
      </c>
      <c r="X4">
        <v>22</v>
      </c>
    </row>
    <row r="5" spans="1:25">
      <c r="B5" t="s">
        <v>60</v>
      </c>
      <c r="C5" s="1154">
        <v>44287</v>
      </c>
      <c r="E5" t="s">
        <v>809</v>
      </c>
      <c r="F5" s="1154">
        <v>194931</v>
      </c>
      <c r="K5" s="44" t="s">
        <v>1621</v>
      </c>
      <c r="P5" s="44" t="s">
        <v>1621</v>
      </c>
      <c r="W5" t="s">
        <v>1622</v>
      </c>
      <c r="X5">
        <v>13</v>
      </c>
    </row>
    <row r="6" spans="1:25">
      <c r="B6" t="s">
        <v>101</v>
      </c>
      <c r="C6" s="1154">
        <v>22387</v>
      </c>
      <c r="K6" s="44" t="s">
        <v>27</v>
      </c>
      <c r="L6" s="44" t="s">
        <v>1623</v>
      </c>
      <c r="M6" t="s">
        <v>809</v>
      </c>
      <c r="P6" s="44" t="s">
        <v>1624</v>
      </c>
      <c r="Q6" s="44" t="s">
        <v>1623</v>
      </c>
      <c r="R6" t="s">
        <v>809</v>
      </c>
    </row>
    <row r="7" spans="1:25">
      <c r="B7" t="s">
        <v>835</v>
      </c>
      <c r="C7" s="1154">
        <v>258167</v>
      </c>
      <c r="K7" t="s">
        <v>1617</v>
      </c>
      <c r="L7" t="s">
        <v>472</v>
      </c>
      <c r="M7" s="1154">
        <v>1</v>
      </c>
      <c r="P7" t="s">
        <v>1625</v>
      </c>
      <c r="R7" s="1154">
        <v>1</v>
      </c>
      <c r="X7" t="s">
        <v>1626</v>
      </c>
      <c r="Y7" t="s">
        <v>1627</v>
      </c>
    </row>
    <row r="8" spans="1:25">
      <c r="B8" t="s">
        <v>200</v>
      </c>
      <c r="C8" s="1154">
        <v>5576</v>
      </c>
      <c r="L8" t="s">
        <v>474</v>
      </c>
      <c r="M8" s="1154">
        <v>1</v>
      </c>
      <c r="P8" t="s">
        <v>1628</v>
      </c>
      <c r="R8" s="1154">
        <v>1</v>
      </c>
      <c r="V8" t="s">
        <v>1629</v>
      </c>
      <c r="W8" s="261">
        <v>203521</v>
      </c>
      <c r="X8" s="317">
        <f>X5/X4</f>
        <v>0.59090909090909094</v>
      </c>
      <c r="Y8" s="317">
        <f>W9/W8</f>
        <v>0.31446386367991508</v>
      </c>
    </row>
    <row r="9" spans="1:25">
      <c r="B9" t="s">
        <v>51</v>
      </c>
      <c r="C9" s="1154">
        <v>0</v>
      </c>
      <c r="L9" t="s">
        <v>1630</v>
      </c>
      <c r="M9" s="1154">
        <v>1</v>
      </c>
      <c r="P9" t="s">
        <v>1631</v>
      </c>
      <c r="Q9" t="s">
        <v>1630</v>
      </c>
      <c r="R9" s="1154">
        <v>1</v>
      </c>
      <c r="V9" t="s">
        <v>1632</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1633</v>
      </c>
      <c r="R12" s="1154">
        <v>1</v>
      </c>
    </row>
    <row r="13" spans="1:25">
      <c r="B13" t="s">
        <v>148</v>
      </c>
      <c r="C13" s="1154">
        <v>13862</v>
      </c>
      <c r="L13" t="s">
        <v>1634</v>
      </c>
      <c r="M13" s="1154">
        <v>1</v>
      </c>
      <c r="Q13" t="s">
        <v>756</v>
      </c>
      <c r="R13" s="1154">
        <v>1</v>
      </c>
    </row>
    <row r="14" spans="1:25">
      <c r="B14" t="s">
        <v>197</v>
      </c>
      <c r="C14" s="1154">
        <v>16290</v>
      </c>
      <c r="L14" t="s">
        <v>585</v>
      </c>
      <c r="M14" s="1154">
        <v>1</v>
      </c>
      <c r="P14" t="s">
        <v>1635</v>
      </c>
      <c r="R14" s="1154">
        <v>5</v>
      </c>
    </row>
    <row r="15" spans="1:25">
      <c r="B15" t="s">
        <v>96</v>
      </c>
      <c r="C15" s="1154">
        <v>7655</v>
      </c>
      <c r="L15" t="s">
        <v>1633</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1636</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1637</v>
      </c>
      <c r="M26" s="1154">
        <v>19</v>
      </c>
    </row>
    <row r="27" spans="2:13">
      <c r="K27" t="s">
        <v>1638</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1639</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1640</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1641</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F35C22A-5C4B-424B-B497-60B974B46A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2025-11-03T21:21:48Z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