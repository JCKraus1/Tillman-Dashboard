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67" documentId="8_{E14B221E-02E2-46A3-8CEC-C736815F2DD5}" xr6:coauthVersionLast="47" xr6:coauthVersionMax="47" xr10:uidLastSave="{767C2E3C-4C97-4CF8-BD15-31B11FCE4A24}"/>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Footage'!$A$122:$DQ$122</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23" i="32"/>
  <c r="X23" i="32"/>
  <c r="Y36" i="2"/>
  <c r="X36" i="2"/>
  <c r="Y61" i="2"/>
  <c r="X61" i="2"/>
  <c r="Y69" i="2"/>
  <c r="Y66" i="2"/>
  <c r="Y64" i="2"/>
  <c r="X66" i="2"/>
  <c r="X64" i="2"/>
  <c r="Y20" i="32"/>
  <c r="X20" i="32"/>
  <c r="X123" i="2"/>
  <c r="Y123" i="2"/>
  <c r="X124" i="2"/>
  <c r="Y124" i="2"/>
  <c r="X125" i="2"/>
  <c r="Y125" i="2"/>
  <c r="X126" i="2"/>
  <c r="Y126" i="2"/>
  <c r="X127" i="2"/>
  <c r="Y127" i="2"/>
  <c r="X128" i="2"/>
  <c r="Y128" i="2"/>
  <c r="X129" i="2"/>
  <c r="Y129" i="2"/>
  <c r="X130" i="2"/>
  <c r="Y130" i="2"/>
  <c r="X131" i="2"/>
  <c r="Y131" i="2"/>
  <c r="X132" i="2"/>
  <c r="Y132" i="2"/>
  <c r="X133" i="2"/>
  <c r="Y133" i="2"/>
  <c r="X134" i="2"/>
  <c r="Y134" i="2"/>
  <c r="X135" i="2"/>
  <c r="Y135" i="2"/>
  <c r="X97" i="2"/>
  <c r="Y97" i="2"/>
  <c r="X102" i="2"/>
  <c r="Y102" i="2"/>
  <c r="Y65" i="2"/>
  <c r="X65" i="2"/>
  <c r="Y9" i="32"/>
  <c r="X9" i="32"/>
  <c r="Y12" i="32"/>
  <c r="X12" i="32"/>
  <c r="X19" i="32"/>
  <c r="Y19" i="32"/>
  <c r="U94" i="30"/>
  <c r="Y5" i="32"/>
  <c r="X5" i="32"/>
  <c r="Y22" i="31"/>
  <c r="X22" i="31"/>
  <c r="X28" i="32"/>
  <c r="Y28" i="32"/>
  <c r="Y22" i="32"/>
  <c r="X22" i="32"/>
  <c r="X69" i="2"/>
  <c r="X79" i="2"/>
  <c r="Y79" i="2"/>
  <c r="U88" i="30"/>
  <c r="Y10" i="31"/>
  <c r="X10" i="31"/>
  <c r="Y17" i="31"/>
  <c r="X17" i="31"/>
  <c r="Y14" i="31"/>
  <c r="X14" i="31"/>
  <c r="X17" i="2"/>
  <c r="Y17" i="2"/>
  <c r="X18" i="2"/>
  <c r="Y18" i="2"/>
  <c r="X19" i="2"/>
  <c r="Y19" i="2"/>
  <c r="X20" i="2"/>
  <c r="Y20" i="2"/>
  <c r="X21" i="2"/>
  <c r="Y21" i="2"/>
  <c r="Y22" i="2"/>
  <c r="X22" i="2"/>
  <c r="X50" i="2"/>
  <c r="X137" i="2"/>
  <c r="X138" i="2"/>
  <c r="X139" i="2"/>
  <c r="X140" i="2"/>
  <c r="X141" i="2"/>
  <c r="X142" i="2"/>
  <c r="X143" i="2"/>
  <c r="X144" i="2"/>
  <c r="X145" i="2"/>
  <c r="X146" i="2"/>
  <c r="X147" i="2"/>
  <c r="X148" i="2"/>
  <c r="X149" i="2"/>
  <c r="X150" i="2"/>
  <c r="X151" i="2"/>
  <c r="X136"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6" i="2"/>
  <c r="Y137" i="2"/>
  <c r="Y138" i="2"/>
  <c r="Y139" i="2"/>
  <c r="Y140" i="2"/>
  <c r="Y141" i="2"/>
  <c r="Y142" i="2"/>
  <c r="Y143" i="2"/>
  <c r="Y144" i="2"/>
  <c r="Y145" i="2"/>
  <c r="Y146" i="2"/>
  <c r="Y147" i="2"/>
  <c r="Y148" i="2"/>
  <c r="Y149" i="2"/>
  <c r="Y150" i="2"/>
  <c r="Y151" i="2"/>
  <c r="Y88" i="2"/>
  <c r="Y89" i="2"/>
  <c r="Y90" i="2"/>
  <c r="Y91" i="2"/>
  <c r="Y92" i="2"/>
  <c r="Y93" i="2"/>
  <c r="Y94" i="2"/>
  <c r="Y95" i="2"/>
  <c r="Y96" i="2"/>
  <c r="Y98" i="2"/>
  <c r="Y99" i="2"/>
  <c r="Y100" i="2"/>
  <c r="Y101" i="2"/>
  <c r="Y103" i="2"/>
  <c r="Y104" i="2"/>
  <c r="Y105" i="2"/>
  <c r="Y106" i="2"/>
  <c r="Y107" i="2"/>
  <c r="Y108" i="2"/>
  <c r="Y78" i="2"/>
  <c r="Y80" i="2"/>
  <c r="Y81" i="2"/>
  <c r="Y70" i="2"/>
  <c r="Y71" i="2"/>
  <c r="Y56" i="2"/>
  <c r="Y43" i="2"/>
  <c r="Y25" i="2"/>
  <c r="Y26" i="2"/>
  <c r="Y119" i="2"/>
  <c r="Y118" i="2"/>
  <c r="Y117" i="2"/>
  <c r="Y116" i="2"/>
  <c r="Y115" i="2"/>
  <c r="Y114" i="2"/>
  <c r="Y113" i="2"/>
  <c r="Y112" i="2"/>
  <c r="Y111" i="2"/>
  <c r="Y110" i="2"/>
  <c r="Y109"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<sst xmlns="http://schemas.openxmlformats.org/spreadsheetml/2006/main" count="14047" uniqueCount="1717">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</sst>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9" totalsRowShown="0" headerRowDxfId="207" tableBorderDxfId="206">
  <autoFilter ref="A74:AD11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51" totalsRowShown="0" tableBorderDxfId="114">
  <autoFilter ref="A122: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SUM(V123-W123)</calculatedColumnFormula>
    </tableColumn>
    <tableColumn id="25" xr3:uid="{46B32F0B-D8D7-45A5-8929-840D7A8ECF37}" name="UG Percentage Complete" dataDxfId="89">
      <calculatedColumnFormula>IFERROR($W123/$V123,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2" zoomScale="80" zoomScaleNormal="80" workbookViewId="0">
      <pane xSplit="1" topLeftCell="B79" activePane="topRight" state="frozen"/>
      <selection pane="topRight" activeCell="A86" sqref="A8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9"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9"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822">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1011" t="s">
        <v>243</v>
      </c>
      <c r="B86" s="895" t="s">
        <v>215</v>
      </c>
      <c r="C86" s="481">
        <v>45960</v>
      </c>
      <c r="D86" s="490" t="s">
        <v>241</v>
      </c>
      <c r="E86" s="490">
        <v>45950</v>
      </c>
      <c r="F86" s="489" t="s">
        <v>242</v>
      </c>
      <c r="G86" s="891"/>
      <c r="H86" s="896">
        <v>80</v>
      </c>
      <c r="I86" s="892" t="s">
        <v>98</v>
      </c>
      <c r="J86" s="896" t="s">
        <v>63</v>
      </c>
      <c r="K86" s="892"/>
      <c r="L86" s="490">
        <v>45905</v>
      </c>
      <c r="M86" s="892" t="s">
        <v>57</v>
      </c>
      <c r="N86" s="897">
        <v>66674.3</v>
      </c>
      <c r="O86" s="892" t="s">
        <v>57</v>
      </c>
      <c r="P86" s="647" t="s">
        <v>99</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486">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941" t="s">
        <v>275</v>
      </c>
      <c r="B103" s="895" t="s">
        <v>215</v>
      </c>
      <c r="C103" s="481">
        <v>45960</v>
      </c>
      <c r="D103" s="489" t="s">
        <v>60</v>
      </c>
      <c r="E103" s="490">
        <v>45867</v>
      </c>
      <c r="F103" s="489" t="s">
        <v>219</v>
      </c>
      <c r="G103" s="887" t="s">
        <v>276</v>
      </c>
      <c r="H103" s="492">
        <v>0</v>
      </c>
      <c r="I103" s="892" t="s">
        <v>55</v>
      </c>
      <c r="J103" s="492" t="s">
        <v>63</v>
      </c>
      <c r="K103" s="483"/>
      <c r="L103" s="490"/>
      <c r="M103" s="492" t="s">
        <v>57</v>
      </c>
      <c r="N103" s="561">
        <v>144972.5</v>
      </c>
      <c r="O103" s="492" t="s">
        <v>57</v>
      </c>
      <c r="P103" s="817" t="s">
        <v>74</v>
      </c>
      <c r="Q103" s="493">
        <v>45867</v>
      </c>
      <c r="R103" s="493"/>
      <c r="S103" s="493"/>
      <c r="T103" s="493"/>
      <c r="U103" s="493"/>
      <c r="V103" s="913">
        <v>4825</v>
      </c>
      <c r="W103" s="486">
        <v>2733</v>
      </c>
      <c r="X103" s="486">
        <f t="shared" si="6"/>
        <v>2092</v>
      </c>
      <c r="Y103" s="688">
        <f t="shared" si="5"/>
        <v>0.56642487046632128</v>
      </c>
      <c r="Z103" s="493">
        <v>45884</v>
      </c>
      <c r="AA103" s="366">
        <v>0</v>
      </c>
      <c r="AB103" s="366">
        <v>0</v>
      </c>
      <c r="AC103" s="41">
        <v>0</v>
      </c>
      <c r="AD103" s="488"/>
      <c r="AE103" s="101"/>
    </row>
    <row r="104" spans="1:31" ht="24.75" customHeight="1">
      <c r="A104" s="942" t="s">
        <v>277</v>
      </c>
      <c r="B104" s="895" t="s">
        <v>215</v>
      </c>
      <c r="C104" s="481">
        <v>45960</v>
      </c>
      <c r="D104" s="489" t="s">
        <v>241</v>
      </c>
      <c r="E104" s="490">
        <v>45923</v>
      </c>
      <c r="F104" s="489" t="s">
        <v>242</v>
      </c>
      <c r="G104" s="887"/>
      <c r="H104" s="492">
        <v>0</v>
      </c>
      <c r="I104" s="892" t="s">
        <v>55</v>
      </c>
      <c r="J104" s="492" t="s">
        <v>63</v>
      </c>
      <c r="K104" s="483"/>
      <c r="L104" s="490"/>
      <c r="M104" s="492" t="s">
        <v>57</v>
      </c>
      <c r="N104" s="561">
        <v>139581.6</v>
      </c>
      <c r="O104" s="492" t="s">
        <v>57</v>
      </c>
      <c r="P104" s="817" t="s">
        <v>58</v>
      </c>
      <c r="Q104" s="493">
        <v>45918</v>
      </c>
      <c r="R104" s="493"/>
      <c r="S104" s="493"/>
      <c r="T104" s="493"/>
      <c r="U104" s="493"/>
      <c r="V104" s="913">
        <v>11150</v>
      </c>
      <c r="W104" s="486"/>
      <c r="X104" s="486">
        <f t="shared" si="6"/>
        <v>11150</v>
      </c>
      <c r="Y104" s="688">
        <f t="shared" si="5"/>
        <v>0</v>
      </c>
      <c r="Z104" s="363"/>
      <c r="AA104" s="366">
        <v>0</v>
      </c>
      <c r="AB104" s="366">
        <v>0</v>
      </c>
      <c r="AC104" s="41">
        <v>0</v>
      </c>
      <c r="AD104" s="173" t="s">
        <v>266</v>
      </c>
      <c r="AE104" s="101"/>
    </row>
    <row r="105" spans="1:31" ht="24.75" customHeight="1">
      <c r="A105" s="941" t="s">
        <v>278</v>
      </c>
      <c r="B105" s="895" t="s">
        <v>215</v>
      </c>
      <c r="C105" s="481">
        <v>46172</v>
      </c>
      <c r="D105" s="489"/>
      <c r="E105" s="490"/>
      <c r="F105" s="489"/>
      <c r="G105" s="887"/>
      <c r="H105" s="492">
        <v>0</v>
      </c>
      <c r="I105" s="892" t="s">
        <v>55</v>
      </c>
      <c r="J105" s="492" t="s">
        <v>63</v>
      </c>
      <c r="K105" s="483"/>
      <c r="L105" s="490"/>
      <c r="M105" s="492" t="s">
        <v>57</v>
      </c>
      <c r="N105" s="561">
        <v>73653.899999999994</v>
      </c>
      <c r="O105" s="492" t="s">
        <v>57</v>
      </c>
      <c r="P105" s="817" t="s">
        <v>58</v>
      </c>
      <c r="Q105" s="493"/>
      <c r="R105" s="493"/>
      <c r="S105" s="493"/>
      <c r="T105" s="493"/>
      <c r="U105" s="493"/>
      <c r="V105" s="913">
        <v>5394</v>
      </c>
      <c r="W105" s="486"/>
      <c r="X105" s="486">
        <f t="shared" si="6"/>
        <v>5394</v>
      </c>
      <c r="Y105" s="688">
        <f t="shared" si="5"/>
        <v>0</v>
      </c>
      <c r="Z105" s="363"/>
      <c r="AA105" s="366">
        <v>0</v>
      </c>
      <c r="AB105" s="366">
        <v>0</v>
      </c>
      <c r="AC105" s="41">
        <v>0</v>
      </c>
      <c r="AD105" s="173"/>
      <c r="AE105" s="101"/>
    </row>
    <row r="106" spans="1:31" ht="24.75" customHeight="1">
      <c r="A106" s="941" t="s">
        <v>279</v>
      </c>
      <c r="B106" s="895" t="s">
        <v>215</v>
      </c>
      <c r="C106" s="481">
        <v>46111</v>
      </c>
      <c r="D106" s="489"/>
      <c r="E106" s="490"/>
      <c r="F106" s="489"/>
      <c r="G106" s="491"/>
      <c r="H106" s="492">
        <v>0</v>
      </c>
      <c r="I106" s="892" t="s">
        <v>55</v>
      </c>
      <c r="J106" s="492" t="s">
        <v>63</v>
      </c>
      <c r="K106" s="483"/>
      <c r="L106" s="490"/>
      <c r="M106" s="492" t="s">
        <v>57</v>
      </c>
      <c r="N106" s="561">
        <v>6526.35</v>
      </c>
      <c r="O106" s="492" t="s">
        <v>57</v>
      </c>
      <c r="P106" s="817" t="s">
        <v>58</v>
      </c>
      <c r="Q106" s="493"/>
      <c r="R106" s="493"/>
      <c r="S106" s="493"/>
      <c r="T106" s="493"/>
      <c r="U106" s="493"/>
      <c r="V106" s="41">
        <v>411</v>
      </c>
      <c r="W106" s="486"/>
      <c r="X106" s="486">
        <f t="shared" si="6"/>
        <v>411</v>
      </c>
      <c r="Y106" s="688">
        <f t="shared" si="5"/>
        <v>0</v>
      </c>
      <c r="Z106" s="363"/>
      <c r="AA106" s="366">
        <v>0</v>
      </c>
      <c r="AB106" s="366">
        <v>0</v>
      </c>
      <c r="AC106" s="41">
        <v>0</v>
      </c>
      <c r="AD106" s="787" t="s">
        <v>249</v>
      </c>
      <c r="AE106" s="101"/>
    </row>
    <row r="107" spans="1:31" ht="24.75" customHeight="1">
      <c r="A107" s="941" t="s">
        <v>280</v>
      </c>
      <c r="B107" s="508" t="s">
        <v>281</v>
      </c>
      <c r="C107" s="481">
        <v>46021</v>
      </c>
      <c r="D107" s="489"/>
      <c r="E107" s="490"/>
      <c r="F107" s="489"/>
      <c r="G107" s="491"/>
      <c r="H107" s="492">
        <v>35</v>
      </c>
      <c r="I107" s="892" t="s">
        <v>55</v>
      </c>
      <c r="J107" s="492" t="s">
        <v>63</v>
      </c>
      <c r="K107" s="483"/>
      <c r="L107" s="490"/>
      <c r="M107" s="492" t="s">
        <v>57</v>
      </c>
      <c r="N107" s="561">
        <v>35942</v>
      </c>
      <c r="O107" s="492" t="s">
        <v>57</v>
      </c>
      <c r="P107" s="817" t="s">
        <v>58</v>
      </c>
      <c r="Q107" s="493"/>
      <c r="R107" s="493"/>
      <c r="S107" s="493"/>
      <c r="T107" s="493"/>
      <c r="U107" s="493"/>
      <c r="V107" s="41">
        <v>2801</v>
      </c>
      <c r="W107" s="486"/>
      <c r="X107" s="486">
        <f t="shared" si="6"/>
        <v>2801</v>
      </c>
      <c r="Y107" s="688">
        <f t="shared" si="5"/>
        <v>0</v>
      </c>
      <c r="Z107" s="363"/>
      <c r="AA107" s="366">
        <v>0</v>
      </c>
      <c r="AB107" s="366">
        <v>0</v>
      </c>
      <c r="AC107" s="41">
        <v>0</v>
      </c>
      <c r="AD107" s="787" t="s">
        <v>282</v>
      </c>
      <c r="AE107" s="101"/>
    </row>
    <row r="108" spans="1:31" ht="24.75" customHeight="1">
      <c r="A108" s="942" t="s">
        <v>283</v>
      </c>
      <c r="B108" s="508" t="s">
        <v>281</v>
      </c>
      <c r="C108" s="481">
        <v>46021</v>
      </c>
      <c r="D108" s="489"/>
      <c r="E108" s="490"/>
      <c r="F108" s="489"/>
      <c r="G108" s="491"/>
      <c r="H108" s="492">
        <v>30</v>
      </c>
      <c r="I108" s="892" t="s">
        <v>55</v>
      </c>
      <c r="J108" s="896" t="s">
        <v>63</v>
      </c>
      <c r="K108" s="483" t="s">
        <v>248</v>
      </c>
      <c r="L108" s="490"/>
      <c r="M108" s="492" t="s">
        <v>94</v>
      </c>
      <c r="N108" s="561"/>
      <c r="O108" s="492" t="s">
        <v>94</v>
      </c>
      <c r="P108" s="817" t="s">
        <v>58</v>
      </c>
      <c r="Q108" s="493"/>
      <c r="R108" s="493"/>
      <c r="S108" s="493"/>
      <c r="T108" s="493"/>
      <c r="U108" s="493"/>
      <c r="V108" s="41">
        <v>2580</v>
      </c>
      <c r="W108" s="486"/>
      <c r="X108" s="486">
        <f t="shared" si="6"/>
        <v>2580</v>
      </c>
      <c r="Y108" s="688">
        <f t="shared" si="5"/>
        <v>0</v>
      </c>
      <c r="Z108" s="363"/>
      <c r="AA108" s="366">
        <v>0</v>
      </c>
      <c r="AB108" s="366">
        <v>0</v>
      </c>
      <c r="AC108" s="41">
        <v>0</v>
      </c>
      <c r="AD108" s="787"/>
      <c r="AE108" s="101"/>
    </row>
    <row r="109" spans="1:31" ht="24.75" customHeight="1">
      <c r="A109" s="942" t="s">
        <v>284</v>
      </c>
      <c r="B109" s="508" t="s">
        <v>281</v>
      </c>
      <c r="C109" s="481">
        <v>46021</v>
      </c>
      <c r="D109" s="489"/>
      <c r="E109" s="490"/>
      <c r="F109" s="489"/>
      <c r="G109" s="491"/>
      <c r="H109" s="492">
        <v>86</v>
      </c>
      <c r="I109" s="892" t="s">
        <v>55</v>
      </c>
      <c r="J109" s="896" t="s">
        <v>63</v>
      </c>
      <c r="K109" s="483" t="s">
        <v>248</v>
      </c>
      <c r="L109" s="490"/>
      <c r="M109" s="492" t="s">
        <v>94</v>
      </c>
      <c r="N109" s="561"/>
      <c r="O109" s="492" t="s">
        <v>94</v>
      </c>
      <c r="P109" s="817" t="s">
        <v>58</v>
      </c>
      <c r="Q109" s="493"/>
      <c r="R109" s="493"/>
      <c r="S109" s="493"/>
      <c r="T109" s="493"/>
      <c r="U109" s="493"/>
      <c r="V109" s="41">
        <v>9272</v>
      </c>
      <c r="W109" s="486"/>
      <c r="X109" s="486">
        <f t="shared" si="6"/>
        <v>9272</v>
      </c>
      <c r="Y109" s="688">
        <f t="shared" si="5"/>
        <v>0</v>
      </c>
      <c r="Z109" s="363"/>
      <c r="AA109" s="366">
        <v>0</v>
      </c>
      <c r="AB109" s="366">
        <v>0</v>
      </c>
      <c r="AC109" s="41">
        <v>0</v>
      </c>
      <c r="AD109" s="787"/>
      <c r="AE109" s="101"/>
    </row>
    <row r="110" spans="1:31" ht="24.75" customHeight="1">
      <c r="A110" s="942" t="s">
        <v>285</v>
      </c>
      <c r="B110" s="508" t="s">
        <v>281</v>
      </c>
      <c r="C110" s="481">
        <v>46021</v>
      </c>
      <c r="D110" s="489"/>
      <c r="E110" s="490"/>
      <c r="F110" s="489"/>
      <c r="G110" s="491"/>
      <c r="H110" s="492">
        <v>73</v>
      </c>
      <c r="I110" s="892" t="s">
        <v>55</v>
      </c>
      <c r="J110" s="896" t="s">
        <v>63</v>
      </c>
      <c r="K110" s="483" t="s">
        <v>248</v>
      </c>
      <c r="L110" s="490"/>
      <c r="M110" s="492" t="s">
        <v>94</v>
      </c>
      <c r="N110" s="561"/>
      <c r="O110" s="492" t="s">
        <v>94</v>
      </c>
      <c r="P110" s="817" t="s">
        <v>58</v>
      </c>
      <c r="Q110" s="493"/>
      <c r="R110" s="493"/>
      <c r="S110" s="493"/>
      <c r="T110" s="493"/>
      <c r="U110" s="493"/>
      <c r="V110" s="41">
        <v>6263</v>
      </c>
      <c r="W110" s="486"/>
      <c r="X110" s="486">
        <f t="shared" si="6"/>
        <v>6263</v>
      </c>
      <c r="Y110" s="688">
        <f t="shared" si="5"/>
        <v>0</v>
      </c>
      <c r="Z110" s="363"/>
      <c r="AA110" s="366">
        <v>0</v>
      </c>
      <c r="AB110" s="366">
        <v>0</v>
      </c>
      <c r="AC110" s="41">
        <v>0</v>
      </c>
      <c r="AD110" s="787"/>
      <c r="AE110" s="101"/>
    </row>
    <row r="111" spans="1:31" ht="24.75" customHeight="1">
      <c r="A111" s="941" t="s">
        <v>286</v>
      </c>
      <c r="B111" s="508" t="s">
        <v>281</v>
      </c>
      <c r="C111" s="481">
        <v>46021</v>
      </c>
      <c r="D111" s="489"/>
      <c r="E111" s="490"/>
      <c r="F111" s="489"/>
      <c r="G111" s="491"/>
      <c r="H111" s="492">
        <v>80</v>
      </c>
      <c r="I111" s="892" t="s">
        <v>55</v>
      </c>
      <c r="J111" s="896" t="s">
        <v>63</v>
      </c>
      <c r="K111" s="483"/>
      <c r="L111" s="490"/>
      <c r="M111" s="492" t="s">
        <v>57</v>
      </c>
      <c r="N111" s="561">
        <v>65843.5</v>
      </c>
      <c r="O111" s="492" t="s">
        <v>57</v>
      </c>
      <c r="P111" s="817" t="s">
        <v>58</v>
      </c>
      <c r="Q111" s="493"/>
      <c r="R111" s="493"/>
      <c r="S111" s="493"/>
      <c r="T111" s="493"/>
      <c r="U111" s="493"/>
      <c r="V111" s="41">
        <v>5052</v>
      </c>
      <c r="W111" s="486"/>
      <c r="X111" s="486">
        <f t="shared" si="6"/>
        <v>5052</v>
      </c>
      <c r="Y111" s="688">
        <f t="shared" si="5"/>
        <v>0</v>
      </c>
      <c r="Z111" s="363"/>
      <c r="AA111" s="366">
        <v>0</v>
      </c>
      <c r="AB111" s="366">
        <v>0</v>
      </c>
      <c r="AC111" s="41">
        <v>0</v>
      </c>
      <c r="AD111" s="787" t="s">
        <v>287</v>
      </c>
      <c r="AE111" s="101"/>
    </row>
    <row r="112" spans="1:31" ht="24.75" customHeight="1">
      <c r="A112" s="941" t="s">
        <v>288</v>
      </c>
      <c r="B112" s="508" t="s">
        <v>281</v>
      </c>
      <c r="C112" s="481">
        <v>46021</v>
      </c>
      <c r="D112" s="489"/>
      <c r="E112" s="490"/>
      <c r="F112" s="489"/>
      <c r="G112" s="491"/>
      <c r="H112" s="492">
        <v>88</v>
      </c>
      <c r="I112" s="892" t="s">
        <v>55</v>
      </c>
      <c r="J112" s="896" t="s">
        <v>63</v>
      </c>
      <c r="K112" s="483"/>
      <c r="L112" s="490"/>
      <c r="M112" s="492" t="s">
        <v>57</v>
      </c>
      <c r="N112" s="561">
        <v>79638</v>
      </c>
      <c r="O112" s="492" t="s">
        <v>57</v>
      </c>
      <c r="P112" s="817" t="s">
        <v>58</v>
      </c>
      <c r="Q112" s="493"/>
      <c r="R112" s="493"/>
      <c r="S112" s="493"/>
      <c r="T112" s="493"/>
      <c r="U112" s="493"/>
      <c r="V112" s="41">
        <v>6613</v>
      </c>
      <c r="W112" s="486"/>
      <c r="X112" s="486">
        <f t="shared" si="6"/>
        <v>6613</v>
      </c>
      <c r="Y112" s="688">
        <f t="shared" si="5"/>
        <v>0</v>
      </c>
      <c r="Z112" s="363"/>
      <c r="AA112" s="366">
        <v>0</v>
      </c>
      <c r="AB112" s="366">
        <v>0</v>
      </c>
      <c r="AC112" s="41">
        <v>0</v>
      </c>
      <c r="AD112" s="787" t="s">
        <v>287</v>
      </c>
      <c r="AE112" s="101"/>
    </row>
    <row r="113" spans="1:31" ht="24.75" customHeight="1">
      <c r="A113" s="941" t="s">
        <v>289</v>
      </c>
      <c r="B113" s="508" t="s">
        <v>281</v>
      </c>
      <c r="C113" s="481">
        <v>46021</v>
      </c>
      <c r="D113" s="489"/>
      <c r="E113" s="490"/>
      <c r="F113" s="489"/>
      <c r="G113" s="491"/>
      <c r="H113" s="492">
        <v>61</v>
      </c>
      <c r="I113" s="892" t="s">
        <v>55</v>
      </c>
      <c r="J113" s="492" t="s">
        <v>63</v>
      </c>
      <c r="K113" s="483"/>
      <c r="L113" s="490"/>
      <c r="M113" s="492" t="s">
        <v>57</v>
      </c>
      <c r="N113" s="561">
        <v>56650</v>
      </c>
      <c r="O113" s="492" t="s">
        <v>57</v>
      </c>
      <c r="P113" s="817" t="s">
        <v>58</v>
      </c>
      <c r="Q113" s="493"/>
      <c r="R113" s="493"/>
      <c r="S113" s="493"/>
      <c r="T113" s="493"/>
      <c r="U113" s="493"/>
      <c r="V113" s="41">
        <v>4641</v>
      </c>
      <c r="W113" s="486"/>
      <c r="X113" s="486">
        <f t="shared" si="6"/>
        <v>4641</v>
      </c>
      <c r="Y113" s="688">
        <f t="shared" si="5"/>
        <v>0</v>
      </c>
      <c r="Z113" s="363"/>
      <c r="AA113" s="366">
        <v>0</v>
      </c>
      <c r="AB113" s="366">
        <v>0</v>
      </c>
      <c r="AC113" s="41">
        <v>0</v>
      </c>
      <c r="AD113" s="787" t="s">
        <v>282</v>
      </c>
      <c r="AE113" s="101"/>
    </row>
    <row r="114" spans="1:31" ht="24.75" customHeight="1">
      <c r="A114" s="941" t="s">
        <v>290</v>
      </c>
      <c r="B114" s="508" t="s">
        <v>281</v>
      </c>
      <c r="C114" s="481">
        <v>46021</v>
      </c>
      <c r="D114" s="489" t="s">
        <v>241</v>
      </c>
      <c r="E114" s="490">
        <v>45964</v>
      </c>
      <c r="F114" s="489" t="s">
        <v>219</v>
      </c>
      <c r="G114" s="491"/>
      <c r="H114" s="492">
        <v>82</v>
      </c>
      <c r="I114" s="892" t="s">
        <v>55</v>
      </c>
      <c r="J114" s="492" t="s">
        <v>63</v>
      </c>
      <c r="K114" s="483"/>
      <c r="L114" s="490"/>
      <c r="M114" s="492" t="s">
        <v>57</v>
      </c>
      <c r="N114" s="561">
        <v>101871</v>
      </c>
      <c r="O114" s="492" t="s">
        <v>57</v>
      </c>
      <c r="P114" s="817" t="s">
        <v>58</v>
      </c>
      <c r="Q114" s="493">
        <v>45965</v>
      </c>
      <c r="R114" s="493"/>
      <c r="S114" s="493"/>
      <c r="T114" s="493"/>
      <c r="U114" s="493"/>
      <c r="V114" s="41">
        <v>8100</v>
      </c>
      <c r="W114" s="486"/>
      <c r="X114" s="486">
        <f t="shared" si="6"/>
        <v>8100</v>
      </c>
      <c r="Y114" s="688">
        <f t="shared" si="5"/>
        <v>0</v>
      </c>
      <c r="Z114" s="363"/>
      <c r="AA114" s="366">
        <v>0</v>
      </c>
      <c r="AB114" s="366">
        <v>0</v>
      </c>
      <c r="AC114" s="41">
        <v>0</v>
      </c>
      <c r="AD114" s="787" t="s">
        <v>282</v>
      </c>
      <c r="AE114" s="101"/>
    </row>
    <row r="115" spans="1:31" ht="24.75" customHeight="1">
      <c r="A115" s="942" t="s">
        <v>291</v>
      </c>
      <c r="B115" s="508" t="s">
        <v>281</v>
      </c>
      <c r="C115" s="481">
        <v>46021</v>
      </c>
      <c r="D115" s="489"/>
      <c r="E115" s="490"/>
      <c r="F115" s="489"/>
      <c r="G115" s="491"/>
      <c r="H115" s="492">
        <v>86</v>
      </c>
      <c r="I115" s="892" t="s">
        <v>55</v>
      </c>
      <c r="J115" s="896" t="s">
        <v>63</v>
      </c>
      <c r="K115" s="483" t="s">
        <v>248</v>
      </c>
      <c r="L115" s="490"/>
      <c r="M115" s="492" t="s">
        <v>94</v>
      </c>
      <c r="N115" s="561"/>
      <c r="O115" s="492" t="s">
        <v>94</v>
      </c>
      <c r="P115" s="817" t="s">
        <v>58</v>
      </c>
      <c r="Q115" s="493"/>
      <c r="R115" s="493"/>
      <c r="S115" s="493"/>
      <c r="T115" s="493"/>
      <c r="U115" s="493"/>
      <c r="V115" s="41">
        <v>8265</v>
      </c>
      <c r="W115" s="486"/>
      <c r="X115" s="486">
        <f t="shared" si="6"/>
        <v>8265</v>
      </c>
      <c r="Y115" s="688">
        <f t="shared" si="5"/>
        <v>0</v>
      </c>
      <c r="Z115" s="363"/>
      <c r="AA115" s="366">
        <v>0</v>
      </c>
      <c r="AB115" s="366">
        <v>0</v>
      </c>
      <c r="AC115" s="41">
        <v>0</v>
      </c>
      <c r="AD115" s="787"/>
      <c r="AE115" s="101"/>
    </row>
    <row r="116" spans="1:31" ht="24.75" customHeight="1">
      <c r="A116" s="941" t="s">
        <v>292</v>
      </c>
      <c r="B116" s="508" t="s">
        <v>281</v>
      </c>
      <c r="C116" s="481">
        <v>46021</v>
      </c>
      <c r="D116" s="489"/>
      <c r="E116" s="490"/>
      <c r="F116" s="489"/>
      <c r="G116" s="491"/>
      <c r="H116" s="492">
        <v>77</v>
      </c>
      <c r="I116" s="892" t="s">
        <v>55</v>
      </c>
      <c r="J116" s="492" t="s">
        <v>63</v>
      </c>
      <c r="K116" s="483"/>
      <c r="L116" s="490"/>
      <c r="M116" s="492" t="s">
        <v>57</v>
      </c>
      <c r="N116" s="561">
        <v>90786</v>
      </c>
      <c r="O116" s="492" t="s">
        <v>57</v>
      </c>
      <c r="P116" s="817" t="s">
        <v>58</v>
      </c>
      <c r="Q116" s="493">
        <v>45965</v>
      </c>
      <c r="R116" s="493"/>
      <c r="S116" s="493"/>
      <c r="T116" s="493"/>
      <c r="U116" s="493"/>
      <c r="V116" s="41">
        <v>8013</v>
      </c>
      <c r="W116" s="486"/>
      <c r="X116" s="486">
        <f t="shared" si="6"/>
        <v>8013</v>
      </c>
      <c r="Y116" s="688">
        <f t="shared" si="5"/>
        <v>0</v>
      </c>
      <c r="Z116" s="363"/>
      <c r="AA116" s="366">
        <v>0</v>
      </c>
      <c r="AB116" s="366">
        <v>0</v>
      </c>
      <c r="AC116" s="41">
        <v>0</v>
      </c>
      <c r="AD116" s="787" t="s">
        <v>282</v>
      </c>
      <c r="AE116" s="101"/>
    </row>
    <row r="117" spans="1:31" ht="24.75" customHeight="1">
      <c r="A117" s="941" t="s">
        <v>293</v>
      </c>
      <c r="B117" s="508" t="s">
        <v>281</v>
      </c>
      <c r="C117" s="481">
        <v>46021</v>
      </c>
      <c r="D117" s="489"/>
      <c r="E117" s="490"/>
      <c r="F117" s="489"/>
      <c r="G117" s="491"/>
      <c r="H117" s="492">
        <v>75</v>
      </c>
      <c r="I117" s="892" t="s">
        <v>55</v>
      </c>
      <c r="J117" s="492" t="s">
        <v>63</v>
      </c>
      <c r="K117" s="483"/>
      <c r="L117" s="490"/>
      <c r="M117" s="492" t="s">
        <v>57</v>
      </c>
      <c r="N117" s="561">
        <v>82330</v>
      </c>
      <c r="O117" s="492" t="s">
        <v>57</v>
      </c>
      <c r="P117" s="817" t="s">
        <v>58</v>
      </c>
      <c r="Q117" s="493">
        <v>45965</v>
      </c>
      <c r="R117" s="493"/>
      <c r="S117" s="493"/>
      <c r="T117" s="493"/>
      <c r="U117" s="493"/>
      <c r="V117" s="41">
        <v>7126</v>
      </c>
      <c r="W117" s="486"/>
      <c r="X117" s="486">
        <f t="shared" si="6"/>
        <v>7126</v>
      </c>
      <c r="Y117" s="688">
        <f t="shared" si="5"/>
        <v>0</v>
      </c>
      <c r="Z117" s="363"/>
      <c r="AA117" s="366">
        <v>0</v>
      </c>
      <c r="AB117" s="366">
        <v>0</v>
      </c>
      <c r="AC117" s="41">
        <v>0</v>
      </c>
      <c r="AD117" s="787" t="s">
        <v>282</v>
      </c>
      <c r="AE117" s="101"/>
    </row>
    <row r="118" spans="1:31" ht="24.75" customHeight="1">
      <c r="A118" s="941" t="s">
        <v>294</v>
      </c>
      <c r="B118" s="508" t="s">
        <v>281</v>
      </c>
      <c r="C118" s="481">
        <v>46021</v>
      </c>
      <c r="D118" s="489"/>
      <c r="E118" s="490"/>
      <c r="F118" s="489"/>
      <c r="G118" s="491"/>
      <c r="H118" s="492">
        <v>78</v>
      </c>
      <c r="I118" s="892" t="s">
        <v>55</v>
      </c>
      <c r="J118" s="492" t="s">
        <v>63</v>
      </c>
      <c r="K118" s="483"/>
      <c r="L118" s="490"/>
      <c r="M118" s="492" t="s">
        <v>57</v>
      </c>
      <c r="N118" s="561">
        <v>84477</v>
      </c>
      <c r="O118" s="492" t="s">
        <v>57</v>
      </c>
      <c r="P118" s="817" t="s">
        <v>58</v>
      </c>
      <c r="Q118" s="493"/>
      <c r="R118" s="493"/>
      <c r="S118" s="493"/>
      <c r="T118" s="493"/>
      <c r="U118" s="493"/>
      <c r="V118" s="41">
        <v>6758</v>
      </c>
      <c r="W118" s="486"/>
      <c r="X118" s="486">
        <f t="shared" si="6"/>
        <v>6758</v>
      </c>
      <c r="Y118" s="688">
        <f t="shared" si="5"/>
        <v>0</v>
      </c>
      <c r="Z118" s="363"/>
      <c r="AA118" s="366">
        <v>0</v>
      </c>
      <c r="AB118" s="366">
        <v>0</v>
      </c>
      <c r="AC118" s="41">
        <v>0</v>
      </c>
      <c r="AD118" s="787" t="s">
        <v>282</v>
      </c>
      <c r="AE118" s="101"/>
    </row>
    <row r="119" spans="1:31" ht="24.75" customHeight="1">
      <c r="A119" s="1115" t="s">
        <v>295</v>
      </c>
      <c r="B119" s="1110" t="s">
        <v>281</v>
      </c>
      <c r="C119" s="992">
        <v>46021</v>
      </c>
      <c r="D119" s="996"/>
      <c r="E119" s="1111"/>
      <c r="F119" s="996"/>
      <c r="G119" s="1112"/>
      <c r="H119" s="1099">
        <v>26</v>
      </c>
      <c r="I119" s="1098" t="s">
        <v>55</v>
      </c>
      <c r="J119" s="1099" t="s">
        <v>63</v>
      </c>
      <c r="K119" s="994"/>
      <c r="L119" s="1111"/>
      <c r="M119" s="1099" t="s">
        <v>57</v>
      </c>
      <c r="N119" s="1113">
        <v>35576</v>
      </c>
      <c r="O119" s="1099" t="s">
        <v>57</v>
      </c>
      <c r="P119" s="1114" t="s">
        <v>58</v>
      </c>
      <c r="Q119" s="620"/>
      <c r="R119" s="620"/>
      <c r="S119" s="620"/>
      <c r="T119" s="620"/>
      <c r="U119" s="620"/>
      <c r="V119" s="1100">
        <v>3150</v>
      </c>
      <c r="W119" s="621"/>
      <c r="X119" s="486">
        <f t="shared" si="6"/>
        <v>3150</v>
      </c>
      <c r="Y119" s="929">
        <f t="shared" si="5"/>
        <v>0</v>
      </c>
      <c r="Z119" s="999"/>
      <c r="AA119" s="622">
        <v>0</v>
      </c>
      <c r="AB119" s="622">
        <v>0</v>
      </c>
      <c r="AC119" s="1100">
        <v>0</v>
      </c>
      <c r="AD119" s="971" t="s">
        <v>282</v>
      </c>
      <c r="AE119" s="101"/>
    </row>
    <row r="120" spans="1:31" ht="24.75" customHeight="1">
      <c r="A120" s="941"/>
      <c r="B120" s="508"/>
      <c r="C120" s="481"/>
      <c r="D120" s="489"/>
      <c r="E120" s="900"/>
      <c r="F120" s="489"/>
      <c r="G120" s="491"/>
      <c r="H120" s="492"/>
      <c r="I120" s="498"/>
      <c r="J120" s="492"/>
      <c r="K120" s="405"/>
      <c r="L120" s="900"/>
      <c r="M120" s="492"/>
      <c r="N120" s="561"/>
      <c r="O120" s="492"/>
      <c r="P120" s="72"/>
      <c r="Q120" s="493"/>
      <c r="R120" s="493"/>
      <c r="S120" s="493"/>
      <c r="T120" s="493"/>
      <c r="U120" s="493"/>
      <c r="V120" s="41"/>
      <c r="W120" s="486"/>
      <c r="X120" s="1104"/>
      <c r="Y120" s="1105"/>
      <c r="Z120" s="72"/>
      <c r="AA120" s="366"/>
      <c r="AB120" s="366"/>
      <c r="AC120" s="41"/>
      <c r="AD120" s="488"/>
      <c r="AE120" s="101"/>
    </row>
    <row r="121" spans="1:31" ht="24.75" customHeight="1">
      <c r="A121" s="1095"/>
      <c r="B121" s="1096"/>
      <c r="C121" s="972"/>
      <c r="D121" s="672"/>
      <c r="E121" s="386"/>
      <c r="F121" s="385"/>
      <c r="G121" s="659"/>
      <c r="H121" s="385"/>
      <c r="I121" s="388"/>
      <c r="J121" s="387"/>
      <c r="K121" s="673"/>
      <c r="L121" s="51"/>
      <c r="M121" s="385"/>
      <c r="N121" s="674"/>
      <c r="O121" s="52"/>
      <c r="P121" s="101"/>
      <c r="Q121" s="675"/>
      <c r="R121" s="676"/>
      <c r="S121" s="676"/>
      <c r="T121" s="676"/>
      <c r="U121" s="676"/>
      <c r="V121" s="677"/>
      <c r="W121" s="677"/>
      <c r="X121" s="938"/>
      <c r="Y121" s="939"/>
      <c r="Z121" s="55"/>
      <c r="AA121" s="148"/>
      <c r="AB121" s="148"/>
      <c r="AC121" s="677"/>
      <c r="AD121" s="450"/>
      <c r="AE121" s="400"/>
    </row>
    <row r="122" spans="1:31" ht="24.75" customHeight="1">
      <c r="A122" s="1116" t="s">
        <v>296</v>
      </c>
      <c r="B122" s="1097" t="s">
        <v>20</v>
      </c>
      <c r="C122" s="1097" t="s">
        <v>21</v>
      </c>
      <c r="D122" s="1093" t="s">
        <v>22</v>
      </c>
      <c r="E122" s="1086" t="s">
        <v>23</v>
      </c>
      <c r="F122" s="1086" t="s">
        <v>24</v>
      </c>
      <c r="G122" s="1086" t="s">
        <v>25</v>
      </c>
      <c r="H122" s="1086" t="s">
        <v>26</v>
      </c>
      <c r="I122" s="1086" t="s">
        <v>27</v>
      </c>
      <c r="J122" s="1086" t="s">
        <v>28</v>
      </c>
      <c r="K122" s="1086" t="s">
        <v>29</v>
      </c>
      <c r="L122" s="1086" t="s">
        <v>30</v>
      </c>
      <c r="M122" s="1086" t="s">
        <v>31</v>
      </c>
      <c r="N122" s="1087" t="s">
        <v>32</v>
      </c>
      <c r="O122" s="882" t="s">
        <v>33</v>
      </c>
      <c r="P122" s="1088" t="s">
        <v>34</v>
      </c>
      <c r="Q122" s="477" t="s">
        <v>35</v>
      </c>
      <c r="R122" s="1089" t="s">
        <v>36</v>
      </c>
      <c r="S122" s="1089" t="s">
        <v>37</v>
      </c>
      <c r="T122" s="1089" t="s">
        <v>38</v>
      </c>
      <c r="U122" s="1089" t="s">
        <v>39</v>
      </c>
      <c r="V122" s="1089" t="s">
        <v>40</v>
      </c>
      <c r="W122" s="1089" t="s">
        <v>41</v>
      </c>
      <c r="X122" s="937" t="s">
        <v>42</v>
      </c>
      <c r="Y122" s="937" t="s">
        <v>43</v>
      </c>
      <c r="Z122" s="1090" t="s">
        <v>44</v>
      </c>
      <c r="AA122" s="1091" t="s">
        <v>45</v>
      </c>
      <c r="AB122" s="1089" t="s">
        <v>46</v>
      </c>
      <c r="AC122" s="1089" t="s">
        <v>47</v>
      </c>
      <c r="AD122" s="1092" t="s">
        <v>48</v>
      </c>
      <c r="AE122" s="400"/>
    </row>
    <row r="123" spans="1:31" ht="24.75" customHeight="1">
      <c r="A123" s="1140" t="s">
        <v>297</v>
      </c>
      <c r="B123" s="464" t="s">
        <v>298</v>
      </c>
      <c r="C123" s="386">
        <v>45687</v>
      </c>
      <c r="D123" s="1094" t="s">
        <v>133</v>
      </c>
      <c r="E123" s="386"/>
      <c r="F123" s="385" t="s">
        <v>299</v>
      </c>
      <c r="G123" s="659"/>
      <c r="H123" s="1141"/>
      <c r="I123" s="995"/>
      <c r="J123" s="1142"/>
      <c r="K123" s="1143"/>
      <c r="L123" s="386"/>
      <c r="M123" s="1142"/>
      <c r="N123" s="1144"/>
      <c r="O123" s="1141"/>
      <c r="P123" s="1145"/>
      <c r="Q123" s="125"/>
      <c r="R123" s="676"/>
      <c r="S123" s="676"/>
      <c r="T123" s="676"/>
      <c r="U123" s="676"/>
      <c r="V123" s="1148">
        <v>7137</v>
      </c>
      <c r="W123" s="677"/>
      <c r="X123" s="1148">
        <f t="shared" ref="X123:X135" si="7">SUM(V123-W123)</f>
        <v>7137</v>
      </c>
      <c r="Y123" s="939">
        <f t="shared" ref="Y123:Y135" si="8">IFERROR($W123/$V123, 0)</f>
        <v>0</v>
      </c>
      <c r="Z123" s="55"/>
      <c r="AA123" s="1146"/>
      <c r="AB123" s="1146"/>
      <c r="AC123" s="1147"/>
      <c r="AD123" s="450" t="s">
        <v>300</v>
      </c>
      <c r="AE123" s="400"/>
    </row>
    <row r="124" spans="1:31" ht="24.75" customHeight="1">
      <c r="A124" s="1140" t="s">
        <v>301</v>
      </c>
      <c r="B124" s="464" t="s">
        <v>298</v>
      </c>
      <c r="C124" s="386">
        <v>45687</v>
      </c>
      <c r="D124" s="1094" t="s">
        <v>133</v>
      </c>
      <c r="E124" s="386"/>
      <c r="F124" s="385" t="s">
        <v>299</v>
      </c>
      <c r="G124" s="659"/>
      <c r="H124" s="1141"/>
      <c r="I124" s="995"/>
      <c r="J124" s="1142"/>
      <c r="K124" s="1143"/>
      <c r="L124" s="386"/>
      <c r="M124" s="1142"/>
      <c r="N124" s="1144"/>
      <c r="O124" s="1141"/>
      <c r="P124" s="1145"/>
      <c r="Q124" s="125"/>
      <c r="R124" s="676"/>
      <c r="S124" s="676"/>
      <c r="T124" s="676"/>
      <c r="U124" s="676"/>
      <c r="V124" s="1148">
        <v>8153</v>
      </c>
      <c r="W124" s="677"/>
      <c r="X124" s="1148">
        <f t="shared" si="7"/>
        <v>8153</v>
      </c>
      <c r="Y124" s="939">
        <f t="shared" si="8"/>
        <v>0</v>
      </c>
      <c r="Z124" s="55"/>
      <c r="AA124" s="1146"/>
      <c r="AB124" s="1146"/>
      <c r="AC124" s="1147"/>
      <c r="AD124" s="450" t="s">
        <v>300</v>
      </c>
      <c r="AE124" s="400"/>
    </row>
    <row r="125" spans="1:31" ht="24.75" customHeight="1">
      <c r="A125" s="1140" t="s">
        <v>302</v>
      </c>
      <c r="B125" s="464" t="s">
        <v>298</v>
      </c>
      <c r="C125" s="386">
        <v>45687</v>
      </c>
      <c r="D125" s="1094" t="s">
        <v>133</v>
      </c>
      <c r="E125" s="386"/>
      <c r="F125" s="385" t="s">
        <v>299</v>
      </c>
      <c r="G125" s="659"/>
      <c r="H125" s="1141"/>
      <c r="I125" s="995"/>
      <c r="J125" s="1142"/>
      <c r="K125" s="1143"/>
      <c r="L125" s="386"/>
      <c r="M125" s="1142"/>
      <c r="N125" s="1144"/>
      <c r="O125" s="1141"/>
      <c r="P125" s="1145"/>
      <c r="Q125" s="125"/>
      <c r="R125" s="676"/>
      <c r="S125" s="676"/>
      <c r="T125" s="676"/>
      <c r="U125" s="676"/>
      <c r="V125" s="1148">
        <v>7522</v>
      </c>
      <c r="W125" s="677"/>
      <c r="X125" s="1148">
        <f t="shared" si="7"/>
        <v>7522</v>
      </c>
      <c r="Y125" s="939">
        <f t="shared" si="8"/>
        <v>0</v>
      </c>
      <c r="Z125" s="55"/>
      <c r="AA125" s="1146"/>
      <c r="AB125" s="1146"/>
      <c r="AC125" s="1147"/>
      <c r="AD125" s="450" t="s">
        <v>300</v>
      </c>
      <c r="AE125" s="400"/>
    </row>
    <row r="126" spans="1:31" ht="24.75" customHeight="1">
      <c r="A126" s="1140" t="s">
        <v>303</v>
      </c>
      <c r="B126" s="464" t="s">
        <v>298</v>
      </c>
      <c r="C126" s="386">
        <v>45687</v>
      </c>
      <c r="D126" s="1094" t="s">
        <v>133</v>
      </c>
      <c r="E126" s="386"/>
      <c r="F126" s="385" t="s">
        <v>299</v>
      </c>
      <c r="G126" s="659"/>
      <c r="H126" s="1141"/>
      <c r="I126" s="995"/>
      <c r="J126" s="1142"/>
      <c r="K126" s="1143"/>
      <c r="L126" s="386"/>
      <c r="M126" s="1142"/>
      <c r="N126" s="1144"/>
      <c r="O126" s="1141"/>
      <c r="P126" s="1145"/>
      <c r="Q126" s="125"/>
      <c r="R126" s="676"/>
      <c r="S126" s="676"/>
      <c r="T126" s="676"/>
      <c r="U126" s="676"/>
      <c r="V126" s="1148">
        <v>8523</v>
      </c>
      <c r="W126" s="677"/>
      <c r="X126" s="1148">
        <f t="shared" si="7"/>
        <v>8523</v>
      </c>
      <c r="Y126" s="939">
        <f t="shared" si="8"/>
        <v>0</v>
      </c>
      <c r="Z126" s="55"/>
      <c r="AA126" s="1146"/>
      <c r="AB126" s="1146"/>
      <c r="AC126" s="1147"/>
      <c r="AD126" s="450" t="s">
        <v>300</v>
      </c>
      <c r="AE126" s="400"/>
    </row>
    <row r="127" spans="1:31" ht="24.75" customHeight="1">
      <c r="A127" s="1140" t="s">
        <v>304</v>
      </c>
      <c r="B127" s="464" t="s">
        <v>298</v>
      </c>
      <c r="C127" s="386">
        <v>45687</v>
      </c>
      <c r="D127" s="1094" t="s">
        <v>133</v>
      </c>
      <c r="E127" s="386"/>
      <c r="F127" s="385" t="s">
        <v>299</v>
      </c>
      <c r="G127" s="659"/>
      <c r="H127" s="1141"/>
      <c r="I127" s="995"/>
      <c r="J127" s="1142"/>
      <c r="K127" s="1143"/>
      <c r="L127" s="386"/>
      <c r="M127" s="1142"/>
      <c r="N127" s="1144"/>
      <c r="O127" s="1141"/>
      <c r="P127" s="1145"/>
      <c r="Q127" s="125"/>
      <c r="R127" s="676"/>
      <c r="S127" s="676"/>
      <c r="T127" s="676"/>
      <c r="U127" s="676"/>
      <c r="V127" s="1148">
        <v>5827</v>
      </c>
      <c r="W127" s="677"/>
      <c r="X127" s="1148">
        <f t="shared" si="7"/>
        <v>5827</v>
      </c>
      <c r="Y127" s="939">
        <f t="shared" si="8"/>
        <v>0</v>
      </c>
      <c r="Z127" s="55"/>
      <c r="AA127" s="1146"/>
      <c r="AB127" s="1146"/>
      <c r="AC127" s="1147"/>
      <c r="AD127" s="450" t="s">
        <v>300</v>
      </c>
      <c r="AE127" s="400"/>
    </row>
    <row r="128" spans="1:31" ht="24.75" customHeight="1">
      <c r="A128" s="1140" t="s">
        <v>305</v>
      </c>
      <c r="B128" s="464" t="s">
        <v>298</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5136</v>
      </c>
      <c r="W128" s="677"/>
      <c r="X128" s="1148">
        <f t="shared" si="7"/>
        <v>5136</v>
      </c>
      <c r="Y128" s="939">
        <f t="shared" si="8"/>
        <v>0</v>
      </c>
      <c r="Z128" s="55"/>
      <c r="AA128" s="1146"/>
      <c r="AB128" s="1146"/>
      <c r="AC128" s="1147"/>
      <c r="AD128" s="450" t="s">
        <v>300</v>
      </c>
      <c r="AE128" s="400"/>
    </row>
    <row r="129" spans="1:31" ht="24.75" customHeight="1">
      <c r="A129" s="1140" t="s">
        <v>306</v>
      </c>
      <c r="B129" s="464" t="s">
        <v>298</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6249</v>
      </c>
      <c r="W129" s="677"/>
      <c r="X129" s="1148">
        <f t="shared" si="7"/>
        <v>6249</v>
      </c>
      <c r="Y129" s="939">
        <f t="shared" si="8"/>
        <v>0</v>
      </c>
      <c r="Z129" s="55"/>
      <c r="AA129" s="1146"/>
      <c r="AB129" s="1146"/>
      <c r="AC129" s="1147"/>
      <c r="AD129" s="450" t="s">
        <v>300</v>
      </c>
      <c r="AE129" s="400"/>
    </row>
    <row r="130" spans="1:31" ht="24.75" customHeight="1">
      <c r="A130" s="1140" t="s">
        <v>307</v>
      </c>
      <c r="B130" s="464" t="s">
        <v>298</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4095</v>
      </c>
      <c r="W130" s="677"/>
      <c r="X130" s="1148">
        <f t="shared" si="7"/>
        <v>4095</v>
      </c>
      <c r="Y130" s="939">
        <f t="shared" si="8"/>
        <v>0</v>
      </c>
      <c r="Z130" s="55"/>
      <c r="AA130" s="1146"/>
      <c r="AB130" s="1146"/>
      <c r="AC130" s="1147"/>
      <c r="AD130" s="450" t="s">
        <v>300</v>
      </c>
      <c r="AE130" s="400"/>
    </row>
    <row r="131" spans="1:31" ht="24.75" customHeight="1">
      <c r="A131" s="1140" t="s">
        <v>308</v>
      </c>
      <c r="B131" s="464" t="s">
        <v>298</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5254</v>
      </c>
      <c r="W131" s="677"/>
      <c r="X131" s="1148">
        <f t="shared" si="7"/>
        <v>5254</v>
      </c>
      <c r="Y131" s="939">
        <f t="shared" si="8"/>
        <v>0</v>
      </c>
      <c r="Z131" s="55"/>
      <c r="AA131" s="1146"/>
      <c r="AB131" s="1146"/>
      <c r="AC131" s="1147"/>
      <c r="AD131" s="450" t="s">
        <v>300</v>
      </c>
      <c r="AE131" s="400"/>
    </row>
    <row r="132" spans="1:31" ht="24.75" customHeight="1">
      <c r="A132" s="1140" t="s">
        <v>309</v>
      </c>
      <c r="B132" s="464" t="s">
        <v>298</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5947</v>
      </c>
      <c r="W132" s="677"/>
      <c r="X132" s="1148">
        <f t="shared" si="7"/>
        <v>5947</v>
      </c>
      <c r="Y132" s="939">
        <f t="shared" si="8"/>
        <v>0</v>
      </c>
      <c r="Z132" s="55"/>
      <c r="AA132" s="1146"/>
      <c r="AB132" s="1146"/>
      <c r="AC132" s="1147"/>
      <c r="AD132" s="450" t="s">
        <v>300</v>
      </c>
      <c r="AE132" s="400"/>
    </row>
    <row r="133" spans="1:31" ht="24.75" customHeight="1">
      <c r="A133" s="1140" t="s">
        <v>310</v>
      </c>
      <c r="B133" s="464" t="s">
        <v>298</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5599</v>
      </c>
      <c r="W133" s="677"/>
      <c r="X133" s="1148">
        <f t="shared" si="7"/>
        <v>5599</v>
      </c>
      <c r="Y133" s="939">
        <f t="shared" si="8"/>
        <v>0</v>
      </c>
      <c r="Z133" s="55"/>
      <c r="AA133" s="1146"/>
      <c r="AB133" s="1146"/>
      <c r="AC133" s="1147"/>
      <c r="AD133" s="450" t="s">
        <v>300</v>
      </c>
      <c r="AE133" s="400"/>
    </row>
    <row r="134" spans="1:31" ht="24.75" customHeight="1">
      <c r="A134" s="1140" t="s">
        <v>311</v>
      </c>
      <c r="B134" s="464" t="s">
        <v>298</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6646</v>
      </c>
      <c r="W134" s="677"/>
      <c r="X134" s="1148">
        <f t="shared" si="7"/>
        <v>6646</v>
      </c>
      <c r="Y134" s="939">
        <f t="shared" si="8"/>
        <v>0</v>
      </c>
      <c r="Z134" s="55"/>
      <c r="AA134" s="1146"/>
      <c r="AB134" s="1146"/>
      <c r="AC134" s="1147"/>
      <c r="AD134" s="450" t="s">
        <v>300</v>
      </c>
      <c r="AE134" s="400"/>
    </row>
    <row r="135" spans="1:31" ht="24.75" customHeight="1">
      <c r="A135" s="1140" t="s">
        <v>312</v>
      </c>
      <c r="B135" s="464" t="s">
        <v>298</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2136</v>
      </c>
      <c r="W135" s="677"/>
      <c r="X135" s="1148">
        <f t="shared" si="7"/>
        <v>2136</v>
      </c>
      <c r="Y135" s="939">
        <f t="shared" si="8"/>
        <v>0</v>
      </c>
      <c r="Z135" s="55"/>
      <c r="AA135" s="1146"/>
      <c r="AB135" s="1146"/>
      <c r="AC135" s="1147"/>
      <c r="AD135" s="450" t="s">
        <v>300</v>
      </c>
      <c r="AE135" s="400"/>
    </row>
    <row r="136" spans="1:31" ht="24.75" customHeight="1">
      <c r="A136" s="1117" t="s">
        <v>313</v>
      </c>
      <c r="B136" s="464" t="s">
        <v>298</v>
      </c>
      <c r="C136" s="386">
        <v>45687</v>
      </c>
      <c r="D136" s="1094" t="s">
        <v>133</v>
      </c>
      <c r="E136" s="386">
        <v>45959</v>
      </c>
      <c r="F136" s="385" t="s">
        <v>126</v>
      </c>
      <c r="G136" s="659"/>
      <c r="H136" s="387">
        <v>89</v>
      </c>
      <c r="I136" s="1098" t="s">
        <v>55</v>
      </c>
      <c r="J136" s="1099" t="s">
        <v>63</v>
      </c>
      <c r="K136" s="673"/>
      <c r="L136" s="51">
        <v>45964</v>
      </c>
      <c r="M136" s="1099" t="s">
        <v>57</v>
      </c>
      <c r="N136" s="903">
        <v>84750.5</v>
      </c>
      <c r="O136" s="52" t="s">
        <v>57</v>
      </c>
      <c r="P136" s="365" t="s">
        <v>58</v>
      </c>
      <c r="Q136" s="54">
        <v>45964</v>
      </c>
      <c r="R136" s="1131"/>
      <c r="S136" s="676"/>
      <c r="T136" s="676"/>
      <c r="U136" s="676"/>
      <c r="V136" s="107">
        <v>6935</v>
      </c>
      <c r="W136" s="677"/>
      <c r="X136" s="486">
        <f t="shared" ref="X136:X151" si="9">SUM(V136-W136)</f>
        <v>6935</v>
      </c>
      <c r="Y136" s="929">
        <f t="shared" ref="Y136:Y151" si="10">IFERROR($W136/$V136, 0)</f>
        <v>0</v>
      </c>
      <c r="Z136" s="55"/>
      <c r="AA136" s="622">
        <v>0</v>
      </c>
      <c r="AB136" s="622">
        <v>0</v>
      </c>
      <c r="AC136" s="1100">
        <v>0</v>
      </c>
      <c r="AD136" s="450" t="s">
        <v>314</v>
      </c>
      <c r="AE136" s="400"/>
    </row>
    <row r="137" spans="1:31" ht="24.75" customHeight="1">
      <c r="A137" s="1117" t="s">
        <v>315</v>
      </c>
      <c r="B137" s="464" t="s">
        <v>298</v>
      </c>
      <c r="C137" s="386">
        <v>45687</v>
      </c>
      <c r="D137" s="1094" t="s">
        <v>133</v>
      </c>
      <c r="E137" s="386">
        <v>45959</v>
      </c>
      <c r="F137" s="385" t="s">
        <v>126</v>
      </c>
      <c r="G137" s="659"/>
      <c r="H137" s="387">
        <v>59</v>
      </c>
      <c r="I137" s="1098" t="s">
        <v>55</v>
      </c>
      <c r="J137" s="1099" t="s">
        <v>63</v>
      </c>
      <c r="K137" s="673"/>
      <c r="L137" s="51">
        <v>45964</v>
      </c>
      <c r="M137" s="1099" t="s">
        <v>57</v>
      </c>
      <c r="N137" s="903">
        <v>65066.5</v>
      </c>
      <c r="O137" s="52" t="s">
        <v>57</v>
      </c>
      <c r="P137" s="365" t="s">
        <v>58</v>
      </c>
      <c r="Q137" s="54">
        <v>45964</v>
      </c>
      <c r="R137" s="1131"/>
      <c r="S137" s="676"/>
      <c r="T137" s="676"/>
      <c r="U137" s="676"/>
      <c r="V137" s="107">
        <v>5421</v>
      </c>
      <c r="W137" s="677"/>
      <c r="X137" s="486">
        <f t="shared" si="9"/>
        <v>5421</v>
      </c>
      <c r="Y137" s="939">
        <f t="shared" si="10"/>
        <v>0</v>
      </c>
      <c r="Z137" s="55"/>
      <c r="AA137" s="622">
        <v>0</v>
      </c>
      <c r="AB137" s="622">
        <v>0</v>
      </c>
      <c r="AC137" s="1100">
        <v>0</v>
      </c>
      <c r="AD137" s="450" t="s">
        <v>314</v>
      </c>
      <c r="AE137" s="400"/>
    </row>
    <row r="138" spans="1:31" ht="24.75" customHeight="1">
      <c r="A138" s="1117" t="s">
        <v>316</v>
      </c>
      <c r="B138" s="464" t="s">
        <v>298</v>
      </c>
      <c r="C138" s="386">
        <v>45687</v>
      </c>
      <c r="D138" s="1094" t="s">
        <v>133</v>
      </c>
      <c r="E138" s="386">
        <v>45959</v>
      </c>
      <c r="F138" s="385" t="s">
        <v>126</v>
      </c>
      <c r="G138" s="659"/>
      <c r="H138" s="387">
        <v>89</v>
      </c>
      <c r="I138" s="1098" t="s">
        <v>55</v>
      </c>
      <c r="J138" s="1099" t="s">
        <v>63</v>
      </c>
      <c r="K138" s="673"/>
      <c r="L138" s="51">
        <v>45964</v>
      </c>
      <c r="M138" s="1099" t="s">
        <v>57</v>
      </c>
      <c r="N138" s="903">
        <v>81602</v>
      </c>
      <c r="O138" s="52" t="s">
        <v>57</v>
      </c>
      <c r="P138" s="365" t="s">
        <v>58</v>
      </c>
      <c r="Q138" s="54">
        <v>45964</v>
      </c>
      <c r="R138" s="1131"/>
      <c r="S138" s="676"/>
      <c r="T138" s="676"/>
      <c r="U138" s="676"/>
      <c r="V138" s="107">
        <v>6752</v>
      </c>
      <c r="W138" s="677"/>
      <c r="X138" s="486">
        <f t="shared" si="9"/>
        <v>6752</v>
      </c>
      <c r="Y138" s="939">
        <f t="shared" si="10"/>
        <v>0</v>
      </c>
      <c r="Z138" s="55"/>
      <c r="AA138" s="622">
        <v>0</v>
      </c>
      <c r="AB138" s="622">
        <v>0</v>
      </c>
      <c r="AC138" s="1100">
        <v>0</v>
      </c>
      <c r="AD138" s="450" t="s">
        <v>314</v>
      </c>
      <c r="AE138" s="400"/>
    </row>
    <row r="139" spans="1:31" ht="24.75" customHeight="1">
      <c r="A139" s="1117" t="s">
        <v>317</v>
      </c>
      <c r="B139" s="464" t="s">
        <v>298</v>
      </c>
      <c r="C139" s="386">
        <v>45687</v>
      </c>
      <c r="D139" s="1094" t="s">
        <v>133</v>
      </c>
      <c r="E139" s="386">
        <v>45959</v>
      </c>
      <c r="F139" s="385" t="s">
        <v>126</v>
      </c>
      <c r="G139" s="659"/>
      <c r="H139" s="387">
        <v>88</v>
      </c>
      <c r="I139" s="1098" t="s">
        <v>55</v>
      </c>
      <c r="J139" s="1099" t="s">
        <v>63</v>
      </c>
      <c r="K139" s="673"/>
      <c r="L139" s="51">
        <v>45961</v>
      </c>
      <c r="M139" s="1099" t="s">
        <v>57</v>
      </c>
      <c r="N139" s="903">
        <v>88231.9</v>
      </c>
      <c r="O139" s="52" t="s">
        <v>57</v>
      </c>
      <c r="P139" s="365" t="s">
        <v>58</v>
      </c>
      <c r="Q139" s="54">
        <v>45961</v>
      </c>
      <c r="R139" s="1131"/>
      <c r="S139" s="676"/>
      <c r="T139" s="676"/>
      <c r="U139" s="676"/>
      <c r="V139" s="107">
        <v>7274</v>
      </c>
      <c r="W139" s="677"/>
      <c r="X139" s="486">
        <f t="shared" si="9"/>
        <v>7274</v>
      </c>
      <c r="Y139" s="939">
        <f t="shared" si="10"/>
        <v>0</v>
      </c>
      <c r="Z139" s="55"/>
      <c r="AA139" s="622">
        <v>0</v>
      </c>
      <c r="AB139" s="622">
        <v>0</v>
      </c>
      <c r="AC139" s="1100">
        <v>0</v>
      </c>
      <c r="AD139" s="450" t="s">
        <v>314</v>
      </c>
      <c r="AE139" s="400"/>
    </row>
    <row r="140" spans="1:31" ht="24.75" customHeight="1">
      <c r="A140" s="1117" t="s">
        <v>318</v>
      </c>
      <c r="B140" s="464" t="s">
        <v>298</v>
      </c>
      <c r="C140" s="386">
        <v>45687</v>
      </c>
      <c r="D140" s="1094" t="s">
        <v>133</v>
      </c>
      <c r="E140" s="386">
        <v>45959</v>
      </c>
      <c r="F140" s="385" t="s">
        <v>126</v>
      </c>
      <c r="G140" s="659"/>
      <c r="H140" s="387">
        <v>87</v>
      </c>
      <c r="I140" s="1098" t="s">
        <v>55</v>
      </c>
      <c r="J140" s="1099" t="s">
        <v>63</v>
      </c>
      <c r="K140" s="673"/>
      <c r="L140" s="51">
        <v>45964</v>
      </c>
      <c r="M140" s="1099" t="s">
        <v>57</v>
      </c>
      <c r="N140" s="903">
        <v>93578</v>
      </c>
      <c r="O140" s="52" t="s">
        <v>57</v>
      </c>
      <c r="P140" s="365" t="s">
        <v>58</v>
      </c>
      <c r="Q140" s="54">
        <v>45964</v>
      </c>
      <c r="R140" s="1131"/>
      <c r="S140" s="676"/>
      <c r="T140" s="676"/>
      <c r="U140" s="676"/>
      <c r="V140" s="107">
        <v>7782</v>
      </c>
      <c r="W140" s="677"/>
      <c r="X140" s="486">
        <f t="shared" si="9"/>
        <v>7782</v>
      </c>
      <c r="Y140" s="939">
        <f t="shared" si="10"/>
        <v>0</v>
      </c>
      <c r="Z140" s="55"/>
      <c r="AA140" s="622">
        <v>0</v>
      </c>
      <c r="AB140" s="622">
        <v>0</v>
      </c>
      <c r="AC140" s="1100">
        <v>0</v>
      </c>
      <c r="AD140" s="450" t="s">
        <v>314</v>
      </c>
      <c r="AE140" s="400"/>
    </row>
    <row r="141" spans="1:31" ht="24.75" customHeight="1">
      <c r="A141" s="1117" t="s">
        <v>319</v>
      </c>
      <c r="B141" s="464" t="s">
        <v>298</v>
      </c>
      <c r="C141" s="386">
        <v>45687</v>
      </c>
      <c r="D141" s="1094" t="s">
        <v>133</v>
      </c>
      <c r="E141" s="386">
        <v>45959</v>
      </c>
      <c r="F141" s="385" t="s">
        <v>126</v>
      </c>
      <c r="G141" s="659"/>
      <c r="H141" s="387">
        <v>90</v>
      </c>
      <c r="I141" s="1098" t="s">
        <v>55</v>
      </c>
      <c r="J141" s="1099" t="s">
        <v>63</v>
      </c>
      <c r="K141" s="673"/>
      <c r="L141" s="51">
        <v>45964</v>
      </c>
      <c r="M141" s="1099" t="s">
        <v>57</v>
      </c>
      <c r="N141" s="903">
        <v>84896</v>
      </c>
      <c r="O141" s="52" t="s">
        <v>57</v>
      </c>
      <c r="P141" s="365" t="s">
        <v>58</v>
      </c>
      <c r="Q141" s="54">
        <v>45964</v>
      </c>
      <c r="R141" s="1131"/>
      <c r="S141" s="676"/>
      <c r="T141" s="676"/>
      <c r="U141" s="676"/>
      <c r="V141" s="107">
        <v>7060</v>
      </c>
      <c r="W141" s="677"/>
      <c r="X141" s="486">
        <f t="shared" si="9"/>
        <v>7060</v>
      </c>
      <c r="Y141" s="939">
        <f t="shared" si="10"/>
        <v>0</v>
      </c>
      <c r="Z141" s="55"/>
      <c r="AA141" s="622">
        <v>0</v>
      </c>
      <c r="AB141" s="622">
        <v>0</v>
      </c>
      <c r="AC141" s="1100">
        <v>0</v>
      </c>
      <c r="AD141" s="450" t="s">
        <v>314</v>
      </c>
      <c r="AE141" s="400"/>
    </row>
    <row r="142" spans="1:31" ht="24.75" customHeight="1">
      <c r="A142" s="1117" t="s">
        <v>320</v>
      </c>
      <c r="B142" s="464" t="s">
        <v>298</v>
      </c>
      <c r="C142" s="386">
        <v>45687</v>
      </c>
      <c r="D142" s="1094" t="s">
        <v>133</v>
      </c>
      <c r="E142" s="386">
        <v>45959</v>
      </c>
      <c r="F142" s="385" t="s">
        <v>126</v>
      </c>
      <c r="G142" s="659"/>
      <c r="H142" s="387">
        <v>90</v>
      </c>
      <c r="I142" s="1098" t="s">
        <v>55</v>
      </c>
      <c r="J142" s="1099" t="s">
        <v>63</v>
      </c>
      <c r="K142" s="673"/>
      <c r="L142" s="51">
        <v>45961</v>
      </c>
      <c r="M142" s="1099" t="s">
        <v>57</v>
      </c>
      <c r="N142" s="903">
        <v>91897</v>
      </c>
      <c r="O142" s="52" t="s">
        <v>57</v>
      </c>
      <c r="P142" s="365" t="s">
        <v>58</v>
      </c>
      <c r="Q142" s="54">
        <v>45961</v>
      </c>
      <c r="R142" s="1131"/>
      <c r="S142" s="676"/>
      <c r="T142" s="676"/>
      <c r="U142" s="676"/>
      <c r="V142" s="107">
        <v>7457</v>
      </c>
      <c r="W142" s="677"/>
      <c r="X142" s="486">
        <f t="shared" si="9"/>
        <v>7457</v>
      </c>
      <c r="Y142" s="939">
        <f t="shared" si="10"/>
        <v>0</v>
      </c>
      <c r="Z142" s="55"/>
      <c r="AA142" s="622">
        <v>0</v>
      </c>
      <c r="AB142" s="622">
        <v>0</v>
      </c>
      <c r="AC142" s="1100">
        <v>0</v>
      </c>
      <c r="AD142" s="450" t="s">
        <v>314</v>
      </c>
      <c r="AE142" s="400"/>
    </row>
    <row r="143" spans="1:31" ht="24.75" customHeight="1">
      <c r="A143" s="1117" t="s">
        <v>321</v>
      </c>
      <c r="B143" s="464" t="s">
        <v>298</v>
      </c>
      <c r="C143" s="386">
        <v>45687</v>
      </c>
      <c r="D143" s="1094" t="s">
        <v>133</v>
      </c>
      <c r="E143" s="386">
        <v>45959</v>
      </c>
      <c r="F143" s="385" t="s">
        <v>126</v>
      </c>
      <c r="G143" s="659"/>
      <c r="H143" s="387">
        <v>90</v>
      </c>
      <c r="I143" s="1098" t="s">
        <v>55</v>
      </c>
      <c r="J143" s="1099" t="s">
        <v>63</v>
      </c>
      <c r="K143" s="673"/>
      <c r="L143" s="51">
        <v>45964</v>
      </c>
      <c r="M143" s="1099" t="s">
        <v>57</v>
      </c>
      <c r="N143" s="903">
        <v>96685</v>
      </c>
      <c r="O143" s="52" t="s">
        <v>57</v>
      </c>
      <c r="P143" s="365" t="s">
        <v>58</v>
      </c>
      <c r="Q143" s="54">
        <v>45964</v>
      </c>
      <c r="R143" s="1131"/>
      <c r="S143" s="676"/>
      <c r="T143" s="676"/>
      <c r="U143" s="676"/>
      <c r="V143" s="107">
        <v>8042</v>
      </c>
      <c r="W143" s="677"/>
      <c r="X143" s="486">
        <f t="shared" si="9"/>
        <v>8042</v>
      </c>
      <c r="Y143" s="939">
        <f t="shared" si="10"/>
        <v>0</v>
      </c>
      <c r="Z143" s="55"/>
      <c r="AA143" s="622">
        <v>0</v>
      </c>
      <c r="AB143" s="622">
        <v>0</v>
      </c>
      <c r="AC143" s="1100">
        <v>0</v>
      </c>
      <c r="AD143" s="450" t="s">
        <v>314</v>
      </c>
      <c r="AE143" s="400"/>
    </row>
    <row r="144" spans="1:31" ht="24.75" customHeight="1">
      <c r="A144" s="1117" t="s">
        <v>322</v>
      </c>
      <c r="B144" s="464" t="s">
        <v>298</v>
      </c>
      <c r="C144" s="386">
        <v>45687</v>
      </c>
      <c r="D144" s="1094" t="s">
        <v>133</v>
      </c>
      <c r="E144" s="386">
        <v>45959</v>
      </c>
      <c r="F144" s="385" t="s">
        <v>126</v>
      </c>
      <c r="G144" s="659"/>
      <c r="H144" s="387">
        <v>90</v>
      </c>
      <c r="I144" s="1098" t="s">
        <v>55</v>
      </c>
      <c r="J144" s="1099" t="s">
        <v>63</v>
      </c>
      <c r="K144" s="673"/>
      <c r="L144" s="51">
        <v>45964</v>
      </c>
      <c r="M144" s="1099" t="s">
        <v>57</v>
      </c>
      <c r="N144" s="903">
        <v>85815</v>
      </c>
      <c r="O144" s="52" t="s">
        <v>57</v>
      </c>
      <c r="P144" s="365" t="s">
        <v>58</v>
      </c>
      <c r="Q144" s="54">
        <v>45964</v>
      </c>
      <c r="R144" s="1131"/>
      <c r="S144" s="676"/>
      <c r="T144" s="676"/>
      <c r="U144" s="676"/>
      <c r="V144" s="107">
        <v>6981</v>
      </c>
      <c r="W144" s="677"/>
      <c r="X144" s="486">
        <f t="shared" si="9"/>
        <v>6981</v>
      </c>
      <c r="Y144" s="939">
        <f t="shared" si="10"/>
        <v>0</v>
      </c>
      <c r="Z144" s="55"/>
      <c r="AA144" s="622">
        <v>0</v>
      </c>
      <c r="AB144" s="622">
        <v>0</v>
      </c>
      <c r="AC144" s="1100">
        <v>0</v>
      </c>
      <c r="AD144" s="450" t="s">
        <v>314</v>
      </c>
      <c r="AE144" s="400"/>
    </row>
    <row r="145" spans="1:31" ht="24.75" customHeight="1">
      <c r="A145" s="1117" t="s">
        <v>323</v>
      </c>
      <c r="B145" s="464" t="s">
        <v>298</v>
      </c>
      <c r="C145" s="386">
        <v>45687</v>
      </c>
      <c r="D145" s="1094" t="s">
        <v>133</v>
      </c>
      <c r="E145" s="386">
        <v>45959</v>
      </c>
      <c r="F145" s="385" t="s">
        <v>126</v>
      </c>
      <c r="G145" s="659"/>
      <c r="H145" s="387">
        <v>89</v>
      </c>
      <c r="I145" s="1098" t="s">
        <v>55</v>
      </c>
      <c r="J145" s="1099" t="s">
        <v>63</v>
      </c>
      <c r="K145" s="673"/>
      <c r="L145" s="51">
        <v>45961</v>
      </c>
      <c r="M145" s="1099" t="s">
        <v>57</v>
      </c>
      <c r="N145" s="903">
        <v>83615</v>
      </c>
      <c r="O145" s="52" t="s">
        <v>57</v>
      </c>
      <c r="P145" s="365" t="s">
        <v>58</v>
      </c>
      <c r="Q145" s="54">
        <v>45961</v>
      </c>
      <c r="R145" s="1131"/>
      <c r="S145" s="676"/>
      <c r="T145" s="676"/>
      <c r="U145" s="676"/>
      <c r="V145" s="107">
        <v>7010</v>
      </c>
      <c r="W145" s="677"/>
      <c r="X145" s="486">
        <f t="shared" si="9"/>
        <v>7010</v>
      </c>
      <c r="Y145" s="939">
        <f t="shared" si="10"/>
        <v>0</v>
      </c>
      <c r="Z145" s="55"/>
      <c r="AA145" s="622">
        <v>0</v>
      </c>
      <c r="AB145" s="622">
        <v>0</v>
      </c>
      <c r="AC145" s="1100">
        <v>0</v>
      </c>
      <c r="AD145" s="450" t="s">
        <v>314</v>
      </c>
      <c r="AE145" s="400"/>
    </row>
    <row r="146" spans="1:31" ht="24.75" customHeight="1">
      <c r="A146" s="1117" t="s">
        <v>324</v>
      </c>
      <c r="B146" s="464" t="s">
        <v>298</v>
      </c>
      <c r="C146" s="386">
        <v>45687</v>
      </c>
      <c r="D146" s="1094" t="s">
        <v>133</v>
      </c>
      <c r="E146" s="386">
        <v>45959</v>
      </c>
      <c r="F146" s="385" t="s">
        <v>126</v>
      </c>
      <c r="G146" s="659"/>
      <c r="H146" s="387">
        <v>88</v>
      </c>
      <c r="I146" s="1098" t="s">
        <v>55</v>
      </c>
      <c r="J146" s="1099" t="s">
        <v>63</v>
      </c>
      <c r="K146" s="673"/>
      <c r="L146" s="51">
        <v>45964</v>
      </c>
      <c r="M146" s="1099" t="s">
        <v>57</v>
      </c>
      <c r="N146" s="903">
        <v>78736.5</v>
      </c>
      <c r="O146" s="52" t="s">
        <v>57</v>
      </c>
      <c r="P146" s="365" t="s">
        <v>58</v>
      </c>
      <c r="Q146" s="54">
        <v>45964</v>
      </c>
      <c r="R146" s="1131"/>
      <c r="S146" s="676"/>
      <c r="T146" s="676"/>
      <c r="U146" s="676"/>
      <c r="V146" s="107">
        <v>6403</v>
      </c>
      <c r="W146" s="677"/>
      <c r="X146" s="486">
        <f t="shared" si="9"/>
        <v>6403</v>
      </c>
      <c r="Y146" s="939">
        <f t="shared" si="10"/>
        <v>0</v>
      </c>
      <c r="Z146" s="55"/>
      <c r="AA146" s="622">
        <v>0</v>
      </c>
      <c r="AB146" s="622">
        <v>0</v>
      </c>
      <c r="AC146" s="1100">
        <v>0</v>
      </c>
      <c r="AD146" s="450" t="s">
        <v>314</v>
      </c>
      <c r="AE146" s="400"/>
    </row>
    <row r="147" spans="1:31" ht="24.75" customHeight="1">
      <c r="A147" s="1117" t="s">
        <v>325</v>
      </c>
      <c r="B147" s="464" t="s">
        <v>298</v>
      </c>
      <c r="C147" s="386">
        <v>45687</v>
      </c>
      <c r="D147" s="1094" t="s">
        <v>133</v>
      </c>
      <c r="E147" s="386">
        <v>45959</v>
      </c>
      <c r="F147" s="385" t="s">
        <v>126</v>
      </c>
      <c r="G147" s="659"/>
      <c r="H147" s="387">
        <v>86</v>
      </c>
      <c r="I147" s="1098" t="s">
        <v>55</v>
      </c>
      <c r="J147" s="1099" t="s">
        <v>63</v>
      </c>
      <c r="K147" s="673"/>
      <c r="L147" s="51">
        <v>45964</v>
      </c>
      <c r="M147" s="1099" t="s">
        <v>57</v>
      </c>
      <c r="N147" s="903">
        <v>80698</v>
      </c>
      <c r="O147" s="52" t="s">
        <v>57</v>
      </c>
      <c r="P147" s="365" t="s">
        <v>58</v>
      </c>
      <c r="Q147" s="54">
        <v>45964</v>
      </c>
      <c r="R147" s="1131"/>
      <c r="S147" s="676"/>
      <c r="T147" s="676"/>
      <c r="U147" s="676"/>
      <c r="V147" s="107">
        <v>6739</v>
      </c>
      <c r="W147" s="677"/>
      <c r="X147" s="486">
        <f t="shared" si="9"/>
        <v>6739</v>
      </c>
      <c r="Y147" s="939">
        <f t="shared" si="10"/>
        <v>0</v>
      </c>
      <c r="Z147" s="55"/>
      <c r="AA147" s="622">
        <v>0</v>
      </c>
      <c r="AB147" s="622">
        <v>0</v>
      </c>
      <c r="AC147" s="1100">
        <v>0</v>
      </c>
      <c r="AD147" s="450" t="s">
        <v>314</v>
      </c>
      <c r="AE147" s="400"/>
    </row>
    <row r="148" spans="1:31" ht="24.75" customHeight="1">
      <c r="A148" s="1117" t="s">
        <v>326</v>
      </c>
      <c r="B148" s="464" t="s">
        <v>298</v>
      </c>
      <c r="C148" s="386">
        <v>45687</v>
      </c>
      <c r="D148" s="1094" t="s">
        <v>133</v>
      </c>
      <c r="E148" s="386">
        <v>45959</v>
      </c>
      <c r="F148" s="385" t="s">
        <v>126</v>
      </c>
      <c r="G148" s="659"/>
      <c r="H148" s="387">
        <v>87</v>
      </c>
      <c r="I148" s="1098" t="s">
        <v>55</v>
      </c>
      <c r="J148" s="1099" t="s">
        <v>63</v>
      </c>
      <c r="K148" s="673"/>
      <c r="L148" s="51">
        <v>45964</v>
      </c>
      <c r="M148" s="1099" t="s">
        <v>57</v>
      </c>
      <c r="N148" s="903">
        <v>79552</v>
      </c>
      <c r="O148" s="52" t="s">
        <v>57</v>
      </c>
      <c r="P148" s="365" t="s">
        <v>58</v>
      </c>
      <c r="Q148" s="54">
        <v>45964</v>
      </c>
      <c r="R148" s="1131"/>
      <c r="S148" s="676"/>
      <c r="T148" s="676"/>
      <c r="U148" s="676"/>
      <c r="V148" s="107">
        <v>6577</v>
      </c>
      <c r="W148" s="677"/>
      <c r="X148" s="486">
        <f t="shared" si="9"/>
        <v>6577</v>
      </c>
      <c r="Y148" s="939">
        <f t="shared" si="10"/>
        <v>0</v>
      </c>
      <c r="Z148" s="55"/>
      <c r="AA148" s="622">
        <v>0</v>
      </c>
      <c r="AB148" s="622">
        <v>0</v>
      </c>
      <c r="AC148" s="1100">
        <v>0</v>
      </c>
      <c r="AD148" s="450" t="s">
        <v>314</v>
      </c>
      <c r="AE148" s="400"/>
    </row>
    <row r="149" spans="1:31" ht="24.75" customHeight="1">
      <c r="A149" s="1117" t="s">
        <v>327</v>
      </c>
      <c r="B149" s="464" t="s">
        <v>298</v>
      </c>
      <c r="C149" s="386">
        <v>45687</v>
      </c>
      <c r="D149" s="1094" t="s">
        <v>133</v>
      </c>
      <c r="E149" s="386">
        <v>45959</v>
      </c>
      <c r="F149" s="385" t="s">
        <v>126</v>
      </c>
      <c r="G149" s="659"/>
      <c r="H149" s="387">
        <v>85</v>
      </c>
      <c r="I149" s="1098" t="s">
        <v>55</v>
      </c>
      <c r="J149" s="1099" t="s">
        <v>63</v>
      </c>
      <c r="K149" s="673"/>
      <c r="L149" s="51">
        <v>45964</v>
      </c>
      <c r="M149" s="1099" t="s">
        <v>57</v>
      </c>
      <c r="N149" s="903">
        <v>84770</v>
      </c>
      <c r="O149" s="52" t="s">
        <v>57</v>
      </c>
      <c r="P149" s="365" t="s">
        <v>58</v>
      </c>
      <c r="Q149" s="54">
        <v>45964</v>
      </c>
      <c r="R149" s="1131"/>
      <c r="S149" s="676"/>
      <c r="T149" s="676"/>
      <c r="U149" s="676"/>
      <c r="V149" s="107">
        <v>6965</v>
      </c>
      <c r="W149" s="677"/>
      <c r="X149" s="486">
        <f t="shared" si="9"/>
        <v>6965</v>
      </c>
      <c r="Y149" s="939">
        <f t="shared" si="10"/>
        <v>0</v>
      </c>
      <c r="Z149" s="55"/>
      <c r="AA149" s="622">
        <v>0</v>
      </c>
      <c r="AB149" s="622">
        <v>0</v>
      </c>
      <c r="AC149" s="1100">
        <v>0</v>
      </c>
      <c r="AD149" s="450" t="s">
        <v>314</v>
      </c>
      <c r="AE149" s="400"/>
    </row>
    <row r="150" spans="1:31" ht="24.75" customHeight="1">
      <c r="A150" s="1117" t="s">
        <v>328</v>
      </c>
      <c r="B150" s="464" t="s">
        <v>298</v>
      </c>
      <c r="C150" s="386">
        <v>45687</v>
      </c>
      <c r="D150" s="1094" t="s">
        <v>133</v>
      </c>
      <c r="E150" s="386">
        <v>45959</v>
      </c>
      <c r="F150" s="385" t="s">
        <v>126</v>
      </c>
      <c r="G150" s="659"/>
      <c r="H150" s="387">
        <v>87</v>
      </c>
      <c r="I150" s="1098" t="s">
        <v>55</v>
      </c>
      <c r="J150" s="1099" t="s">
        <v>63</v>
      </c>
      <c r="K150" s="673"/>
      <c r="L150" s="51">
        <v>45964</v>
      </c>
      <c r="M150" s="1099" t="s">
        <v>57</v>
      </c>
      <c r="N150" s="903">
        <v>87875</v>
      </c>
      <c r="O150" s="52" t="s">
        <v>57</v>
      </c>
      <c r="P150" s="365" t="s">
        <v>58</v>
      </c>
      <c r="Q150" s="54">
        <v>45964</v>
      </c>
      <c r="R150" s="1131"/>
      <c r="S150" s="676"/>
      <c r="T150" s="676"/>
      <c r="U150" s="676"/>
      <c r="V150" s="107">
        <v>7319</v>
      </c>
      <c r="W150" s="677"/>
      <c r="X150" s="486">
        <f t="shared" si="9"/>
        <v>7319</v>
      </c>
      <c r="Y150" s="939">
        <f t="shared" si="10"/>
        <v>0</v>
      </c>
      <c r="Z150" s="55"/>
      <c r="AA150" s="622">
        <v>0</v>
      </c>
      <c r="AB150" s="622">
        <v>0</v>
      </c>
      <c r="AC150" s="1100">
        <v>0</v>
      </c>
      <c r="AD150" s="450" t="s">
        <v>314</v>
      </c>
      <c r="AE150" s="400"/>
    </row>
    <row r="151" spans="1:31" ht="24.75" customHeight="1">
      <c r="A151" s="1118" t="s">
        <v>329</v>
      </c>
      <c r="B151" s="464" t="s">
        <v>298</v>
      </c>
      <c r="C151" s="386">
        <v>45687</v>
      </c>
      <c r="D151" s="1094" t="s">
        <v>133</v>
      </c>
      <c r="E151" s="386">
        <v>45959</v>
      </c>
      <c r="F151" s="385" t="s">
        <v>126</v>
      </c>
      <c r="G151" s="659"/>
      <c r="H151" s="387">
        <v>0</v>
      </c>
      <c r="I151" s="1098" t="s">
        <v>55</v>
      </c>
      <c r="J151" s="1099" t="s">
        <v>63</v>
      </c>
      <c r="K151" s="673"/>
      <c r="L151" s="51">
        <v>45961</v>
      </c>
      <c r="M151" s="1099" t="s">
        <v>57</v>
      </c>
      <c r="N151" s="903">
        <v>54043.5</v>
      </c>
      <c r="O151" s="52" t="s">
        <v>57</v>
      </c>
      <c r="P151" s="365" t="s">
        <v>58</v>
      </c>
      <c r="Q151" s="54">
        <v>45961</v>
      </c>
      <c r="R151" s="1131"/>
      <c r="S151" s="676"/>
      <c r="T151" s="676"/>
      <c r="U151" s="676"/>
      <c r="V151" s="107">
        <v>4140</v>
      </c>
      <c r="W151" s="677"/>
      <c r="X151" s="486">
        <f t="shared" si="9"/>
        <v>4140</v>
      </c>
      <c r="Y151" s="939">
        <f t="shared" si="10"/>
        <v>0</v>
      </c>
      <c r="Z151" s="55"/>
      <c r="AA151" s="622">
        <v>0</v>
      </c>
      <c r="AB151" s="622">
        <v>0</v>
      </c>
      <c r="AC151" s="1100">
        <v>0</v>
      </c>
      <c r="AD151" s="450" t="s">
        <v>314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2">
    <sortCondition descending="1" ref="B2:B82"/>
  </sortState>
  <dataValidations count="8">
    <dataValidation allowBlank="1" showInputMessage="1" showErrorMessage="1" sqref="E5 E12 R5 Q6:U7 D121 L136:L1048576 Q12:U23 Q3:U4 Q25:U73 L25:L73 Q136:U1048576 L2:L23 D123:D151 Q75:U121 L75:L121" xr:uid="{1D31F93E-3D68-4310-94BF-578ADAD65882}"/>
    <dataValidation type="list" allowBlank="1" showInputMessage="1" showErrorMessage="1" sqref="J101:J102 J94 J98:J99 J123:J151 J103:J107 J113:J114 J116:J121 J75:J86 J2:J23 J25:J73" xr:uid="{5598570D-D2DE-4A6E-ABB1-14F4B3480632}">
      <formula1>"Received, Pending, Not Required"</formula1>
    </dataValidation>
    <dataValidation type="list" allowBlank="1" showInputMessage="1" showErrorMessage="1" sqref="I4 I94 I6:I11 I113:I114 I116:I121 I136:I1048576 I75:I86 I13:I23 I96 I52:I73 I98:I107" xr:uid="{BDA55F74-4FDA-49CF-8062-F3046665EBCB}">
      <formula1>"On Track, In Jeopardy, Completed on Track, Completed, Completed -Missed TSD"</formula1>
    </dataValidation>
    <dataValidation type="list" allowBlank="1" showInputMessage="1" showErrorMessage="1" sqref="I5 I12 I2:I3 I87:I93 I95 I115 I108:I112 I97 I25:I51" xr:uid="{B676ED09-FB47-4D85-B41D-60012AA8BA0B}">
      <formula1>"On Track, In Jeopardy, Completed on Track, Completed, Completed -Missed TSD, On Hold Per Tillman"</formula1>
    </dataValidation>
    <dataValidation type="list" allowBlank="1" showInputMessage="1" showErrorMessage="1" sqref="K75:K81 K136:K1048576 K2:K23 K25:K73 K86:K121"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6:P1048576 P25:P73 P2:P23 P75:P121"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T2"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331</v>
      </c>
      <c r="B2" s="895" t="s">
        <v>215</v>
      </c>
      <c r="C2" s="481">
        <v>45960</v>
      </c>
      <c r="D2" s="481" t="s">
        <v>332</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3" si="1">IFERROR($W2/$V2, 0)</f>
        <v>0.98448162007484041</v>
      </c>
      <c r="Z2" s="704">
        <v>45922</v>
      </c>
      <c r="AA2" s="366">
        <v>0</v>
      </c>
      <c r="AB2" s="366">
        <v>0</v>
      </c>
      <c r="AC2" s="41">
        <v>0</v>
      </c>
      <c r="AD2" s="488" t="s">
        <v>333</v>
      </c>
    </row>
    <row r="3" spans="1:30" ht="39.75" customHeight="1">
      <c r="A3" s="1011" t="s">
        <v>334</v>
      </c>
      <c r="B3" s="895" t="s">
        <v>215</v>
      </c>
      <c r="C3" s="481">
        <v>45960</v>
      </c>
      <c r="D3" s="481" t="s">
        <v>335</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336</v>
      </c>
    </row>
    <row r="4" spans="1:30" ht="39.75" customHeight="1">
      <c r="A4" s="1011" t="s">
        <v>337</v>
      </c>
      <c r="B4" s="895" t="s">
        <v>215</v>
      </c>
      <c r="C4" s="481">
        <v>45960</v>
      </c>
      <c r="D4" s="481" t="s">
        <v>233</v>
      </c>
      <c r="E4" s="481">
        <v>45852</v>
      </c>
      <c r="F4" s="665" t="s">
        <v>219</v>
      </c>
      <c r="G4" s="709" t="s">
        <v>338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339</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340</v>
      </c>
      <c r="AA5" s="366">
        <v>0</v>
      </c>
      <c r="AB5" s="366">
        <v>0</v>
      </c>
      <c r="AC5" s="41">
        <v>0</v>
      </c>
      <c r="AD5" s="173" t="s">
        <v>341</v>
      </c>
    </row>
    <row r="6" spans="1:30" ht="39.75" customHeight="1">
      <c r="A6" s="906" t="s">
        <v>342</v>
      </c>
      <c r="B6" s="508" t="s">
        <v>215</v>
      </c>
      <c r="C6" s="481">
        <v>45991</v>
      </c>
      <c r="D6" s="489" t="s">
        <v>343</v>
      </c>
      <c r="E6" s="490">
        <v>45716</v>
      </c>
      <c r="F6" s="489" t="s">
        <v>237</v>
      </c>
      <c r="G6" s="491" t="s">
        <v>344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345</v>
      </c>
      <c r="B7" s="508" t="s">
        <v>215</v>
      </c>
      <c r="C7" s="481">
        <v>45991</v>
      </c>
      <c r="D7" s="489" t="s">
        <v>346</v>
      </c>
      <c r="E7" s="490">
        <v>45716</v>
      </c>
      <c r="F7" s="489" t="s">
        <v>219</v>
      </c>
      <c r="G7" s="491" t="s">
        <v>347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348</v>
      </c>
      <c r="B8" s="895" t="s">
        <v>215</v>
      </c>
      <c r="C8" s="481">
        <v>45991</v>
      </c>
      <c r="D8" s="489" t="s">
        <v>233</v>
      </c>
      <c r="E8" s="490">
        <v>45880</v>
      </c>
      <c r="F8" s="489" t="s">
        <v>219</v>
      </c>
      <c r="G8" s="887" t="s">
        <v>349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350</v>
      </c>
    </row>
    <row r="9" spans="1:30" ht="39.75" customHeight="1">
      <c r="A9" s="1011" t="s">
        <v>351</v>
      </c>
      <c r="B9" s="895" t="s">
        <v>215</v>
      </c>
      <c r="C9" s="481">
        <v>45991</v>
      </c>
      <c r="D9" s="489" t="s">
        <v>233</v>
      </c>
      <c r="E9" s="490">
        <v>45880</v>
      </c>
      <c r="F9" s="489" t="s">
        <v>219</v>
      </c>
      <c r="G9" s="887" t="s">
        <v>352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353</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354</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1011" t="s">
        <v>355</v>
      </c>
      <c r="B12" s="895" t="s">
        <v>215</v>
      </c>
      <c r="C12" s="481" t="s">
        <v>356</v>
      </c>
      <c r="D12" s="489" t="s">
        <v>60</v>
      </c>
      <c r="E12" s="490">
        <v>45964</v>
      </c>
      <c r="F12" s="489" t="s">
        <v>219</v>
      </c>
      <c r="G12" s="887"/>
      <c r="H12" s="492">
        <v>0</v>
      </c>
      <c r="I12" s="483" t="s">
        <v>98</v>
      </c>
      <c r="J12" s="492" t="s">
        <v>63</v>
      </c>
      <c r="K12" s="483"/>
      <c r="L12" s="490" t="s">
        <v>52</v>
      </c>
      <c r="M12" s="492" t="s">
        <v>57</v>
      </c>
      <c r="N12" s="561">
        <v>2670.65</v>
      </c>
      <c r="O12" s="492" t="s">
        <v>57</v>
      </c>
      <c r="P12" s="647" t="s">
        <v>99</v>
      </c>
      <c r="Q12" s="493">
        <v>45937</v>
      </c>
      <c r="R12" s="493"/>
      <c r="S12" s="493"/>
      <c r="T12" s="493"/>
      <c r="U12" s="493"/>
      <c r="V12" s="1109">
        <v>209</v>
      </c>
      <c r="W12" s="648">
        <v>207</v>
      </c>
      <c r="X12" s="486">
        <f t="shared" ref="X12" si="2">SUM(V12-W12)</f>
        <v>2</v>
      </c>
      <c r="Y12" s="688">
        <f t="shared" si="1"/>
        <v>0.99043062200956933</v>
      </c>
      <c r="Z12" s="493">
        <v>45964</v>
      </c>
      <c r="AA12" s="366">
        <v>0</v>
      </c>
      <c r="AB12" s="366">
        <v>0</v>
      </c>
      <c r="AC12" s="668">
        <v>0</v>
      </c>
      <c r="AD12" s="488" t="s">
        <v>217</v>
      </c>
    </row>
    <row r="13" spans="1:30" ht="39.75" customHeight="1">
      <c r="A13" s="513" t="s">
        <v>357</v>
      </c>
      <c r="B13" s="479" t="s">
        <v>112</v>
      </c>
      <c r="C13" s="481">
        <v>45868</v>
      </c>
      <c r="D13" s="481" t="s">
        <v>60</v>
      </c>
      <c r="E13" s="481">
        <v>45793</v>
      </c>
      <c r="F13" s="505" t="s">
        <v>113</v>
      </c>
      <c r="G13" s="1128" t="s">
        <v>358</v>
      </c>
      <c r="H13" s="483">
        <v>0</v>
      </c>
      <c r="I13" s="483" t="s">
        <v>98</v>
      </c>
      <c r="J13" s="483" t="s">
        <v>63</v>
      </c>
      <c r="K13" s="1027"/>
      <c r="L13" s="481">
        <v>45793</v>
      </c>
      <c r="M13" s="483" t="s">
        <v>57</v>
      </c>
      <c r="N13" s="560">
        <v>53589.8</v>
      </c>
      <c r="O13" s="483" t="s">
        <v>57</v>
      </c>
      <c r="P13" s="647" t="s">
        <v>99</v>
      </c>
      <c r="Q13" s="485">
        <v>45793</v>
      </c>
      <c r="R13" s="485" t="s">
        <v>359</v>
      </c>
      <c r="S13" s="485"/>
      <c r="T13" s="485"/>
      <c r="U13" s="485">
        <v>45917</v>
      </c>
      <c r="V13" s="486">
        <v>8305</v>
      </c>
      <c r="W13" s="648">
        <v>8818</v>
      </c>
      <c r="X13" s="107">
        <f t="shared" si="0"/>
        <v>-513</v>
      </c>
      <c r="Y13" s="22">
        <f t="shared" si="1"/>
        <v>1.0617700180614087</v>
      </c>
      <c r="Z13" s="678">
        <v>45810</v>
      </c>
      <c r="AA13" s="366">
        <v>1</v>
      </c>
      <c r="AB13" s="366">
        <v>1</v>
      </c>
      <c r="AC13" s="668">
        <v>0</v>
      </c>
      <c r="AD13" s="427" t="s">
        <v>360</v>
      </c>
    </row>
    <row r="14" spans="1:30" ht="39.75" customHeight="1">
      <c r="A14" s="1011" t="s">
        <v>361</v>
      </c>
      <c r="B14" s="479" t="s">
        <v>112</v>
      </c>
      <c r="C14" s="490">
        <v>45960</v>
      </c>
      <c r="D14" s="481" t="s">
        <v>150</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3">IFERROR($W14/$V14, 0)</f>
        <v>0.99851983422143276</v>
      </c>
      <c r="Z14" s="493">
        <v>45958</v>
      </c>
      <c r="AA14" s="366">
        <v>1</v>
      </c>
      <c r="AB14" s="366">
        <v>1</v>
      </c>
      <c r="AC14" s="822">
        <v>0</v>
      </c>
      <c r="AD14" s="1045" t="s">
        <v>362</v>
      </c>
    </row>
    <row r="15" spans="1:30" ht="39.75" customHeight="1">
      <c r="A15" s="1011" t="s">
        <v>363</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4">SUM(V15-W15)</f>
        <v>-1</v>
      </c>
      <c r="Y15" s="683">
        <f t="shared" ref="Y15" si="5">IFERROR($W15/$V15, 0)</f>
        <v>1.0003479471120389</v>
      </c>
      <c r="Z15" s="704">
        <v>45944</v>
      </c>
      <c r="AA15" s="366">
        <v>1</v>
      </c>
      <c r="AB15" s="366">
        <v>1</v>
      </c>
      <c r="AC15" s="486">
        <v>0</v>
      </c>
      <c r="AD15" s="173" t="s">
        <v>364</v>
      </c>
    </row>
    <row r="16" spans="1:30" ht="39.75" customHeight="1">
      <c r="A16" s="1011" t="s">
        <v>365</v>
      </c>
      <c r="B16" s="479" t="s">
        <v>112</v>
      </c>
      <c r="C16" s="505">
        <v>45838</v>
      </c>
      <c r="D16" s="505" t="s">
        <v>133</v>
      </c>
      <c r="E16" s="490">
        <v>45786</v>
      </c>
      <c r="F16" s="505" t="s">
        <v>126</v>
      </c>
      <c r="G16" s="1025" t="s">
        <v>366</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367</v>
      </c>
    </row>
    <row r="17" spans="1:30" ht="39.75" customHeight="1">
      <c r="A17" s="1011" t="s">
        <v>368</v>
      </c>
      <c r="B17" s="479" t="s">
        <v>112</v>
      </c>
      <c r="C17" s="490">
        <v>45960</v>
      </c>
      <c r="D17" s="481" t="s">
        <v>208</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6">IFERROR($W17/$V17, 0)</f>
        <v>1</v>
      </c>
      <c r="Z17" s="493">
        <v>45944</v>
      </c>
      <c r="AA17" s="366">
        <v>1</v>
      </c>
      <c r="AB17" s="366">
        <v>1</v>
      </c>
      <c r="AC17" s="486">
        <v>0</v>
      </c>
      <c r="AD17" s="173" t="s">
        <v>369</v>
      </c>
    </row>
    <row r="18" spans="1:30" ht="39.75" customHeight="1">
      <c r="A18" s="649" t="s">
        <v>370</v>
      </c>
      <c r="B18" s="480" t="s">
        <v>50</v>
      </c>
      <c r="C18" s="490">
        <v>45742</v>
      </c>
      <c r="D18" s="490" t="s">
        <v>371</v>
      </c>
      <c r="E18" s="442">
        <v>45680</v>
      </c>
      <c r="F18" s="489" t="s">
        <v>61</v>
      </c>
      <c r="G18" s="509" t="s">
        <v>372</v>
      </c>
      <c r="H18" s="492">
        <v>79</v>
      </c>
      <c r="I18" s="498" t="s">
        <v>373</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374</v>
      </c>
    </row>
    <row r="19" spans="1:30" ht="39.75" customHeight="1">
      <c r="A19" s="1011" t="s">
        <v>375</v>
      </c>
      <c r="B19" s="886" t="s">
        <v>50</v>
      </c>
      <c r="C19" s="481">
        <v>45991</v>
      </c>
      <c r="D19" s="481" t="s">
        <v>60</v>
      </c>
      <c r="E19" s="490">
        <v>45743</v>
      </c>
      <c r="F19" s="489" t="s">
        <v>61</v>
      </c>
      <c r="G19" s="887" t="s">
        <v>376</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7">IFERROR($W19/$V19, 0)</f>
        <v>0.99875570302778927</v>
      </c>
      <c r="Z19" s="704">
        <v>45784</v>
      </c>
      <c r="AA19" s="366">
        <v>0</v>
      </c>
      <c r="AB19" s="366">
        <v>0</v>
      </c>
      <c r="AC19" s="668">
        <v>0</v>
      </c>
      <c r="AD19" s="1101"/>
    </row>
    <row r="20" spans="1:30" ht="39.75" customHeight="1">
      <c r="A20" s="906" t="s">
        <v>377</v>
      </c>
      <c r="B20" s="480" t="s">
        <v>50</v>
      </c>
      <c r="C20" s="481">
        <v>45991</v>
      </c>
      <c r="D20" s="489" t="s">
        <v>378</v>
      </c>
      <c r="E20" s="442">
        <v>45735</v>
      </c>
      <c r="F20" s="489" t="s">
        <v>61</v>
      </c>
      <c r="G20" s="491" t="s">
        <v>379</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380</v>
      </c>
    </row>
    <row r="21" spans="1:30" ht="39.75" customHeight="1">
      <c r="A21" s="1011" t="s">
        <v>381</v>
      </c>
      <c r="B21" s="886" t="s">
        <v>50</v>
      </c>
      <c r="C21" s="481">
        <v>45991</v>
      </c>
      <c r="D21" s="481" t="s">
        <v>60</v>
      </c>
      <c r="E21" s="490">
        <v>45779</v>
      </c>
      <c r="F21" s="489" t="s">
        <v>61</v>
      </c>
      <c r="G21" s="887" t="s">
        <v>382</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8">SUM(V21-W21)</f>
        <v>-118</v>
      </c>
      <c r="Y21" s="683">
        <f t="shared" ref="Y21:Y22" si="9">IFERROR($W21/$V21, 0)</f>
        <v>1.0695344725987035</v>
      </c>
      <c r="Z21" s="704">
        <v>45791</v>
      </c>
      <c r="AA21" s="366">
        <v>0</v>
      </c>
      <c r="AB21" s="366">
        <v>0</v>
      </c>
      <c r="AC21" s="668">
        <v>0</v>
      </c>
      <c r="AD21" s="503" t="s">
        <v>383</v>
      </c>
    </row>
    <row r="22" spans="1:30" ht="39.75" customHeight="1">
      <c r="A22" s="1011" t="s">
        <v>384</v>
      </c>
      <c r="B22" s="886" t="s">
        <v>50</v>
      </c>
      <c r="C22" s="481">
        <v>46008</v>
      </c>
      <c r="D22" s="481" t="s">
        <v>385</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9"/>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3:I14" xr:uid="{FF75A226-FC7F-404C-911A-49986724D48A}">
      <formula1>"On Track, In Jeopardy, Completed on Track, Completed, Completed -Missed TSD, On Hold Per Tillman"</formula1>
    </dataValidation>
    <dataValidation type="list" allowBlank="1" showInputMessage="1" showErrorMessage="1" sqref="I17:I18 I15 I20:I23 I2:I12" xr:uid="{FAE40925-7EC8-4626-B635-D815FEB73FF5}">
      <formula1>"On Track, In Jeopardy, Completed on Track, Completed, Completed -Missed TSD"</formula1>
    </dataValidation>
    <dataValidation type="list" allowBlank="1" showInputMessage="1" showErrorMessage="1" sqref="J2:J5 J8:J11 J13: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346</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346</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330</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345</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345</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342</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342</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342</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345</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345</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342</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337</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337</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345</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275</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342</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337</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275</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345</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342</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275</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345</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342</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334</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345</v>
      </c>
      <c r="B742" s="1157"/>
      <c r="C742" s="1157"/>
      <c r="D742" s="1157"/>
      <c r="E742" s="1157"/>
      <c r="F742" s="1157"/>
      <c r="G742" s="1157"/>
    </row>
    <row r="743" spans="1:7">
      <c r="A743" t="s">
        <v>390</v>
      </c>
      <c r="B743" s="1157"/>
      <c r="C743" s="1157"/>
      <c r="D743" s="1157">
        <v>139</v>
      </c>
      <c r="E743" s="1157"/>
      <c r="F743" s="1157"/>
      <c r="G743" s="1157">
        <v>139</v>
      </c>
    </row>
    <row r="744" spans="1:7">
      <c r="A744" t="s">
        <v>342</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348</v>
      </c>
      <c r="B753" s="1157"/>
      <c r="C753" s="1157">
        <v>251</v>
      </c>
      <c r="D753" s="1157">
        <v>253</v>
      </c>
      <c r="E753" s="1157">
        <v>1076</v>
      </c>
      <c r="F753" s="1157"/>
      <c r="G753" s="1157">
        <v>1580</v>
      </c>
    </row>
    <row r="754" spans="1:7">
      <c r="A754" t="s">
        <v>334</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345</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337</v>
      </c>
      <c r="B766" s="1157"/>
      <c r="C766" s="1157"/>
      <c r="D766" s="1157">
        <v>406</v>
      </c>
      <c r="E766" s="1157"/>
      <c r="F766" s="1157"/>
      <c r="G766" s="1157">
        <v>406</v>
      </c>
    </row>
    <row r="767" spans="1:7">
      <c r="A767" t="s">
        <v>275</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348</v>
      </c>
      <c r="B770" s="1157"/>
      <c r="C770" s="1157">
        <v>120</v>
      </c>
      <c r="D770" s="1157">
        <v>190</v>
      </c>
      <c r="E770" s="1157"/>
      <c r="F770" s="1157"/>
      <c r="G770" s="1157">
        <v>310</v>
      </c>
    </row>
    <row r="771" spans="1:7">
      <c r="A771" t="s">
        <v>334</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351</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345</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337</v>
      </c>
      <c r="B793" s="1157"/>
      <c r="C793" s="1157">
        <v>665</v>
      </c>
      <c r="D793" s="1157">
        <v>753</v>
      </c>
      <c r="E793" s="1157">
        <v>305</v>
      </c>
      <c r="F793" s="1157"/>
      <c r="G793" s="1157">
        <v>1723</v>
      </c>
    </row>
    <row r="794" spans="1:7">
      <c r="A794" t="s">
        <v>348</v>
      </c>
      <c r="B794" s="1157">
        <v>479</v>
      </c>
      <c r="C794" s="1157"/>
      <c r="D794" s="1157"/>
      <c r="E794" s="1157">
        <v>170</v>
      </c>
      <c r="F794" s="1157"/>
      <c r="G794" s="1157">
        <v>649</v>
      </c>
    </row>
    <row r="795" spans="1:7">
      <c r="A795" t="s">
        <v>334</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351</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337</v>
      </c>
      <c r="B817" s="1157"/>
      <c r="C817" s="1157"/>
      <c r="D817" s="1157"/>
      <c r="E817" s="1157"/>
      <c r="F817" s="1157"/>
      <c r="G817" s="1157"/>
    </row>
    <row r="818" spans="1:7">
      <c r="A818" t="s">
        <v>348</v>
      </c>
      <c r="B818" s="1157"/>
      <c r="C818" s="1157"/>
      <c r="D818" s="1157"/>
      <c r="E818" s="1157">
        <v>725</v>
      </c>
      <c r="F818" s="1157"/>
      <c r="G818" s="1157">
        <v>725</v>
      </c>
    </row>
    <row r="819" spans="1:7">
      <c r="A819" t="s">
        <v>334</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351</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331</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275</v>
      </c>
      <c r="B838" s="1157"/>
      <c r="C838" s="1157"/>
      <c r="D838" s="1157"/>
      <c r="E838" s="1157">
        <v>170</v>
      </c>
      <c r="F838" s="1157"/>
      <c r="G838" s="1157">
        <v>170</v>
      </c>
    </row>
    <row r="839" spans="1:7">
      <c r="A839" t="s">
        <v>334</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339</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353</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354</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353</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354</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269</v>
      </c>
      <c r="B873" s="1157"/>
      <c r="C873" s="1157"/>
      <c r="D873" s="1157">
        <v>1624</v>
      </c>
      <c r="E873" s="1157">
        <v>551</v>
      </c>
      <c r="F873" s="1157"/>
      <c r="G873" s="1157">
        <v>2175</v>
      </c>
    </row>
    <row r="874" spans="1:7">
      <c r="A874" t="s">
        <v>243</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337</v>
      </c>
      <c r="B882" s="1157"/>
      <c r="C882" s="1157"/>
      <c r="D882" s="1157"/>
      <c r="E882" s="1157"/>
      <c r="F882" s="1157"/>
      <c r="G882" s="1157"/>
    </row>
    <row r="883" spans="1:7">
      <c r="A883" t="s">
        <v>395</v>
      </c>
      <c r="B883" s="1157"/>
      <c r="C883" s="1157"/>
      <c r="D883" s="1157"/>
      <c r="E883" s="1157"/>
      <c r="F883" s="1157">
        <v>60</v>
      </c>
      <c r="G883" s="1157">
        <v>60</v>
      </c>
    </row>
    <row r="884" spans="1:7">
      <c r="A884" t="s">
        <v>275</v>
      </c>
      <c r="B884" s="1157"/>
      <c r="C884" s="1157"/>
      <c r="D884" s="1157"/>
      <c r="E884" s="1157"/>
      <c r="F884" s="1157"/>
      <c r="G884" s="1157"/>
    </row>
    <row r="885" spans="1:7">
      <c r="A885" t="s">
        <v>334</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353</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269</v>
      </c>
      <c r="B895" s="1157"/>
      <c r="C895" s="1157"/>
      <c r="D895" s="1157"/>
      <c r="E895" s="1157"/>
      <c r="F895" s="1157">
        <v>168</v>
      </c>
      <c r="G895" s="1157">
        <v>168</v>
      </c>
    </row>
    <row r="896" spans="1:7">
      <c r="A896" t="s">
        <v>243</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334</v>
      </c>
      <c r="B911" s="1157"/>
      <c r="C911" s="1157"/>
      <c r="D911" s="1157"/>
      <c r="E911" s="1157"/>
      <c r="F911" s="1157"/>
    </row>
    <row r="912" spans="1:7">
      <c r="A912" t="s">
        <v>95</v>
      </c>
      <c r="B912" s="1157"/>
      <c r="C912" s="1157"/>
      <c r="D912" s="1157"/>
      <c r="E912" s="1157"/>
      <c r="F912" s="1157"/>
    </row>
    <row r="913" spans="1:6">
      <c r="A913" t="s">
        <v>339</v>
      </c>
      <c r="B913" s="1157"/>
      <c r="C913" s="1157"/>
      <c r="D913" s="1157">
        <v>150</v>
      </c>
      <c r="E913" s="1157"/>
      <c r="F913" s="1157">
        <v>150</v>
      </c>
    </row>
    <row r="914" spans="1:6">
      <c r="A914" t="s">
        <v>354</v>
      </c>
      <c r="B914" s="1157"/>
      <c r="C914" s="1157"/>
      <c r="D914" s="1157"/>
      <c r="E914" s="1157"/>
      <c r="F914" s="1157"/>
    </row>
    <row r="915" spans="1:6">
      <c r="A915" t="s">
        <v>149</v>
      </c>
      <c r="B915" s="1157">
        <v>701</v>
      </c>
      <c r="C915" s="1157"/>
      <c r="D915" s="1157"/>
      <c r="E915" s="1157"/>
      <c r="F915" s="1157">
        <v>701</v>
      </c>
    </row>
    <row r="916" spans="1:6">
      <c r="A916" t="s">
        <v>269</v>
      </c>
      <c r="B916" s="1157">
        <v>463</v>
      </c>
      <c r="C916" s="1157">
        <v>633</v>
      </c>
      <c r="D916" s="1157">
        <v>625</v>
      </c>
      <c r="E916" s="1157"/>
      <c r="F916" s="1157">
        <v>1721</v>
      </c>
    </row>
    <row r="917" spans="1:6">
      <c r="A917" t="s">
        <v>243</v>
      </c>
      <c r="B917" s="1157"/>
      <c r="C917" s="1157"/>
      <c r="D917" s="1157"/>
      <c r="E917" s="1157"/>
      <c r="F917" s="1157"/>
    </row>
    <row r="918" spans="1:6">
      <c r="A918" t="s">
        <v>232</v>
      </c>
      <c r="B918" s="1157">
        <v>882</v>
      </c>
      <c r="C918" s="1157">
        <v>1072</v>
      </c>
      <c r="D918" s="1157">
        <v>1034</v>
      </c>
      <c r="E918" s="1157"/>
      <c r="F918" s="1157">
        <v>2988</v>
      </c>
    </row>
    <row r="919" spans="1:6">
      <c r="A919" t="s">
        <v>189</v>
      </c>
      <c r="B919" s="1157">
        <v>1420</v>
      </c>
      <c r="C919" s="1157">
        <v>990</v>
      </c>
      <c r="D919" s="1157">
        <v>549</v>
      </c>
      <c r="E919" s="1157"/>
      <c r="F919" s="1157">
        <v>2959</v>
      </c>
    </row>
    <row r="920" spans="1:6">
      <c r="A920" t="s">
        <v>200</v>
      </c>
      <c r="B920" s="1157">
        <v>259</v>
      </c>
      <c r="C920" s="1157">
        <v>1087</v>
      </c>
      <c r="D920" s="1157">
        <v>2206</v>
      </c>
      <c r="E920" s="1157"/>
      <c r="F920" s="1157">
        <v>3552</v>
      </c>
    </row>
    <row r="921" spans="1:6">
      <c r="A921" t="s">
        <v>235</v>
      </c>
      <c r="B921" s="1157"/>
      <c r="C921" s="1157">
        <v>379</v>
      </c>
      <c r="D921" s="1157">
        <v>208</v>
      </c>
      <c r="E921" s="1157"/>
      <c r="F921" s="1157">
        <v>587</v>
      </c>
    </row>
    <row r="922" spans="1:6">
      <c r="A922" t="s">
        <v>138</v>
      </c>
      <c r="B922" s="1157">
        <v>579</v>
      </c>
      <c r="C922" s="1157">
        <v>1120</v>
      </c>
      <c r="D922" s="1157">
        <v>1488</v>
      </c>
      <c r="E922" s="1157"/>
      <c r="F922" s="1157">
        <v>3187</v>
      </c>
    </row>
    <row r="923" spans="1:6">
      <c r="A923" t="s">
        <v>902</v>
      </c>
      <c r="B923" s="1157">
        <v>365</v>
      </c>
      <c r="C923" s="1157"/>
      <c r="D923" s="1157"/>
      <c r="E923" s="1157"/>
      <c r="F923" s="1157">
        <v>365</v>
      </c>
    </row>
    <row r="924" spans="1:6">
      <c r="A924" t="s">
        <v>355</v>
      </c>
      <c r="B924" s="1157">
        <v>207</v>
      </c>
      <c r="C924" s="1157"/>
      <c r="D924" s="1157"/>
      <c r="E924" s="1157"/>
      <c r="F924" s="1157">
        <v>207</v>
      </c>
    </row>
    <row r="925" spans="1:6">
      <c r="A925" t="s">
        <v>100</v>
      </c>
      <c r="B925" s="1157"/>
      <c r="C925" s="1157">
        <v>1691</v>
      </c>
      <c r="D925" s="1157">
        <v>1998</v>
      </c>
      <c r="E925" s="1157"/>
      <c r="F925" s="1157">
        <v>3689</v>
      </c>
    </row>
    <row r="926" spans="1:6">
      <c r="A926" t="s">
        <v>203</v>
      </c>
      <c r="B926" s="1157"/>
      <c r="C926" s="1157"/>
      <c r="D926" s="1157">
        <v>1031</v>
      </c>
      <c r="E926" s="1157"/>
      <c r="F926" s="1157">
        <v>1031</v>
      </c>
    </row>
    <row r="927" spans="1:6">
      <c r="A927" t="s">
        <v>265</v>
      </c>
      <c r="B927" s="1157"/>
      <c r="C927" s="1157"/>
      <c r="D927" s="1157"/>
      <c r="E927" s="1157"/>
      <c r="F927" s="1157"/>
    </row>
    <row r="928" spans="1:6">
      <c r="A928" t="s">
        <v>838</v>
      </c>
      <c r="B928" s="1157">
        <v>4876</v>
      </c>
      <c r="C928" s="1157">
        <v>6972</v>
      </c>
      <c r="D928" s="1157">
        <v>9289</v>
      </c>
      <c r="E928" s="1157"/>
      <c r="F928" s="1157">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5"/>
  <sheetViews>
    <sheetView workbookViewId="0">
      <pane ySplit="1" topLeftCell="A1954"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345</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345</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345</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345</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345</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345</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342</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342</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342</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342</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346</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346</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346</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342</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346</v>
      </c>
      <c r="C1331" s="56">
        <v>45849</v>
      </c>
      <c r="D1331" s="43">
        <v>198</v>
      </c>
      <c r="G1331" t="s">
        <v>1314</v>
      </c>
    </row>
    <row r="1332" spans="1:7">
      <c r="A1332" s="251" t="s">
        <v>772</v>
      </c>
      <c r="B1332" s="412" t="s">
        <v>847</v>
      </c>
      <c r="C1332" s="56">
        <v>45852</v>
      </c>
      <c r="F1332" s="43" t="s">
        <v>977</v>
      </c>
      <c r="G1332" t="s">
        <v>1314</v>
      </c>
    </row>
    <row r="1333" spans="1:7">
      <c r="A1333" s="638" t="s">
        <v>390</v>
      </c>
      <c r="B1333" s="158" t="s">
        <v>346</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345</v>
      </c>
      <c r="B1337" s="158" t="s">
        <v>346</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345</v>
      </c>
      <c r="B1343" s="322" t="s">
        <v>346</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345</v>
      </c>
      <c r="B1354" s="158" t="s">
        <v>346</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345</v>
      </c>
      <c r="B1361" s="158" t="s">
        <v>346</v>
      </c>
      <c r="C1361" s="56">
        <v>45860</v>
      </c>
      <c r="D1361" s="43">
        <v>318</v>
      </c>
      <c r="G1361" t="s">
        <v>1314</v>
      </c>
    </row>
    <row r="1362" spans="1:7">
      <c r="A1362" s="251" t="s">
        <v>886</v>
      </c>
      <c r="B1362" s="158" t="s">
        <v>346</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346</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346</v>
      </c>
      <c r="C1378" s="56">
        <v>45862</v>
      </c>
      <c r="D1378" s="43">
        <v>880</v>
      </c>
      <c r="G1378" t="s">
        <v>1314</v>
      </c>
    </row>
    <row r="1379" spans="1:7">
      <c r="A1379" s="328" t="s">
        <v>342</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346</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346</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337</v>
      </c>
      <c r="B1402" s="322" t="s">
        <v>346</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346</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346</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346</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346</v>
      </c>
      <c r="C1418" s="56">
        <v>45875</v>
      </c>
      <c r="D1418" s="43">
        <v>840</v>
      </c>
      <c r="G1418" t="s">
        <v>1353</v>
      </c>
    </row>
    <row r="1419" spans="1:7">
      <c r="A1419" s="142" t="s">
        <v>337</v>
      </c>
      <c r="B1419" s="569" t="s">
        <v>346</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346</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346</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346</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345</v>
      </c>
      <c r="B1435" s="315" t="s">
        <v>346</v>
      </c>
      <c r="C1435" s="56">
        <v>45881</v>
      </c>
      <c r="D1435" s="43">
        <v>319</v>
      </c>
      <c r="G1435" t="s">
        <v>1353</v>
      </c>
    </row>
    <row r="1436" spans="1:7">
      <c r="A1436" s="570" t="s">
        <v>395</v>
      </c>
      <c r="B1436" s="315" t="s">
        <v>346</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346</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346</v>
      </c>
      <c r="C1447" s="56">
        <v>45883</v>
      </c>
      <c r="D1447" s="43">
        <v>554</v>
      </c>
      <c r="G1447" t="s">
        <v>1353</v>
      </c>
    </row>
    <row r="1448" spans="1:7">
      <c r="A1448" s="43" t="s">
        <v>275</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346</v>
      </c>
      <c r="C1453" s="56">
        <v>45884</v>
      </c>
      <c r="D1453" s="43">
        <v>89</v>
      </c>
      <c r="G1453" t="s">
        <v>1353</v>
      </c>
    </row>
    <row r="1454" spans="1:7">
      <c r="A1454" s="308" t="s">
        <v>275</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346</v>
      </c>
      <c r="C1460" s="56">
        <v>45887</v>
      </c>
      <c r="D1460" s="43">
        <v>377</v>
      </c>
      <c r="G1460" t="s">
        <v>1353</v>
      </c>
    </row>
    <row r="1461" spans="1:7">
      <c r="A1461" s="308" t="s">
        <v>275</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346</v>
      </c>
      <c r="C1466" s="56">
        <v>45888</v>
      </c>
      <c r="D1466" s="43">
        <v>408</v>
      </c>
      <c r="F1466" s="116"/>
      <c r="G1466" t="s">
        <v>1353</v>
      </c>
    </row>
    <row r="1467" spans="1:7">
      <c r="A1467" s="602" t="s">
        <v>342</v>
      </c>
      <c r="B1467" s="322" t="s">
        <v>847</v>
      </c>
      <c r="C1467" s="56">
        <v>45888</v>
      </c>
      <c r="F1467" s="142" t="s">
        <v>1368</v>
      </c>
      <c r="G1467" t="s">
        <v>1353</v>
      </c>
    </row>
    <row r="1468" spans="1:7">
      <c r="A1468" s="251" t="s">
        <v>337</v>
      </c>
      <c r="B1468" s="315" t="s">
        <v>346</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346</v>
      </c>
      <c r="C1474" s="56">
        <v>45889</v>
      </c>
      <c r="D1474" s="43">
        <v>607</v>
      </c>
      <c r="F1474" s="43" t="s">
        <v>1369</v>
      </c>
      <c r="G1474" t="s">
        <v>1353</v>
      </c>
    </row>
    <row r="1475" spans="1:7">
      <c r="A1475" s="602" t="s">
        <v>342</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346</v>
      </c>
      <c r="C1482" s="56">
        <v>45890</v>
      </c>
      <c r="D1482" s="156">
        <v>1022</v>
      </c>
      <c r="G1482" t="s">
        <v>1353</v>
      </c>
    </row>
    <row r="1483" spans="1:7">
      <c r="A1483" s="602" t="s">
        <v>342</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346</v>
      </c>
      <c r="C1488" s="56">
        <v>45891</v>
      </c>
      <c r="E1488" s="325">
        <v>6090</v>
      </c>
      <c r="F1488" s="43" t="s">
        <v>1373</v>
      </c>
      <c r="G1488" t="s">
        <v>1353</v>
      </c>
    </row>
    <row r="1489" spans="1:7">
      <c r="A1489" s="602" t="s">
        <v>342</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346</v>
      </c>
      <c r="C1495" s="56">
        <v>45894</v>
      </c>
      <c r="D1495" s="43">
        <v>639</v>
      </c>
      <c r="G1495" t="s">
        <v>1353</v>
      </c>
    </row>
    <row r="1496" spans="1:7">
      <c r="A1496" s="602" t="s">
        <v>342</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342</v>
      </c>
      <c r="B1504" s="653" t="s">
        <v>847</v>
      </c>
      <c r="C1504" s="56">
        <v>45895</v>
      </c>
      <c r="D1504" s="43">
        <v>295</v>
      </c>
      <c r="G1504" t="s">
        <v>1353</v>
      </c>
    </row>
    <row r="1505" spans="1:7">
      <c r="A1505" s="650" t="s">
        <v>390</v>
      </c>
      <c r="B1505" s="360" t="s">
        <v>346</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275</v>
      </c>
      <c r="B1511" s="653" t="s">
        <v>847</v>
      </c>
      <c r="C1511" s="56">
        <v>45896</v>
      </c>
      <c r="D1511" s="43">
        <v>400</v>
      </c>
      <c r="G1511" t="s">
        <v>1353</v>
      </c>
    </row>
    <row r="1512" spans="1:7">
      <c r="A1512" s="650" t="s">
        <v>345</v>
      </c>
      <c r="B1512" s="359" t="s">
        <v>346</v>
      </c>
      <c r="C1512" s="56">
        <v>45896</v>
      </c>
      <c r="D1512" s="43">
        <v>358</v>
      </c>
      <c r="F1512" s="43" t="s">
        <v>1382</v>
      </c>
      <c r="G1512" t="s">
        <v>1353</v>
      </c>
    </row>
    <row r="1513" spans="1:7">
      <c r="A1513" s="666" t="s">
        <v>390</v>
      </c>
      <c r="B1513" s="142" t="s">
        <v>346</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346</v>
      </c>
      <c r="C1518" s="56">
        <v>45897</v>
      </c>
      <c r="F1518" s="43" t="s">
        <v>972</v>
      </c>
      <c r="G1518" t="s">
        <v>1353</v>
      </c>
    </row>
    <row r="1519" spans="1:7">
      <c r="A1519" s="602" t="s">
        <v>275</v>
      </c>
      <c r="B1519" s="653" t="s">
        <v>847</v>
      </c>
      <c r="C1519" s="56">
        <v>45897</v>
      </c>
      <c r="D1519" s="43">
        <v>320</v>
      </c>
      <c r="G1519" t="s">
        <v>1353</v>
      </c>
    </row>
    <row r="1520" spans="1:7">
      <c r="A1520" s="650" t="s">
        <v>345</v>
      </c>
      <c r="B1520" s="360" t="s">
        <v>346</v>
      </c>
      <c r="C1520" s="56">
        <v>45897</v>
      </c>
      <c r="F1520" s="315" t="s">
        <v>1110</v>
      </c>
      <c r="G1520" t="s">
        <v>1353</v>
      </c>
    </row>
    <row r="1521" spans="1:7">
      <c r="A1521" s="124" t="s">
        <v>390</v>
      </c>
      <c r="B1521" s="359" t="s">
        <v>346</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346</v>
      </c>
      <c r="C1524" s="56">
        <v>45898</v>
      </c>
      <c r="F1524" s="142" t="s">
        <v>960</v>
      </c>
      <c r="G1524" t="s">
        <v>1353</v>
      </c>
    </row>
    <row r="1525" spans="1:7">
      <c r="A1525" s="330" t="s">
        <v>342</v>
      </c>
      <c r="B1525" s="319" t="s">
        <v>847</v>
      </c>
      <c r="C1525" s="56">
        <v>45898</v>
      </c>
      <c r="D1525" s="43">
        <v>6</v>
      </c>
      <c r="F1525" s="43" t="s">
        <v>1388</v>
      </c>
      <c r="G1525" t="s">
        <v>1353</v>
      </c>
    </row>
    <row r="1526" spans="1:7">
      <c r="A1526" s="348" t="s">
        <v>395</v>
      </c>
      <c r="B1526" s="315" t="s">
        <v>346</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342</v>
      </c>
      <c r="B1531" s="319" t="s">
        <v>847</v>
      </c>
      <c r="C1531" s="56">
        <v>45902</v>
      </c>
      <c r="D1531" s="43">
        <v>15</v>
      </c>
      <c r="F1531" s="43" t="s">
        <v>1394</v>
      </c>
      <c r="G1531" t="s">
        <v>1391</v>
      </c>
    </row>
    <row r="1532" spans="1:7">
      <c r="A1532" s="251" t="s">
        <v>390</v>
      </c>
      <c r="B1532" s="315" t="s">
        <v>346</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342</v>
      </c>
      <c r="B1539" s="322" t="s">
        <v>847</v>
      </c>
      <c r="C1539" s="56">
        <v>45903</v>
      </c>
      <c r="D1539" s="43">
        <v>65</v>
      </c>
      <c r="F1539" s="142" t="s">
        <v>1401</v>
      </c>
      <c r="G1539" t="s">
        <v>1391</v>
      </c>
    </row>
    <row r="1540" spans="1:7">
      <c r="A1540" s="671" t="s">
        <v>390</v>
      </c>
      <c r="B1540" s="359" t="s">
        <v>346</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345</v>
      </c>
      <c r="B1546" s="315" t="s">
        <v>847</v>
      </c>
      <c r="C1546" s="56">
        <v>45904</v>
      </c>
      <c r="D1546" s="43">
        <v>99</v>
      </c>
      <c r="F1546" s="43" t="s">
        <v>1405</v>
      </c>
      <c r="G1546" t="s">
        <v>1391</v>
      </c>
    </row>
    <row r="1547" spans="1:7">
      <c r="A1547" s="602" t="s">
        <v>342</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334</v>
      </c>
      <c r="B1563" s="653" t="s">
        <v>335</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334</v>
      </c>
      <c r="B1570" s="251" t="s">
        <v>335</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334</v>
      </c>
      <c r="B1574" s="251" t="s">
        <v>335</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334</v>
      </c>
      <c r="B1579" s="251" t="s">
        <v>335</v>
      </c>
      <c r="C1579" s="56">
        <v>45915</v>
      </c>
      <c r="D1579" s="43">
        <v>829</v>
      </c>
      <c r="F1579" s="69" t="s">
        <v>1274</v>
      </c>
      <c r="G1579" t="s">
        <v>1391</v>
      </c>
    </row>
    <row r="1580" spans="1:7">
      <c r="A1580" s="116" t="s">
        <v>342</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334</v>
      </c>
      <c r="B1585" s="251" t="s">
        <v>335</v>
      </c>
      <c r="C1585" s="56">
        <v>45916</v>
      </c>
      <c r="F1585" s="761" t="s">
        <v>960</v>
      </c>
      <c r="G1585" t="s">
        <v>1391</v>
      </c>
    </row>
    <row r="1586" spans="1:7">
      <c r="A1586" s="158" t="s">
        <v>345</v>
      </c>
      <c r="B1586" s="251" t="s">
        <v>847</v>
      </c>
      <c r="C1586" s="56">
        <v>45916</v>
      </c>
      <c r="F1586" s="762" t="s">
        <v>1418</v>
      </c>
      <c r="G1586" t="s">
        <v>1391</v>
      </c>
    </row>
    <row r="1587" spans="1:7">
      <c r="A1587" s="116" t="s">
        <v>342</v>
      </c>
      <c r="B1587" s="382" t="s">
        <v>847</v>
      </c>
      <c r="C1587" s="56">
        <v>45916</v>
      </c>
      <c r="F1587" s="760" t="s">
        <v>1418</v>
      </c>
      <c r="G1587" t="s">
        <v>1391</v>
      </c>
    </row>
    <row r="1588" spans="1:7">
      <c r="A1588" s="671" t="s">
        <v>348</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334</v>
      </c>
      <c r="B1593" s="142" t="s">
        <v>335</v>
      </c>
      <c r="C1593" s="56">
        <v>45917</v>
      </c>
      <c r="D1593" s="43">
        <v>863</v>
      </c>
      <c r="F1593" s="761"/>
      <c r="G1593" t="s">
        <v>1391</v>
      </c>
    </row>
    <row r="1594" spans="1:7">
      <c r="A1594" s="766" t="s">
        <v>348</v>
      </c>
      <c r="B1594" s="309" t="s">
        <v>233</v>
      </c>
      <c r="C1594" s="56">
        <v>45917</v>
      </c>
      <c r="D1594" s="43">
        <v>253</v>
      </c>
      <c r="F1594" s="761"/>
      <c r="G1594" t="s">
        <v>1391</v>
      </c>
    </row>
    <row r="1595" spans="1:7">
      <c r="A1595" s="330" t="s">
        <v>345</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334</v>
      </c>
      <c r="B1603" s="251" t="s">
        <v>335</v>
      </c>
      <c r="C1603" s="56">
        <v>45918</v>
      </c>
      <c r="D1603" s="43">
        <v>499</v>
      </c>
      <c r="F1603" s="761"/>
      <c r="G1603" t="s">
        <v>1391</v>
      </c>
    </row>
    <row r="1604" spans="1:7">
      <c r="A1604" s="671" t="s">
        <v>348</v>
      </c>
      <c r="B1604" s="142" t="s">
        <v>233</v>
      </c>
      <c r="C1604" s="56">
        <v>45918</v>
      </c>
      <c r="D1604" s="156">
        <v>1076</v>
      </c>
      <c r="F1604" s="761"/>
      <c r="G1604" t="s">
        <v>1391</v>
      </c>
    </row>
    <row r="1605" spans="1:7">
      <c r="A1605" s="158" t="s">
        <v>345</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334</v>
      </c>
      <c r="B1608" s="251" t="s">
        <v>335</v>
      </c>
      <c r="C1608" s="56">
        <v>45919</v>
      </c>
      <c r="D1608" s="43">
        <v>475</v>
      </c>
      <c r="F1608" s="761"/>
      <c r="G1608" t="s">
        <v>1391</v>
      </c>
    </row>
    <row r="1609" spans="1:7">
      <c r="A1609" s="671" t="s">
        <v>348</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334</v>
      </c>
      <c r="B1616" s="142" t="s">
        <v>335</v>
      </c>
      <c r="C1616" s="56">
        <v>45922</v>
      </c>
      <c r="D1616" s="43">
        <v>839</v>
      </c>
      <c r="F1616" s="761"/>
      <c r="G1616" t="s">
        <v>1391</v>
      </c>
    </row>
    <row r="1617" spans="1:7">
      <c r="A1617" s="776" t="s">
        <v>348</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334</v>
      </c>
      <c r="B1625" s="251" t="s">
        <v>335</v>
      </c>
      <c r="C1625" s="56">
        <v>45923</v>
      </c>
      <c r="F1625" s="789" t="s">
        <v>1437</v>
      </c>
      <c r="G1625" t="s">
        <v>1391</v>
      </c>
    </row>
    <row r="1626" spans="1:7">
      <c r="A1626" s="671" t="s">
        <v>348</v>
      </c>
      <c r="B1626" s="786" t="s">
        <v>233</v>
      </c>
      <c r="C1626" s="56">
        <v>45923</v>
      </c>
      <c r="D1626" s="43">
        <v>120</v>
      </c>
      <c r="F1626" s="69"/>
      <c r="G1626" t="s">
        <v>1391</v>
      </c>
    </row>
    <row r="1627" spans="1:7">
      <c r="A1627" s="158" t="s">
        <v>345</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334</v>
      </c>
      <c r="B1636" s="413" t="s">
        <v>335</v>
      </c>
      <c r="C1636" s="355">
        <v>45924</v>
      </c>
      <c r="D1636" s="43">
        <v>616</v>
      </c>
      <c r="F1636" s="92"/>
      <c r="G1636" t="s">
        <v>1391</v>
      </c>
    </row>
    <row r="1637" spans="1:7">
      <c r="A1637" s="671" t="s">
        <v>348</v>
      </c>
      <c r="B1637" s="786" t="s">
        <v>233</v>
      </c>
      <c r="C1637" s="56">
        <v>45924</v>
      </c>
      <c r="D1637" s="43">
        <v>190</v>
      </c>
      <c r="F1637" s="69"/>
      <c r="G1637" t="s">
        <v>1391</v>
      </c>
    </row>
    <row r="1638" spans="1:7">
      <c r="A1638" s="158" t="s">
        <v>275</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337</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334</v>
      </c>
      <c r="B1651" s="251" t="s">
        <v>335</v>
      </c>
      <c r="C1651" s="56">
        <v>45925</v>
      </c>
      <c r="D1651" s="43">
        <v>969</v>
      </c>
      <c r="G1651" t="s">
        <v>1391</v>
      </c>
    </row>
    <row r="1652" spans="1:7">
      <c r="A1652" s="671" t="s">
        <v>348</v>
      </c>
      <c r="B1652" s="786" t="s">
        <v>233</v>
      </c>
      <c r="C1652" s="56">
        <v>45925</v>
      </c>
      <c r="F1652" s="142" t="s">
        <v>977</v>
      </c>
      <c r="G1652" t="s">
        <v>1391</v>
      </c>
    </row>
    <row r="1653" spans="1:7">
      <c r="A1653" s="158" t="s">
        <v>275</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335</v>
      </c>
      <c r="C1657" s="56">
        <v>45926</v>
      </c>
      <c r="D1657" s="43">
        <v>300</v>
      </c>
      <c r="G1657" t="s">
        <v>1391</v>
      </c>
    </row>
    <row r="1658" spans="1:7">
      <c r="A1658" s="308" t="s">
        <v>896</v>
      </c>
      <c r="B1658" s="767" t="s">
        <v>1449</v>
      </c>
      <c r="C1658" s="56">
        <v>45926</v>
      </c>
      <c r="D1658" s="43">
        <v>364</v>
      </c>
      <c r="G1658" t="s">
        <v>1391</v>
      </c>
    </row>
    <row r="1659" spans="1:7">
      <c r="A1659" s="135" t="s">
        <v>334</v>
      </c>
      <c r="B1659" s="142" t="s">
        <v>335</v>
      </c>
      <c r="C1659" s="56">
        <v>45926</v>
      </c>
      <c r="D1659" s="43">
        <v>552</v>
      </c>
      <c r="G1659" t="s">
        <v>1391</v>
      </c>
    </row>
    <row r="1660" spans="1:7">
      <c r="A1660" s="776" t="s">
        <v>351</v>
      </c>
      <c r="B1660" s="308" t="s">
        <v>233</v>
      </c>
      <c r="C1660" s="56">
        <v>45926</v>
      </c>
      <c r="D1660" s="43">
        <v>551</v>
      </c>
      <c r="G1660" t="s">
        <v>1391</v>
      </c>
    </row>
    <row r="1661" spans="1:7">
      <c r="A1661" s="329" t="s">
        <v>275</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334</v>
      </c>
      <c r="B1669" s="142" t="s">
        <v>335</v>
      </c>
      <c r="C1669" s="56">
        <v>45929</v>
      </c>
      <c r="D1669" s="156">
        <v>1375</v>
      </c>
      <c r="G1669" t="s">
        <v>1391</v>
      </c>
    </row>
    <row r="1670" spans="1:7">
      <c r="A1670" s="776" t="s">
        <v>345</v>
      </c>
      <c r="B1670" s="308" t="s">
        <v>233</v>
      </c>
      <c r="C1670" s="56">
        <v>45929</v>
      </c>
      <c r="F1670" s="142" t="s">
        <v>1307</v>
      </c>
      <c r="G1670" t="s">
        <v>1391</v>
      </c>
    </row>
    <row r="1671" spans="1:7">
      <c r="A1671" s="309" t="s">
        <v>895</v>
      </c>
      <c r="B1671" s="309" t="s">
        <v>847</v>
      </c>
      <c r="C1671" s="56">
        <v>45929</v>
      </c>
      <c r="D1671" s="156">
        <v>1418</v>
      </c>
      <c r="G1671" t="s">
        <v>1391</v>
      </c>
    </row>
    <row r="1672" spans="1:7">
      <c r="A1672" s="43" t="s">
        <v>348</v>
      </c>
      <c r="B1672" s="322" t="s">
        <v>233</v>
      </c>
      <c r="C1672" s="56">
        <v>45929</v>
      </c>
      <c r="D1672" s="43">
        <v>479</v>
      </c>
      <c r="G1672" t="s">
        <v>1391</v>
      </c>
    </row>
    <row r="1673" spans="1:7">
      <c r="A1673" s="43" t="s">
        <v>351</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334</v>
      </c>
      <c r="B1682" s="308" t="s">
        <v>335</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351</v>
      </c>
      <c r="B1685" s="322" t="s">
        <v>233</v>
      </c>
      <c r="C1685" s="56">
        <v>45930</v>
      </c>
      <c r="D1685" s="43">
        <v>251</v>
      </c>
      <c r="G1685" t="s">
        <v>1391</v>
      </c>
    </row>
    <row r="1686" spans="1:7">
      <c r="A1686" s="543" t="s">
        <v>337</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334</v>
      </c>
      <c r="B1693" s="142" t="s">
        <v>335</v>
      </c>
      <c r="C1693" s="56">
        <v>45931</v>
      </c>
      <c r="D1693" s="43">
        <v>312</v>
      </c>
      <c r="G1693" t="s">
        <v>1458</v>
      </c>
    </row>
    <row r="1694" spans="1:7">
      <c r="A1694" s="570" t="s">
        <v>337</v>
      </c>
      <c r="B1694" s="142" t="s">
        <v>233</v>
      </c>
      <c r="C1694" s="56">
        <v>45931</v>
      </c>
      <c r="D1694" s="43">
        <v>753</v>
      </c>
      <c r="G1694" t="s">
        <v>1458</v>
      </c>
    </row>
    <row r="1695" spans="1:7">
      <c r="A1695" s="309" t="s">
        <v>351</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334</v>
      </c>
      <c r="B1703" s="142" t="s">
        <v>335</v>
      </c>
      <c r="C1703" s="56">
        <v>45932</v>
      </c>
      <c r="D1703" s="156">
        <v>1304</v>
      </c>
      <c r="G1703" t="s">
        <v>1458</v>
      </c>
    </row>
    <row r="1704" spans="1:7">
      <c r="A1704" s="309" t="s">
        <v>895</v>
      </c>
      <c r="B1704" s="309" t="s">
        <v>847</v>
      </c>
      <c r="C1704" s="56">
        <v>45932</v>
      </c>
      <c r="D1704" s="43">
        <v>614</v>
      </c>
      <c r="G1704" t="s">
        <v>1458</v>
      </c>
    </row>
    <row r="1705" spans="1:7">
      <c r="A1705" s="570" t="s">
        <v>337</v>
      </c>
      <c r="B1705" s="142" t="s">
        <v>233</v>
      </c>
      <c r="C1705" s="56">
        <v>45932</v>
      </c>
      <c r="D1705" s="43">
        <v>305</v>
      </c>
      <c r="G1705" t="s">
        <v>1458</v>
      </c>
    </row>
    <row r="1706" spans="1:7">
      <c r="A1706" s="309" t="s">
        <v>351</v>
      </c>
      <c r="B1706" s="359" t="s">
        <v>233</v>
      </c>
      <c r="C1706" s="56">
        <v>45932</v>
      </c>
      <c r="D1706" s="43">
        <v>789</v>
      </c>
      <c r="F1706" s="43" t="s">
        <v>1464</v>
      </c>
      <c r="G1706" t="s">
        <v>1458</v>
      </c>
    </row>
    <row r="1707" spans="1:7">
      <c r="A1707" s="142" t="s">
        <v>348</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334</v>
      </c>
      <c r="B1713" s="142" t="s">
        <v>335</v>
      </c>
      <c r="C1713" s="56">
        <v>45933</v>
      </c>
      <c r="D1713" s="43">
        <v>617</v>
      </c>
      <c r="G1713" t="s">
        <v>1458</v>
      </c>
    </row>
    <row r="1714" spans="1:7">
      <c r="A1714" s="309" t="s">
        <v>895</v>
      </c>
      <c r="B1714" s="309" t="s">
        <v>847</v>
      </c>
      <c r="C1714" s="56">
        <v>45933</v>
      </c>
      <c r="D1714" s="43">
        <v>486</v>
      </c>
      <c r="G1714" t="s">
        <v>1458</v>
      </c>
    </row>
    <row r="1715" spans="1:7">
      <c r="A1715" s="310" t="s">
        <v>351</v>
      </c>
      <c r="B1715" s="142" t="s">
        <v>233</v>
      </c>
      <c r="C1715" s="56">
        <v>45933</v>
      </c>
      <c r="F1715" s="43" t="s">
        <v>1467</v>
      </c>
      <c r="G1715" t="s">
        <v>1458</v>
      </c>
    </row>
    <row r="1716" spans="1:7">
      <c r="A1716" s="310" t="s">
        <v>348</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334</v>
      </c>
      <c r="B1724" s="142" t="s">
        <v>335</v>
      </c>
      <c r="C1724" s="56">
        <v>45936</v>
      </c>
      <c r="D1724" s="43">
        <v>768</v>
      </c>
      <c r="G1724" t="s">
        <v>1458</v>
      </c>
    </row>
    <row r="1725" spans="1:7">
      <c r="A1725" s="309" t="s">
        <v>895</v>
      </c>
      <c r="B1725" s="309" t="s">
        <v>623</v>
      </c>
      <c r="C1725" s="56">
        <v>45936</v>
      </c>
      <c r="D1725" s="43">
        <v>225</v>
      </c>
      <c r="G1725" t="s">
        <v>1458</v>
      </c>
    </row>
    <row r="1726" spans="1:7">
      <c r="A1726" s="568" t="s">
        <v>337</v>
      </c>
      <c r="B1726" s="310" t="s">
        <v>233</v>
      </c>
      <c r="C1726" s="56">
        <v>45936</v>
      </c>
      <c r="F1726" s="348" t="s">
        <v>1110</v>
      </c>
      <c r="G1726" t="s">
        <v>1458</v>
      </c>
    </row>
    <row r="1727" spans="1:7">
      <c r="A1727" s="315" t="s">
        <v>351</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334</v>
      </c>
      <c r="B1734" s="142" t="s">
        <v>335</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351</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351</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334</v>
      </c>
      <c r="B1755" s="251" t="s">
        <v>335</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351</v>
      </c>
      <c r="B1758" s="321" t="s">
        <v>233</v>
      </c>
      <c r="C1758" s="56">
        <v>45939</v>
      </c>
      <c r="D1758" s="43">
        <v>369</v>
      </c>
      <c r="G1758" t="s">
        <v>1458</v>
      </c>
    </row>
    <row r="1759" spans="1:7">
      <c r="A1759" s="116" t="s">
        <v>348</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331</v>
      </c>
      <c r="B1766" s="348" t="s">
        <v>847</v>
      </c>
      <c r="C1766" s="56">
        <v>45940</v>
      </c>
      <c r="F1766" s="315" t="s">
        <v>1296</v>
      </c>
      <c r="G1766" t="s">
        <v>1458</v>
      </c>
    </row>
    <row r="1767" spans="1:7">
      <c r="A1767" s="319" t="s">
        <v>337</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339</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353</v>
      </c>
      <c r="B1786" s="319" t="s">
        <v>233</v>
      </c>
      <c r="C1786" s="56">
        <v>45944</v>
      </c>
      <c r="D1786" s="43">
        <v>927</v>
      </c>
      <c r="F1786" s="43" t="s">
        <v>1465</v>
      </c>
      <c r="G1786" t="s">
        <v>1458</v>
      </c>
    </row>
    <row r="1787" spans="1:7">
      <c r="A1787" s="251" t="s">
        <v>339</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334</v>
      </c>
      <c r="B1794" s="315" t="s">
        <v>847</v>
      </c>
      <c r="C1794" s="56">
        <v>45945</v>
      </c>
      <c r="D1794" s="43">
        <v>986</v>
      </c>
      <c r="G1794" t="s">
        <v>1458</v>
      </c>
    </row>
    <row r="1795" spans="1:7">
      <c r="A1795" s="310" t="s">
        <v>354</v>
      </c>
      <c r="B1795" s="359" t="s">
        <v>1493</v>
      </c>
      <c r="C1795" s="56">
        <v>45945</v>
      </c>
      <c r="D1795" s="156">
        <v>1457</v>
      </c>
      <c r="F1795" s="43" t="s">
        <v>1494</v>
      </c>
      <c r="G1795" t="s">
        <v>1458</v>
      </c>
    </row>
    <row r="1796" spans="1:7">
      <c r="A1796" s="315" t="s">
        <v>353</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275</v>
      </c>
      <c r="B1804" s="310" t="s">
        <v>847</v>
      </c>
      <c r="C1804" s="314">
        <v>45946</v>
      </c>
      <c r="D1804" s="43">
        <v>170</v>
      </c>
      <c r="G1804" t="s">
        <v>1458</v>
      </c>
    </row>
    <row r="1805" spans="1:7">
      <c r="A1805" s="142" t="s">
        <v>354</v>
      </c>
      <c r="B1805" s="142" t="s">
        <v>1493</v>
      </c>
      <c r="C1805" s="314">
        <v>45946</v>
      </c>
      <c r="D1805" s="156">
        <v>1142</v>
      </c>
      <c r="F1805" s="43" t="s">
        <v>1499</v>
      </c>
      <c r="G1805" t="s">
        <v>1458</v>
      </c>
    </row>
    <row r="1806" spans="1:7">
      <c r="A1806" s="308" t="s">
        <v>353</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354</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337</v>
      </c>
      <c r="B1819" s="1041" t="s">
        <v>847</v>
      </c>
      <c r="C1819" s="56">
        <v>45950</v>
      </c>
      <c r="D1819" s="43">
        <v>151</v>
      </c>
      <c r="G1819" t="s">
        <v>1458</v>
      </c>
    </row>
    <row r="1820" spans="1:7">
      <c r="A1820" s="789" t="s">
        <v>354</v>
      </c>
      <c r="B1820" s="789" t="s">
        <v>1493</v>
      </c>
      <c r="C1820" s="56">
        <v>45950</v>
      </c>
      <c r="D1820" s="156">
        <v>1186</v>
      </c>
      <c r="F1820" s="43" t="s">
        <v>1332</v>
      </c>
      <c r="G1820" t="s">
        <v>1458</v>
      </c>
    </row>
    <row r="1821" spans="1:7">
      <c r="A1821" s="1038" t="s">
        <v>353</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337</v>
      </c>
      <c r="B1828" s="1051" t="s">
        <v>847</v>
      </c>
      <c r="C1828" s="56">
        <v>45951</v>
      </c>
      <c r="D1828" s="43">
        <v>149</v>
      </c>
      <c r="G1828" t="s">
        <v>1458</v>
      </c>
    </row>
    <row r="1829" spans="1:7">
      <c r="A1829" s="760" t="s">
        <v>354</v>
      </c>
      <c r="B1829" s="116" t="s">
        <v>1493</v>
      </c>
      <c r="C1829" s="56">
        <v>45951</v>
      </c>
      <c r="D1829" s="156">
        <v>1564</v>
      </c>
      <c r="F1829" s="43" t="s">
        <v>1511</v>
      </c>
      <c r="G1829" t="s">
        <v>1458</v>
      </c>
    </row>
    <row r="1830" spans="1:7">
      <c r="A1830" s="43" t="s">
        <v>353</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337</v>
      </c>
      <c r="B1837" s="1066" t="s">
        <v>847</v>
      </c>
      <c r="C1837" s="56">
        <v>45952</v>
      </c>
      <c r="F1837" s="310" t="s">
        <v>1516</v>
      </c>
      <c r="G1837" t="s">
        <v>1458</v>
      </c>
    </row>
    <row r="1838" spans="1:7">
      <c r="A1838" s="639" t="s">
        <v>354</v>
      </c>
      <c r="B1838" s="162" t="s">
        <v>1493</v>
      </c>
      <c r="C1838" s="56">
        <v>45952</v>
      </c>
      <c r="D1838" s="156">
        <v>1012</v>
      </c>
      <c r="F1838" s="43" t="s">
        <v>1517</v>
      </c>
      <c r="G1838" t="s">
        <v>1458</v>
      </c>
    </row>
    <row r="1839" spans="1:7">
      <c r="A1839" s="43" t="s">
        <v>353</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337</v>
      </c>
      <c r="B1849" s="1066" t="s">
        <v>847</v>
      </c>
      <c r="C1849" s="56">
        <v>45953</v>
      </c>
      <c r="F1849" s="310" t="s">
        <v>1110</v>
      </c>
      <c r="G1849" t="s">
        <v>1458</v>
      </c>
    </row>
    <row r="1850" spans="1:7">
      <c r="A1850" s="639" t="s">
        <v>354</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337</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275</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353</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353</v>
      </c>
      <c r="B1884" s="322" t="s">
        <v>233</v>
      </c>
      <c r="C1884" s="56">
        <v>45958</v>
      </c>
      <c r="D1884" s="156">
        <v>1224</v>
      </c>
      <c r="G1884" t="s">
        <v>1458</v>
      </c>
    </row>
    <row r="1885" spans="1:7">
      <c r="A1885" s="43" t="s">
        <v>353</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353</v>
      </c>
      <c r="B1895" s="681" t="s">
        <v>233</v>
      </c>
      <c r="C1895" s="56">
        <v>45959</v>
      </c>
      <c r="D1895" s="43">
        <v>343</v>
      </c>
      <c r="G1895" t="s">
        <v>1458</v>
      </c>
    </row>
    <row r="1896" spans="1:7">
      <c r="A1896" s="69" t="s">
        <v>232</v>
      </c>
      <c r="B1896" s="43" t="s">
        <v>233</v>
      </c>
      <c r="C1896" s="56">
        <v>45959</v>
      </c>
      <c r="D1896" s="156">
        <v>3179</v>
      </c>
      <c r="G1896" t="s">
        <v>1458</v>
      </c>
    </row>
    <row r="1897" spans="1:7">
      <c r="A1897" s="315" t="s">
        <v>334</v>
      </c>
      <c r="B1897" s="315" t="s">
        <v>847</v>
      </c>
      <c r="C1897" s="56">
        <v>45959</v>
      </c>
      <c r="F1897" s="43" t="s">
        <v>1551</v>
      </c>
      <c r="G1897" t="s">
        <v>1458</v>
      </c>
    </row>
    <row r="1898" spans="1:7">
      <c r="A1898" s="319" t="s">
        <v>337</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353</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334</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334</v>
      </c>
      <c r="B1935" s="360" t="s">
        <v>847</v>
      </c>
      <c r="C1935" s="56">
        <v>45964</v>
      </c>
      <c r="F1935" s="43" t="s">
        <v>1303</v>
      </c>
      <c r="G1935" t="s">
        <v>1568</v>
      </c>
    </row>
    <row r="1936" spans="1:7">
      <c r="A1936" s="142" t="s">
        <v>334</v>
      </c>
      <c r="B1936" s="360" t="s">
        <v>1572</v>
      </c>
      <c r="C1936" s="56">
        <v>45964</v>
      </c>
      <c r="E1936" s="325">
        <v>3846</v>
      </c>
      <c r="F1936" s="43" t="s">
        <v>1573</v>
      </c>
      <c r="G1936" t="s">
        <v>1568</v>
      </c>
    </row>
    <row r="1937" spans="1:7">
      <c r="A1937" s="142" t="s">
        <v>334</v>
      </c>
      <c r="B1937" s="360" t="s">
        <v>335</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354</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339</v>
      </c>
      <c r="B1963" s="1137" t="s">
        <v>1272</v>
      </c>
      <c r="C1963" s="56">
        <v>45966</v>
      </c>
      <c r="D1963" s="43">
        <v>150</v>
      </c>
      <c r="G1963" t="s">
        <v>1568</v>
      </c>
    </row>
    <row r="1964" spans="1:7">
      <c r="A1964" s="251" t="s">
        <v>334</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639" t="s">
        <v>265</v>
      </c>
      <c r="B1975" s="786" t="s">
        <v>1493</v>
      </c>
      <c r="C1975" s="56">
        <v>45967</v>
      </c>
      <c r="G1975"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1582</v>
      </c>
      <c r="Q1" s="160" t="s">
        <v>1583</v>
      </c>
      <c r="R1" s="128" t="s">
        <v>1584</v>
      </c>
      <c r="S1" s="128" t="s">
        <v>1585</v>
      </c>
      <c r="T1" s="160" t="s">
        <v>1586</v>
      </c>
      <c r="U1" s="128" t="s">
        <v>977</v>
      </c>
      <c r="V1" s="161" t="s">
        <v>1587</v>
      </c>
      <c r="W1" s="161" t="s">
        <v>1588</v>
      </c>
      <c r="X1" s="164" t="s">
        <v>1589</v>
      </c>
      <c r="Y1" s="262" t="e" cm="1">
        <f t="array" ref="Y1">VLOOKUP(#REF!,#REF!, FALSE)</f>
        <v>#REF!</v>
      </c>
    </row>
    <row r="2" spans="1:25">
      <c r="A2" s="181" t="s">
        <v>337</v>
      </c>
      <c r="B2" s="183" t="s">
        <v>215</v>
      </c>
      <c r="C2" s="180">
        <v>45991</v>
      </c>
      <c r="D2" s="645" t="s">
        <v>338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1590</v>
      </c>
      <c r="S6" s="43" t="s">
        <v>99</v>
      </c>
      <c r="T6" s="43" t="s">
        <v>99</v>
      </c>
      <c r="U6" s="158" t="s">
        <v>99</v>
      </c>
      <c r="V6" s="69" t="s">
        <v>114</v>
      </c>
      <c r="W6" s="79"/>
      <c r="X6" s="69" t="s">
        <v>114</v>
      </c>
      <c r="Y6" t="e">
        <f>VLOOKUP(A6,#REF!,2,FALSE)</f>
        <v>#REF!</v>
      </c>
    </row>
    <row r="7" spans="1:25">
      <c r="A7" s="396" t="s">
        <v>815</v>
      </c>
      <c r="B7" s="713" t="s">
        <v>215</v>
      </c>
      <c r="C7" s="397">
        <v>45742</v>
      </c>
      <c r="D7" s="425" t="s">
        <v>344</v>
      </c>
      <c r="E7" s="540"/>
      <c r="F7" s="541"/>
      <c r="G7" s="541"/>
      <c r="H7" s="182">
        <v>60</v>
      </c>
      <c r="I7" s="184"/>
      <c r="J7" s="188" t="s">
        <v>57</v>
      </c>
      <c r="K7" s="188" t="s">
        <v>57</v>
      </c>
      <c r="L7" s="188" t="s">
        <v>63</v>
      </c>
      <c r="M7" s="196">
        <v>45716</v>
      </c>
      <c r="N7" s="30" t="s">
        <v>99</v>
      </c>
      <c r="O7" s="79" t="s">
        <v>99</v>
      </c>
      <c r="P7" s="30" t="s">
        <v>99</v>
      </c>
      <c r="Q7" s="345" t="s">
        <v>99</v>
      </c>
      <c r="R7" s="43" t="s">
        <v>1590</v>
      </c>
      <c r="S7" s="43" t="s">
        <v>99</v>
      </c>
      <c r="T7" s="43" t="s">
        <v>99</v>
      </c>
      <c r="U7" s="43" t="s">
        <v>99</v>
      </c>
      <c r="V7" s="69" t="s">
        <v>114</v>
      </c>
      <c r="W7" s="30"/>
      <c r="X7" s="69" t="s">
        <v>114</v>
      </c>
      <c r="Y7" t="e">
        <f>VLOOKUP(A7,#REF!,2,FALSE)</f>
        <v>#REF!</v>
      </c>
    </row>
    <row r="8" spans="1:25">
      <c r="A8" s="178" t="s">
        <v>393</v>
      </c>
      <c r="B8" s="183" t="s">
        <v>215</v>
      </c>
      <c r="C8" s="179">
        <v>45742</v>
      </c>
      <c r="D8" s="188" t="s">
        <v>1591</v>
      </c>
      <c r="E8" s="121"/>
      <c r="F8" s="109"/>
      <c r="G8" s="109"/>
      <c r="H8" s="182">
        <v>84</v>
      </c>
      <c r="I8" s="184"/>
      <c r="J8" s="188" t="s">
        <v>57</v>
      </c>
      <c r="K8" s="188" t="s">
        <v>57</v>
      </c>
      <c r="L8" s="188" t="s">
        <v>63</v>
      </c>
      <c r="M8" s="196">
        <v>45716</v>
      </c>
      <c r="N8" s="30" t="s">
        <v>99</v>
      </c>
      <c r="O8" s="30" t="s">
        <v>99</v>
      </c>
      <c r="P8" s="738" t="s">
        <v>99</v>
      </c>
      <c r="Q8" s="69" t="s">
        <v>99</v>
      </c>
      <c r="R8" s="43" t="s">
        <v>1590</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1590</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1590</v>
      </c>
      <c r="S10" s="43" t="s">
        <v>99</v>
      </c>
      <c r="T10" s="43" t="s">
        <v>99</v>
      </c>
      <c r="U10" s="162" t="s">
        <v>99</v>
      </c>
      <c r="V10" s="345" t="s">
        <v>114</v>
      </c>
      <c r="W10" s="30"/>
      <c r="X10" s="69" t="s">
        <v>114</v>
      </c>
      <c r="Y10" t="e">
        <f>VLOOKUP(A10,#REF!,2,FALSE)</f>
        <v>#REF!</v>
      </c>
    </row>
    <row r="11" spans="1:25">
      <c r="A11" s="184" t="s">
        <v>342</v>
      </c>
      <c r="B11" s="436" t="s">
        <v>215</v>
      </c>
      <c r="C11" s="179">
        <v>45991</v>
      </c>
      <c r="D11" s="552" t="s">
        <v>344</v>
      </c>
      <c r="E11" s="121">
        <v>31</v>
      </c>
      <c r="F11" s="109"/>
      <c r="G11" s="109"/>
      <c r="H11" s="188">
        <v>31</v>
      </c>
      <c r="I11" s="184"/>
      <c r="J11" s="188" t="s">
        <v>57</v>
      </c>
      <c r="K11" s="188" t="s">
        <v>57</v>
      </c>
      <c r="L11" s="188" t="s">
        <v>63</v>
      </c>
      <c r="M11" s="198">
        <v>45716</v>
      </c>
      <c r="N11" s="30" t="s">
        <v>74</v>
      </c>
      <c r="O11" s="54">
        <v>45716</v>
      </c>
      <c r="P11" s="87" t="s">
        <v>99</v>
      </c>
      <c r="Q11" s="69" t="s">
        <v>99</v>
      </c>
      <c r="R11" s="43" t="s">
        <v>1590</v>
      </c>
      <c r="S11" s="43" t="s">
        <v>99</v>
      </c>
      <c r="T11" s="43" t="s">
        <v>99</v>
      </c>
      <c r="U11" s="345" t="s">
        <v>114</v>
      </c>
      <c r="V11" s="69" t="s">
        <v>114</v>
      </c>
      <c r="W11" s="30"/>
      <c r="X11" s="43"/>
    </row>
    <row r="12" spans="1:25">
      <c r="A12" s="178" t="s">
        <v>345</v>
      </c>
      <c r="B12" s="183" t="s">
        <v>215</v>
      </c>
      <c r="C12" s="179">
        <v>45772</v>
      </c>
      <c r="D12" s="202" t="s">
        <v>344</v>
      </c>
      <c r="E12" s="194"/>
      <c r="F12" s="139"/>
      <c r="G12" s="139"/>
      <c r="H12" s="188">
        <v>31</v>
      </c>
      <c r="I12" s="184"/>
      <c r="J12" s="188" t="s">
        <v>57</v>
      </c>
      <c r="K12" s="188" t="s">
        <v>57</v>
      </c>
      <c r="L12" s="188" t="s">
        <v>63</v>
      </c>
      <c r="M12" s="196">
        <v>45716</v>
      </c>
      <c r="N12" s="30" t="s">
        <v>74</v>
      </c>
      <c r="O12" s="54">
        <v>45716</v>
      </c>
      <c r="P12" s="87" t="s">
        <v>99</v>
      </c>
      <c r="Q12" s="69" t="s">
        <v>99</v>
      </c>
      <c r="R12" s="43" t="s">
        <v>1590</v>
      </c>
      <c r="S12" s="43" t="s">
        <v>99</v>
      </c>
      <c r="T12" s="43" t="s">
        <v>99</v>
      </c>
      <c r="U12" s="69" t="s">
        <v>114</v>
      </c>
      <c r="V12" s="69" t="s">
        <v>114</v>
      </c>
      <c r="W12" s="30"/>
      <c r="X12" s="69" t="s">
        <v>114</v>
      </c>
      <c r="Y12" t="e">
        <f>VLOOKUP(A12,#REF!,2,FALSE)</f>
        <v>#REF!</v>
      </c>
    </row>
    <row r="13" spans="1:25">
      <c r="A13" s="181" t="s">
        <v>275</v>
      </c>
      <c r="B13" s="183" t="s">
        <v>215</v>
      </c>
      <c r="C13" s="423">
        <v>45960</v>
      </c>
      <c r="D13" s="432" t="s">
        <v>276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348</v>
      </c>
      <c r="B14" s="183" t="s">
        <v>215</v>
      </c>
      <c r="C14" s="180">
        <v>45991</v>
      </c>
      <c r="D14" s="424" t="s">
        <v>349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1592</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1593</v>
      </c>
      <c r="N16" s="30" t="s">
        <v>99</v>
      </c>
      <c r="O16" s="54" t="s">
        <v>1593</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1592</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1592</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1592</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1592</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1592</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1592</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1592</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1590</v>
      </c>
      <c r="S31" s="43" t="s">
        <v>99</v>
      </c>
      <c r="T31" s="140" t="s">
        <v>99</v>
      </c>
      <c r="U31" s="116" t="s">
        <v>99</v>
      </c>
      <c r="V31" s="69" t="s">
        <v>99</v>
      </c>
      <c r="W31" s="54">
        <v>45779</v>
      </c>
      <c r="X31" s="69" t="s">
        <v>1592</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1590</v>
      </c>
      <c r="S32" s="43" t="s">
        <v>99</v>
      </c>
      <c r="T32" s="140" t="s">
        <v>99</v>
      </c>
      <c r="U32" s="43" t="s">
        <v>99</v>
      </c>
      <c r="V32" s="69" t="s">
        <v>99</v>
      </c>
      <c r="W32" s="54">
        <v>45792</v>
      </c>
      <c r="X32" s="69" t="s">
        <v>1592</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1590</v>
      </c>
      <c r="S33" s="43" t="s">
        <v>99</v>
      </c>
      <c r="T33" s="140" t="s">
        <v>99</v>
      </c>
      <c r="U33" s="43" t="s">
        <v>99</v>
      </c>
      <c r="V33" s="345" t="s">
        <v>99</v>
      </c>
      <c r="W33" s="54">
        <v>45812</v>
      </c>
      <c r="X33" s="69" t="s">
        <v>1592</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1590</v>
      </c>
      <c r="S34" s="43" t="s">
        <v>99</v>
      </c>
      <c r="T34" s="140" t="s">
        <v>99</v>
      </c>
      <c r="U34" s="43" t="s">
        <v>99</v>
      </c>
      <c r="V34" s="418" t="s">
        <v>99</v>
      </c>
      <c r="W34" s="168">
        <v>45797</v>
      </c>
      <c r="X34" s="69" t="s">
        <v>1592</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1590</v>
      </c>
      <c r="S35" s="43" t="s">
        <v>99</v>
      </c>
      <c r="T35" s="140" t="s">
        <v>99</v>
      </c>
      <c r="U35" s="171" t="s">
        <v>99</v>
      </c>
      <c r="V35" s="69" t="s">
        <v>99</v>
      </c>
      <c r="W35" s="54">
        <v>45789</v>
      </c>
      <c r="X35" s="345" t="s">
        <v>1592</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1590</v>
      </c>
      <c r="S36" s="43" t="s">
        <v>99</v>
      </c>
      <c r="T36" s="140" t="s">
        <v>99</v>
      </c>
      <c r="U36" s="43" t="s">
        <v>99</v>
      </c>
      <c r="V36" s="69" t="s">
        <v>99</v>
      </c>
      <c r="W36" s="54">
        <v>45824</v>
      </c>
      <c r="X36" s="345" t="s">
        <v>1592</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1590</v>
      </c>
      <c r="S37" s="43" t="s">
        <v>99</v>
      </c>
      <c r="T37" s="43" t="s">
        <v>99</v>
      </c>
      <c r="U37" s="171" t="s">
        <v>99</v>
      </c>
      <c r="V37" s="69" t="s">
        <v>99</v>
      </c>
      <c r="W37" s="157">
        <v>45789</v>
      </c>
      <c r="X37" s="69" t="s">
        <v>1592</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1590</v>
      </c>
      <c r="S38" s="43" t="s">
        <v>99</v>
      </c>
      <c r="T38" s="43" t="s">
        <v>99</v>
      </c>
      <c r="U38" s="171" t="s">
        <v>99</v>
      </c>
      <c r="V38" s="69" t="s">
        <v>99</v>
      </c>
      <c r="W38" s="54">
        <v>45789</v>
      </c>
      <c r="X38" s="69" t="s">
        <v>1592</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1590</v>
      </c>
      <c r="S39" s="43" t="s">
        <v>99</v>
      </c>
      <c r="T39" s="43" t="s">
        <v>99</v>
      </c>
      <c r="U39" s="171" t="s">
        <v>99</v>
      </c>
      <c r="V39" s="69" t="s">
        <v>99</v>
      </c>
      <c r="W39" s="54">
        <v>45789</v>
      </c>
      <c r="X39" s="69" t="s">
        <v>1592</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1592</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1592</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1592</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1592</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1592</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1592</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1592</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1592</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1592</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1592</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1592</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1592</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1590</v>
      </c>
      <c r="S57" s="43" t="s">
        <v>99</v>
      </c>
      <c r="T57" s="43" t="s">
        <v>99</v>
      </c>
      <c r="U57" s="43" t="s">
        <v>99</v>
      </c>
      <c r="V57" s="69" t="s">
        <v>99</v>
      </c>
      <c r="W57" s="54">
        <v>45813</v>
      </c>
      <c r="X57" s="69" t="s">
        <v>1592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1590</v>
      </c>
      <c r="S58" s="43" t="s">
        <v>99</v>
      </c>
      <c r="T58" s="43" t="s">
        <v>99</v>
      </c>
      <c r="U58" s="43" t="s">
        <v>99</v>
      </c>
      <c r="V58" s="345" t="s">
        <v>99</v>
      </c>
      <c r="W58" s="54">
        <v>45796</v>
      </c>
      <c r="X58" s="69" t="s">
        <v>1592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1590</v>
      </c>
      <c r="S59" s="43" t="s">
        <v>99</v>
      </c>
      <c r="T59" s="43" t="s">
        <v>99</v>
      </c>
      <c r="U59" s="43" t="s">
        <v>99</v>
      </c>
      <c r="V59" s="345" t="s">
        <v>99</v>
      </c>
      <c r="W59" s="54">
        <v>45796</v>
      </c>
      <c r="X59" s="69" t="s">
        <v>1592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1590</v>
      </c>
      <c r="S60" s="43" t="s">
        <v>99</v>
      </c>
      <c r="T60" s="43" t="s">
        <v>99</v>
      </c>
      <c r="U60" s="43" t="s">
        <v>99</v>
      </c>
      <c r="V60" s="345" t="s">
        <v>99</v>
      </c>
      <c r="W60" s="54">
        <v>45824</v>
      </c>
      <c r="X60" s="69" t="s">
        <v>1592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1594</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1590</v>
      </c>
      <c r="S81" s="43" t="s">
        <v>99</v>
      </c>
      <c r="T81" s="43" t="s">
        <v>99</v>
      </c>
      <c r="U81" s="116" t="s">
        <v>99</v>
      </c>
      <c r="V81" s="69" t="s">
        <v>99</v>
      </c>
      <c r="W81" s="54">
        <v>45789</v>
      </c>
      <c r="X81" s="69" t="s">
        <v>1592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1590</v>
      </c>
      <c r="S84" s="171" t="s">
        <v>99</v>
      </c>
      <c r="T84" s="171" t="s">
        <v>99</v>
      </c>
      <c r="U84" s="92" t="s">
        <v>99</v>
      </c>
      <c r="V84" s="69" t="s">
        <v>99</v>
      </c>
      <c r="W84" s="198">
        <v>45875</v>
      </c>
      <c r="X84" s="69" t="s">
        <v>1592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1590</v>
      </c>
      <c r="S85" s="171" t="s">
        <v>99</v>
      </c>
      <c r="T85" s="171" t="s">
        <v>99</v>
      </c>
      <c r="U85" s="92" t="s">
        <v>99</v>
      </c>
      <c r="V85" s="92" t="s">
        <v>99</v>
      </c>
      <c r="W85" s="198">
        <v>45874</v>
      </c>
      <c r="X85" s="69" t="s">
        <v>1592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1590</v>
      </c>
      <c r="S86" s="43" t="s">
        <v>99</v>
      </c>
      <c r="T86" s="43" t="s">
        <v>99</v>
      </c>
      <c r="U86" s="69" t="s">
        <v>99</v>
      </c>
      <c r="V86" s="69" t="s">
        <v>99</v>
      </c>
      <c r="W86" s="54">
        <v>45824</v>
      </c>
      <c r="X86" s="69" t="s">
        <v>1592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1590</v>
      </c>
      <c r="S91" s="69" t="s">
        <v>99</v>
      </c>
      <c r="T91" s="69" t="s">
        <v>99</v>
      </c>
      <c r="U91" s="69" t="s">
        <v>99</v>
      </c>
      <c r="V91" s="69" t="s">
        <v>99</v>
      </c>
      <c r="W91" s="54">
        <v>45831</v>
      </c>
      <c r="X91" s="69" t="s">
        <v>1592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1590</v>
      </c>
      <c r="S93" s="43" t="s">
        <v>99</v>
      </c>
      <c r="T93" s="43" t="s">
        <v>99</v>
      </c>
      <c r="U93" s="345" t="s">
        <v>99</v>
      </c>
      <c r="V93" s="69" t="s">
        <v>99</v>
      </c>
      <c r="W93" s="54">
        <v>45789</v>
      </c>
      <c r="X93" s="69" t="s">
        <v>1592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1590</v>
      </c>
      <c r="S95" s="69" t="s">
        <v>99</v>
      </c>
      <c r="T95" s="43" t="s">
        <v>99</v>
      </c>
      <c r="U95" s="69" t="s">
        <v>99</v>
      </c>
      <c r="V95" s="69" t="s">
        <v>99</v>
      </c>
      <c r="W95" s="54">
        <v>45814</v>
      </c>
      <c r="X95" s="69" t="s">
        <v>1592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1590</v>
      </c>
      <c r="S97" s="69" t="s">
        <v>99</v>
      </c>
      <c r="T97" s="69" t="s">
        <v>99</v>
      </c>
      <c r="U97" s="69" t="s">
        <v>99</v>
      </c>
      <c r="V97" s="43" t="s">
        <v>99</v>
      </c>
      <c r="W97" s="54">
        <v>45824</v>
      </c>
      <c r="X97" s="69" t="s">
        <v>1592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1590</v>
      </c>
      <c r="S99" s="43" t="s">
        <v>99</v>
      </c>
      <c r="T99" s="116" t="s">
        <v>99</v>
      </c>
      <c r="U99" s="149" t="s">
        <v>99</v>
      </c>
      <c r="V99" s="69" t="s">
        <v>99</v>
      </c>
      <c r="W99" s="54">
        <v>45814</v>
      </c>
      <c r="X99" s="69" t="s">
        <v>1592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1590</v>
      </c>
      <c r="S102" s="43" t="s">
        <v>99</v>
      </c>
      <c r="T102" s="43" t="s">
        <v>99</v>
      </c>
      <c r="U102" s="43" t="s">
        <v>99</v>
      </c>
      <c r="V102" s="166" t="s">
        <v>99</v>
      </c>
      <c r="W102" s="54">
        <v>45835</v>
      </c>
      <c r="X102" s="69" t="s">
        <v>1592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1590</v>
      </c>
      <c r="S104" s="43" t="s">
        <v>99</v>
      </c>
      <c r="T104" s="43" t="s">
        <v>99</v>
      </c>
      <c r="U104" s="43" t="s">
        <v>99</v>
      </c>
      <c r="V104" s="140" t="s">
        <v>99</v>
      </c>
      <c r="W104" s="54">
        <v>45820</v>
      </c>
      <c r="X104" s="69" t="s">
        <v>1592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1590</v>
      </c>
      <c r="S108" s="43" t="s">
        <v>99</v>
      </c>
      <c r="T108" s="43" t="s">
        <v>99</v>
      </c>
      <c r="U108" s="88" t="s">
        <v>99</v>
      </c>
      <c r="V108" s="495" t="s">
        <v>99</v>
      </c>
      <c r="W108" s="367">
        <v>45798</v>
      </c>
      <c r="X108" s="69" t="s">
        <v>1592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1590</v>
      </c>
      <c r="S109" s="43" t="s">
        <v>99</v>
      </c>
      <c r="T109" s="43" t="s">
        <v>99</v>
      </c>
      <c r="U109" s="43" t="s">
        <v>1595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1590</v>
      </c>
      <c r="S110" s="43" t="s">
        <v>99</v>
      </c>
      <c r="T110" s="43" t="s">
        <v>99</v>
      </c>
      <c r="U110" s="88" t="s">
        <v>99</v>
      </c>
      <c r="V110" s="495" t="s">
        <v>99</v>
      </c>
      <c r="W110" s="367">
        <v>45902</v>
      </c>
      <c r="X110" s="69" t="s">
        <v>1592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1590</v>
      </c>
      <c r="S111" s="43" t="s">
        <v>99</v>
      </c>
      <c r="T111" s="43" t="s">
        <v>99</v>
      </c>
      <c r="U111" s="43" t="s">
        <v>99</v>
      </c>
      <c r="V111" s="204" t="s">
        <v>99</v>
      </c>
      <c r="W111" s="168">
        <v>45790</v>
      </c>
      <c r="X111" s="69" t="s">
        <v>1592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1590</v>
      </c>
      <c r="S112" s="43" t="s">
        <v>99</v>
      </c>
      <c r="T112" s="43" t="s">
        <v>99</v>
      </c>
      <c r="U112" s="43" t="s">
        <v>99</v>
      </c>
      <c r="V112" s="204" t="s">
        <v>99</v>
      </c>
      <c r="W112" s="493">
        <v>45791</v>
      </c>
      <c r="X112" s="69" t="s">
        <v>1592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1590</v>
      </c>
      <c r="S113" s="116" t="s">
        <v>99</v>
      </c>
      <c r="T113" s="43" t="s">
        <v>99</v>
      </c>
      <c r="U113" s="43" t="s">
        <v>99</v>
      </c>
      <c r="V113" s="204" t="s">
        <v>99</v>
      </c>
      <c r="W113" s="493">
        <v>45791</v>
      </c>
      <c r="X113" s="149" t="s">
        <v>1592</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1590</v>
      </c>
      <c r="S114" s="116" t="s">
        <v>99</v>
      </c>
      <c r="T114" s="43" t="s">
        <v>99</v>
      </c>
      <c r="U114" s="158" t="s">
        <v>99</v>
      </c>
      <c r="V114" s="204" t="s">
        <v>99</v>
      </c>
      <c r="W114" s="54">
        <v>45798</v>
      </c>
      <c r="X114" s="69" t="s">
        <v>1592</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1590</v>
      </c>
      <c r="S115" s="43" t="s">
        <v>99</v>
      </c>
      <c r="T115" s="43" t="s">
        <v>99</v>
      </c>
      <c r="U115" s="43" t="s">
        <v>99</v>
      </c>
      <c r="V115" s="88" t="s">
        <v>99</v>
      </c>
      <c r="W115" s="54">
        <v>45814</v>
      </c>
      <c r="X115" s="69" t="s">
        <v>1592</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1590</v>
      </c>
      <c r="S116" s="43" t="s">
        <v>99</v>
      </c>
      <c r="T116" s="43" t="s">
        <v>99</v>
      </c>
      <c r="U116" s="43" t="s">
        <v>99</v>
      </c>
      <c r="V116" s="495" t="s">
        <v>99</v>
      </c>
      <c r="W116" s="54">
        <v>45807</v>
      </c>
      <c r="X116" s="69" t="s">
        <v>1592</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1590</v>
      </c>
      <c r="S117" s="43" t="s">
        <v>99</v>
      </c>
      <c r="T117" s="43" t="s">
        <v>99</v>
      </c>
      <c r="U117" s="43" t="s">
        <v>99</v>
      </c>
      <c r="V117" s="88" t="s">
        <v>99</v>
      </c>
      <c r="W117" s="54">
        <v>45811</v>
      </c>
      <c r="X117" s="69" t="s">
        <v>1592</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1590</v>
      </c>
      <c r="S118" s="43" t="s">
        <v>99</v>
      </c>
      <c r="T118" s="43" t="s">
        <v>99</v>
      </c>
      <c r="U118" s="158" t="s">
        <v>99</v>
      </c>
      <c r="V118" s="88" t="s">
        <v>99</v>
      </c>
      <c r="W118" s="54">
        <v>45810</v>
      </c>
      <c r="X118" s="69" t="s">
        <v>1592</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1590</v>
      </c>
      <c r="S119" s="43" t="s">
        <v>99</v>
      </c>
      <c r="T119" s="43" t="s">
        <v>99</v>
      </c>
      <c r="U119" s="158" t="s">
        <v>99</v>
      </c>
      <c r="V119" s="88" t="s">
        <v>99</v>
      </c>
      <c r="W119" s="54">
        <v>45813</v>
      </c>
      <c r="X119" s="69" t="s">
        <v>1592</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1590</v>
      </c>
      <c r="S120" s="43" t="s">
        <v>99</v>
      </c>
      <c r="T120" s="43" t="s">
        <v>99</v>
      </c>
      <c r="U120" s="43" t="s">
        <v>99</v>
      </c>
      <c r="V120" s="88" t="s">
        <v>99</v>
      </c>
      <c r="W120" s="54">
        <v>45811</v>
      </c>
      <c r="X120" s="69" t="s">
        <v>1592</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1590</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1590</v>
      </c>
      <c r="S122" s="43" t="s">
        <v>99</v>
      </c>
      <c r="T122" s="43" t="s">
        <v>99</v>
      </c>
      <c r="U122" s="158" t="s">
        <v>99</v>
      </c>
      <c r="V122" s="158" t="s">
        <v>99</v>
      </c>
      <c r="W122" s="54">
        <v>45789</v>
      </c>
      <c r="X122" s="69" t="s">
        <v>1592</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1590</v>
      </c>
      <c r="S123" s="43" t="s">
        <v>99</v>
      </c>
      <c r="T123" s="43" t="s">
        <v>99</v>
      </c>
      <c r="U123" s="43" t="s">
        <v>99</v>
      </c>
      <c r="V123" s="69" t="s">
        <v>99</v>
      </c>
      <c r="W123" s="54">
        <v>45811</v>
      </c>
      <c r="X123" s="69" t="s">
        <v>1592</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1590</v>
      </c>
      <c r="S124" s="43" t="s">
        <v>99</v>
      </c>
      <c r="T124" s="43" t="s">
        <v>99</v>
      </c>
      <c r="U124" s="43" t="s">
        <v>1595</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1590</v>
      </c>
      <c r="S125" s="43" t="s">
        <v>99</v>
      </c>
      <c r="T125" s="43" t="s">
        <v>99</v>
      </c>
      <c r="U125" s="43" t="s">
        <v>99</v>
      </c>
      <c r="V125" s="43" t="s">
        <v>99</v>
      </c>
      <c r="W125" s="54">
        <v>45814</v>
      </c>
      <c r="X125" s="69" t="s">
        <v>1592</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1590</v>
      </c>
      <c r="S126" s="43" t="s">
        <v>99</v>
      </c>
      <c r="T126" s="43" t="s">
        <v>99</v>
      </c>
      <c r="U126" s="43" t="s">
        <v>99</v>
      </c>
      <c r="V126" s="88" t="s">
        <v>99</v>
      </c>
      <c r="W126" s="54">
        <v>45819</v>
      </c>
      <c r="X126" s="69" t="s">
        <v>1592</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1590</v>
      </c>
      <c r="S127" s="43" t="s">
        <v>99</v>
      </c>
      <c r="T127" s="43" t="s">
        <v>99</v>
      </c>
      <c r="U127" s="43" t="s">
        <v>99</v>
      </c>
      <c r="V127" s="88" t="s">
        <v>99</v>
      </c>
      <c r="W127" s="54">
        <v>45812</v>
      </c>
      <c r="X127" s="69" t="s">
        <v>1592</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1590</v>
      </c>
      <c r="S128" s="43" t="s">
        <v>99</v>
      </c>
      <c r="T128" s="43" t="s">
        <v>99</v>
      </c>
      <c r="U128" s="43" t="s">
        <v>99</v>
      </c>
      <c r="V128" s="88" t="s">
        <v>99</v>
      </c>
      <c r="W128" s="168">
        <v>45883</v>
      </c>
      <c r="X128" s="69" t="s">
        <v>1592</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1590</v>
      </c>
      <c r="S129" s="43" t="s">
        <v>99</v>
      </c>
      <c r="T129" s="116" t="s">
        <v>99</v>
      </c>
      <c r="U129" s="116" t="s">
        <v>99</v>
      </c>
      <c r="V129" s="88" t="s">
        <v>99</v>
      </c>
      <c r="W129" s="168">
        <v>45814</v>
      </c>
      <c r="X129" s="69" t="s">
        <v>1592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1590</v>
      </c>
      <c r="S130" s="43" t="s">
        <v>99</v>
      </c>
      <c r="T130" s="43" t="s">
        <v>99</v>
      </c>
      <c r="U130" s="43" t="s">
        <v>99</v>
      </c>
      <c r="V130" s="88" t="s">
        <v>99</v>
      </c>
      <c r="W130" s="54">
        <v>45798</v>
      </c>
      <c r="X130" s="69" t="s">
        <v>1592</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1590</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1590</v>
      </c>
      <c r="S132" s="43" t="s">
        <v>99</v>
      </c>
      <c r="T132" s="43" t="s">
        <v>99</v>
      </c>
      <c r="U132" s="43" t="s">
        <v>99</v>
      </c>
      <c r="V132" s="43" t="s">
        <v>99</v>
      </c>
      <c r="W132" s="54">
        <v>45820</v>
      </c>
      <c r="X132" s="69" t="s">
        <v>1592</v>
      </c>
      <c r="Y132" t="e">
        <f>VLOOKUP(A132,#REF!,2,FALSE)</f>
        <v>#REF!</v>
      </c>
    </row>
    <row r="133" spans="1:25" ht="15" customHeight="1">
      <c r="A133" s="369" t="s">
        <v>643</v>
      </c>
      <c r="B133" s="420" t="s">
        <v>50</v>
      </c>
      <c r="C133" s="378">
        <v>45742</v>
      </c>
      <c r="D133" s="433" t="s">
        <v>1596</v>
      </c>
      <c r="E133" s="372"/>
      <c r="F133" s="372"/>
      <c r="G133" s="372"/>
      <c r="H133" s="372">
        <v>38</v>
      </c>
      <c r="I133" s="371"/>
      <c r="J133" s="372" t="s">
        <v>57</v>
      </c>
      <c r="K133" s="372" t="s">
        <v>57</v>
      </c>
      <c r="L133" s="372" t="s">
        <v>63</v>
      </c>
      <c r="M133" s="49" t="s">
        <v>99</v>
      </c>
      <c r="N133" s="49" t="s">
        <v>99</v>
      </c>
      <c r="O133" s="54">
        <v>45701</v>
      </c>
      <c r="P133" s="30" t="s">
        <v>99</v>
      </c>
      <c r="Q133" s="69" t="s">
        <v>99</v>
      </c>
      <c r="R133" s="43" t="s">
        <v>1590</v>
      </c>
      <c r="S133" s="43" t="s">
        <v>99</v>
      </c>
      <c r="T133" s="43" t="s">
        <v>99</v>
      </c>
      <c r="U133" s="43" t="s">
        <v>99</v>
      </c>
      <c r="V133" s="69" t="s">
        <v>99</v>
      </c>
      <c r="W133" s="54">
        <v>45821</v>
      </c>
      <c r="X133" s="69" t="s">
        <v>1592</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1590</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1590</v>
      </c>
      <c r="S135" s="43" t="s">
        <v>99</v>
      </c>
      <c r="T135" s="43" t="s">
        <v>99</v>
      </c>
      <c r="U135" s="158" t="s">
        <v>99</v>
      </c>
      <c r="V135" s="43" t="s">
        <v>99</v>
      </c>
      <c r="W135" s="54">
        <v>45819</v>
      </c>
      <c r="X135" s="69" t="s">
        <v>1592</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1590</v>
      </c>
      <c r="S136" s="43" t="s">
        <v>99</v>
      </c>
      <c r="T136" s="43" t="s">
        <v>99</v>
      </c>
      <c r="U136" s="43" t="s">
        <v>99</v>
      </c>
      <c r="V136" s="43" t="s">
        <v>99</v>
      </c>
      <c r="W136" s="54">
        <v>45791</v>
      </c>
      <c r="X136" s="69" t="s">
        <v>1592</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1590</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1590</v>
      </c>
      <c r="S138" s="43" t="s">
        <v>99</v>
      </c>
      <c r="T138" s="43" t="s">
        <v>99</v>
      </c>
      <c r="U138" s="43" t="s">
        <v>99</v>
      </c>
      <c r="V138" s="43" t="s">
        <v>99</v>
      </c>
      <c r="W138" s="54">
        <v>45790</v>
      </c>
      <c r="X138" s="69" t="s">
        <v>1592</v>
      </c>
      <c r="Y138" t="e">
        <f>VLOOKUP(A138,#REF!,2,FALSE)</f>
        <v>#REF!</v>
      </c>
    </row>
    <row r="139" spans="1:25" ht="15" customHeight="1">
      <c r="A139" s="369" t="s">
        <v>1597</v>
      </c>
      <c r="B139" s="185" t="s">
        <v>50</v>
      </c>
      <c r="C139" s="422">
        <v>45742</v>
      </c>
      <c r="D139" s="372" t="s">
        <v>1598</v>
      </c>
      <c r="E139" s="539"/>
      <c r="F139" s="372"/>
      <c r="G139" s="372"/>
      <c r="H139" s="372">
        <v>87</v>
      </c>
      <c r="I139" s="371"/>
      <c r="J139" s="372" t="s">
        <v>57</v>
      </c>
      <c r="K139" s="372" t="s">
        <v>57</v>
      </c>
      <c r="L139" s="372" t="s">
        <v>63</v>
      </c>
      <c r="M139" s="49" t="s">
        <v>99</v>
      </c>
      <c r="N139" s="30" t="s">
        <v>99</v>
      </c>
      <c r="O139" s="30" t="s">
        <v>99</v>
      </c>
      <c r="P139" s="30" t="s">
        <v>99</v>
      </c>
      <c r="Q139" s="43" t="s">
        <v>99</v>
      </c>
      <c r="R139" s="43" t="s">
        <v>1590</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1590</v>
      </c>
      <c r="S140" s="43" t="s">
        <v>99</v>
      </c>
      <c r="T140" s="43" t="s">
        <v>99</v>
      </c>
      <c r="U140" s="88" t="s">
        <v>99</v>
      </c>
      <c r="V140" s="69" t="s">
        <v>99</v>
      </c>
      <c r="W140" s="54">
        <v>45819</v>
      </c>
      <c r="X140" s="69" t="s">
        <v>1592</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1590</v>
      </c>
      <c r="S141" s="43" t="s">
        <v>99</v>
      </c>
      <c r="T141" s="43" t="s">
        <v>99</v>
      </c>
      <c r="U141" s="88" t="s">
        <v>99</v>
      </c>
      <c r="V141" s="88" t="s">
        <v>99</v>
      </c>
      <c r="W141" s="54">
        <v>45811</v>
      </c>
      <c r="X141" s="69" t="s">
        <v>1592</v>
      </c>
      <c r="Y141" t="e">
        <f>VLOOKUP(A141,#REF!,2,FALSE)</f>
        <v>#REF!</v>
      </c>
    </row>
    <row r="142" spans="1:25" ht="15" customHeight="1">
      <c r="A142" s="369" t="s">
        <v>1599</v>
      </c>
      <c r="B142" s="420" t="s">
        <v>50</v>
      </c>
      <c r="C142" s="422">
        <v>45742</v>
      </c>
      <c r="D142" s="372" t="s">
        <v>1600</v>
      </c>
      <c r="E142" s="539"/>
      <c r="F142" s="372"/>
      <c r="G142" s="372"/>
      <c r="H142" s="372">
        <v>87</v>
      </c>
      <c r="I142" s="371"/>
      <c r="J142" s="372" t="s">
        <v>57</v>
      </c>
      <c r="K142" s="372" t="s">
        <v>57</v>
      </c>
      <c r="L142" s="372" t="s">
        <v>63</v>
      </c>
      <c r="M142" s="49" t="s">
        <v>99</v>
      </c>
      <c r="N142" s="49" t="s">
        <v>99</v>
      </c>
      <c r="O142" s="198">
        <v>45691</v>
      </c>
      <c r="P142" s="30" t="s">
        <v>99</v>
      </c>
      <c r="Q142" s="69" t="s">
        <v>99</v>
      </c>
      <c r="R142" s="43" t="s">
        <v>1590</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1590</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1592</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1601</v>
      </c>
      <c r="B146" s="420" t="s">
        <v>50</v>
      </c>
      <c r="C146" s="370">
        <v>45991</v>
      </c>
      <c r="D146" s="432" t="s">
        <v>1602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1590</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1590</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1590</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1590</v>
      </c>
      <c r="S153" s="43" t="s">
        <v>99</v>
      </c>
      <c r="T153" s="158" t="s">
        <v>99</v>
      </c>
      <c r="U153" s="158" t="s">
        <v>99</v>
      </c>
      <c r="V153" s="43" t="s">
        <v>99</v>
      </c>
      <c r="W153" s="54">
        <v>45807</v>
      </c>
      <c r="X153" s="69" t="s">
        <v>1592</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1590</v>
      </c>
      <c r="S154" s="43" t="s">
        <v>99</v>
      </c>
      <c r="T154" s="158" t="s">
        <v>99</v>
      </c>
      <c r="U154" s="158" t="s">
        <v>99</v>
      </c>
      <c r="V154" s="43" t="s">
        <v>99</v>
      </c>
      <c r="W154" s="168">
        <v>45792</v>
      </c>
      <c r="X154" s="149" t="s">
        <v>1592</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1590</v>
      </c>
      <c r="S155" s="43" t="s">
        <v>99</v>
      </c>
      <c r="T155" s="43" t="s">
        <v>99</v>
      </c>
      <c r="U155" s="158" t="s">
        <v>99</v>
      </c>
      <c r="V155" s="43" t="s">
        <v>99</v>
      </c>
      <c r="W155" s="367">
        <v>45821</v>
      </c>
      <c r="X155" s="69" t="s">
        <v>1592</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1590</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1590</v>
      </c>
      <c r="S158" s="43" t="s">
        <v>99</v>
      </c>
      <c r="T158" s="43" t="s">
        <v>99</v>
      </c>
      <c r="U158" s="158" t="s">
        <v>99</v>
      </c>
      <c r="V158" s="158" t="s">
        <v>99</v>
      </c>
      <c r="W158" s="367">
        <v>45817</v>
      </c>
      <c r="X158" s="69" t="s">
        <v>1592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1592</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1592</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1592</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1592</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1603</v>
      </c>
      <c r="W2" s="3" t="s">
        <v>1604</v>
      </c>
      <c r="X2" s="3" t="s">
        <v>1604</v>
      </c>
      <c r="Y2" s="3" t="s">
        <v>1604</v>
      </c>
      <c r="Z2" s="3" t="s">
        <v>1604</v>
      </c>
      <c r="AA2" s="8" t="s">
        <v>1605</v>
      </c>
      <c r="AB2" s="67"/>
    </row>
    <row r="3" spans="1:30" ht="15.75" thickBot="1">
      <c r="A3" s="4" t="s">
        <v>330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1606</v>
      </c>
      <c r="T3" s="19" t="s">
        <v>1607</v>
      </c>
      <c r="U3" s="19" t="s">
        <v>1608</v>
      </c>
      <c r="V3" s="5" t="s">
        <v>1609</v>
      </c>
      <c r="W3" s="5" t="s">
        <v>44</v>
      </c>
      <c r="X3" s="5" t="s">
        <v>43</v>
      </c>
      <c r="Y3" s="5" t="s">
        <v>1610</v>
      </c>
      <c r="Z3" s="5" t="s">
        <v>46</v>
      </c>
      <c r="AA3" s="90" t="s">
        <v>495</v>
      </c>
      <c r="AB3" s="68" t="s">
        <v>48</v>
      </c>
    </row>
    <row r="4" spans="1:30" ht="24.75" customHeight="1" thickBot="1">
      <c r="A4" s="454" t="s">
        <v>1611</v>
      </c>
      <c r="B4" s="454" t="s">
        <v>1612</v>
      </c>
      <c r="C4" s="16">
        <v>45717</v>
      </c>
      <c r="D4" s="63" t="s">
        <v>1613</v>
      </c>
      <c r="E4" s="51">
        <v>45707</v>
      </c>
      <c r="F4" s="51" t="s">
        <v>237</v>
      </c>
      <c r="G4" s="393" t="s">
        <v>1614</v>
      </c>
      <c r="H4" s="98">
        <v>0</v>
      </c>
      <c r="I4" s="106"/>
      <c r="J4" s="76" t="s">
        <v>63</v>
      </c>
      <c r="K4" s="76" t="s">
        <v>1615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1616</v>
      </c>
    </row>
    <row r="5" spans="1:30" ht="24.75" customHeight="1" thickBot="1">
      <c r="A5" s="454" t="s">
        <v>1617</v>
      </c>
      <c r="B5" s="454" t="s">
        <v>1612</v>
      </c>
      <c r="C5" s="16">
        <v>45717</v>
      </c>
      <c r="D5" s="63" t="s">
        <v>1613</v>
      </c>
      <c r="E5" s="51">
        <v>45707</v>
      </c>
      <c r="F5" s="392" t="s">
        <v>237</v>
      </c>
      <c r="G5" s="393" t="s">
        <v>1618</v>
      </c>
      <c r="H5" s="98">
        <v>0</v>
      </c>
      <c r="I5" s="106"/>
      <c r="J5" s="76" t="s">
        <v>63</v>
      </c>
      <c r="K5" s="76" t="s">
        <v>1615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1619</v>
      </c>
      <c r="B6" s="454" t="s">
        <v>1612</v>
      </c>
      <c r="C6" s="16">
        <v>45717</v>
      </c>
      <c r="D6" s="63" t="s">
        <v>1613</v>
      </c>
      <c r="E6" s="51">
        <v>45707</v>
      </c>
      <c r="F6" s="392" t="s">
        <v>237</v>
      </c>
      <c r="G6" s="393" t="s">
        <v>1620</v>
      </c>
      <c r="H6" s="98">
        <v>0</v>
      </c>
      <c r="I6" s="106"/>
      <c r="J6" s="76" t="s">
        <v>63</v>
      </c>
      <c r="K6" s="76" t="s">
        <v>1615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1622</v>
      </c>
      <c r="B8" s="454" t="s">
        <v>1623</v>
      </c>
      <c r="C8" s="16">
        <v>45748</v>
      </c>
      <c r="D8" s="16" t="s">
        <v>1613</v>
      </c>
      <c r="E8" s="95" t="s">
        <v>52</v>
      </c>
      <c r="F8" s="96" t="s">
        <v>52</v>
      </c>
      <c r="G8" s="641" t="s">
        <v>1624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1625</v>
      </c>
      <c r="AC8" s="449"/>
      <c r="AD8" s="70"/>
    </row>
    <row r="9" spans="1:30" ht="24.75" customHeight="1">
      <c r="A9" s="463" t="s">
        <v>1626</v>
      </c>
      <c r="B9" s="463" t="s">
        <v>1627</v>
      </c>
      <c r="C9" s="23">
        <v>45741</v>
      </c>
      <c r="D9" s="16" t="s">
        <v>1613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1628</v>
      </c>
    </row>
    <row r="10" spans="1:30" ht="24.75" customHeight="1" thickBot="1">
      <c r="A10" s="26" t="s">
        <v>1629</v>
      </c>
      <c r="B10" s="26" t="s">
        <v>1627</v>
      </c>
      <c r="C10" s="27">
        <v>45741</v>
      </c>
      <c r="D10" s="16" t="s">
        <v>1613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1630</v>
      </c>
      <c r="B11" s="36" t="s">
        <v>1627</v>
      </c>
      <c r="C11" s="37">
        <v>45747</v>
      </c>
      <c r="D11" s="16" t="s">
        <v>1613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1631</v>
      </c>
      <c r="B12" s="26" t="s">
        <v>1627</v>
      </c>
      <c r="C12" s="27">
        <v>45741</v>
      </c>
      <c r="D12" s="16" t="s">
        <v>1613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1628</v>
      </c>
    </row>
    <row r="13" spans="1:30" ht="24.75" customHeight="1" thickBot="1">
      <c r="A13" s="26" t="s">
        <v>1632</v>
      </c>
      <c r="B13" s="26" t="s">
        <v>1627</v>
      </c>
      <c r="C13" s="27">
        <v>45741</v>
      </c>
      <c r="D13" s="27" t="s">
        <v>1613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1628</v>
      </c>
    </row>
    <row r="14" spans="1:30" ht="24.75" customHeight="1" thickBot="1">
      <c r="A14" s="26" t="s">
        <v>1633</v>
      </c>
      <c r="B14" s="26" t="s">
        <v>1627</v>
      </c>
      <c r="C14" s="27">
        <v>45747</v>
      </c>
      <c r="D14" s="27" t="s">
        <v>1613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1634</v>
      </c>
      <c r="B15" s="26" t="s">
        <v>1627</v>
      </c>
      <c r="C15" s="27">
        <v>45741</v>
      </c>
      <c r="D15" s="27" t="s">
        <v>1613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1628</v>
      </c>
    </row>
    <row r="16" spans="1:30" ht="24.75" customHeight="1" thickBot="1">
      <c r="A16" s="26" t="s">
        <v>1635</v>
      </c>
      <c r="B16" s="26" t="s">
        <v>1627</v>
      </c>
      <c r="C16" s="27">
        <v>45741</v>
      </c>
      <c r="D16" s="27" t="s">
        <v>1613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1628</v>
      </c>
    </row>
    <row r="17" spans="1:30" ht="24.75" customHeight="1" thickBot="1">
      <c r="A17" s="36" t="s">
        <v>1636</v>
      </c>
      <c r="B17" s="36" t="s">
        <v>1627</v>
      </c>
      <c r="C17" s="37">
        <v>45747</v>
      </c>
      <c r="D17" s="37" t="s">
        <v>1613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1637</v>
      </c>
      <c r="B18" s="385" t="s">
        <v>1627</v>
      </c>
      <c r="C18" s="51">
        <v>45717</v>
      </c>
      <c r="D18" s="27" t="s">
        <v>1613</v>
      </c>
      <c r="E18" s="85">
        <v>45700</v>
      </c>
      <c r="F18" s="51"/>
      <c r="G18" s="51" t="s">
        <v>1638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1628</v>
      </c>
    </row>
    <row r="19" spans="1:30" ht="24.75" customHeight="1" thickBot="1">
      <c r="A19" s="50" t="s">
        <v>1639</v>
      </c>
      <c r="B19" s="26" t="s">
        <v>1627</v>
      </c>
      <c r="C19" s="51">
        <v>45747</v>
      </c>
      <c r="D19" s="27" t="s">
        <v>1613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1640</v>
      </c>
    </row>
    <row r="20" spans="1:30" ht="24.75" customHeight="1" thickBot="1">
      <c r="A20" s="385" t="s">
        <v>1641</v>
      </c>
      <c r="B20" s="385" t="s">
        <v>1627</v>
      </c>
      <c r="C20" s="386">
        <v>45717</v>
      </c>
      <c r="D20" s="27" t="s">
        <v>1613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1628</v>
      </c>
    </row>
    <row r="21" spans="1:30" ht="24.75" customHeight="1" thickBot="1">
      <c r="A21" s="385" t="s">
        <v>1642</v>
      </c>
      <c r="B21" s="113" t="s">
        <v>50</v>
      </c>
      <c r="C21" s="51">
        <v>45717</v>
      </c>
      <c r="D21" s="27" t="s">
        <v>1643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1644</v>
      </c>
      <c r="B22" s="389" t="s">
        <v>50</v>
      </c>
      <c r="C22" s="51">
        <v>45717</v>
      </c>
      <c r="D22" s="51" t="s">
        <v>1643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1646</v>
      </c>
      <c r="B24" s="389" t="s">
        <v>50</v>
      </c>
      <c r="C24" s="392">
        <v>45688</v>
      </c>
      <c r="D24" s="402" t="s">
        <v>1645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1647</v>
      </c>
      <c r="B25" s="114" t="s">
        <v>50</v>
      </c>
      <c r="C25" s="51">
        <v>45747</v>
      </c>
      <c r="D25" s="51" t="s">
        <v>1643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1648</v>
      </c>
    </row>
    <row r="26" spans="1:30" ht="24.75" customHeight="1">
      <c r="A26" s="102" t="s">
        <v>1649</v>
      </c>
      <c r="B26" s="103" t="s">
        <v>50</v>
      </c>
      <c r="C26" s="77">
        <v>45716</v>
      </c>
      <c r="D26" s="26" t="s">
        <v>1645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1650</v>
      </c>
      <c r="B27" s="103" t="s">
        <v>50</v>
      </c>
      <c r="C27" s="77">
        <v>45716</v>
      </c>
      <c r="D27" s="50" t="s">
        <v>1645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1651</v>
      </c>
      <c r="B28" s="103" t="s">
        <v>50</v>
      </c>
      <c r="C28" s="77">
        <v>45717</v>
      </c>
      <c r="D28" s="51" t="s">
        <v>1643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1652</v>
      </c>
      <c r="B29" s="103" t="s">
        <v>50</v>
      </c>
      <c r="C29" s="77">
        <v>45717</v>
      </c>
      <c r="D29" s="51" t="s">
        <v>1643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1653</v>
      </c>
      <c r="B30" s="389" t="s">
        <v>50</v>
      </c>
      <c r="C30" s="51">
        <v>45717</v>
      </c>
      <c r="D30" s="51" t="s">
        <v>1643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1654</v>
      </c>
      <c r="B31" s="389" t="s">
        <v>50</v>
      </c>
      <c r="C31" s="51">
        <v>45717</v>
      </c>
      <c r="D31" s="51" t="s">
        <v>1643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1601</v>
      </c>
      <c r="B32" s="1119" t="s">
        <v>50</v>
      </c>
      <c r="C32" s="992">
        <v>45991</v>
      </c>
      <c r="D32" s="992" t="s">
        <v>60</v>
      </c>
      <c r="E32" s="1111">
        <v>45734</v>
      </c>
      <c r="F32" s="996" t="s">
        <v>61</v>
      </c>
      <c r="G32" s="1120" t="s">
        <v>1602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1655</v>
      </c>
      <c r="B33" s="1119" t="s">
        <v>50</v>
      </c>
      <c r="C33" s="992">
        <v>45991</v>
      </c>
      <c r="D33" s="996" t="s">
        <v>60</v>
      </c>
      <c r="E33" s="1111">
        <v>45743</v>
      </c>
      <c r="F33" s="996" t="s">
        <v>61</v>
      </c>
      <c r="G33" s="1120" t="s">
        <v>1656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1658</v>
      </c>
      <c r="C1" s="1153"/>
      <c r="D1" s="577"/>
      <c r="E1" s="1153" t="s">
        <v>1659</v>
      </c>
      <c r="F1" s="1153"/>
    </row>
    <row r="2" spans="1:25">
      <c r="B2" s="44" t="s">
        <v>1660</v>
      </c>
      <c r="E2" s="44" t="s">
        <v>22</v>
      </c>
      <c r="F2" t="s">
        <v>835</v>
      </c>
      <c r="P2" s="44" t="s">
        <v>27</v>
      </c>
      <c r="Q2" t="s">
        <v>1661</v>
      </c>
    </row>
    <row r="3" spans="1:25">
      <c r="B3" s="44" t="s">
        <v>22</v>
      </c>
      <c r="C3" t="s">
        <v>841</v>
      </c>
      <c r="K3" s="44" t="s">
        <v>1662</v>
      </c>
      <c r="L3" t="s">
        <v>1663</v>
      </c>
      <c r="P3" s="44" t="s">
        <v>1662</v>
      </c>
      <c r="Q3" t="s">
        <v>1663</v>
      </c>
    </row>
    <row r="4" spans="1:25">
      <c r="B4" t="s">
        <v>133</v>
      </c>
      <c r="C4" s="1157">
        <v>122681</v>
      </c>
      <c r="E4" s="44" t="s">
        <v>1660</v>
      </c>
      <c r="F4" t="s">
        <v>841</v>
      </c>
      <c r="W4" t="s">
        <v>1664</v>
      </c>
      <c r="X4">
        <v>22</v>
      </c>
    </row>
    <row r="5" spans="1:25">
      <c r="B5" t="s">
        <v>60</v>
      </c>
      <c r="C5" s="1157">
        <v>55756</v>
      </c>
      <c r="E5" t="s">
        <v>841</v>
      </c>
      <c r="F5" s="1157">
        <v>206400</v>
      </c>
      <c r="K5" s="44" t="s">
        <v>1665</v>
      </c>
      <c r="P5" s="44" t="s">
        <v>1665</v>
      </c>
      <c r="W5" t="s">
        <v>1666</v>
      </c>
      <c r="X5">
        <v>13</v>
      </c>
    </row>
    <row r="6" spans="1:25">
      <c r="B6" t="s">
        <v>101</v>
      </c>
      <c r="C6" s="1157">
        <v>22387</v>
      </c>
      <c r="K6" s="44" t="s">
        <v>27</v>
      </c>
      <c r="L6" s="44" t="s">
        <v>1667</v>
      </c>
      <c r="M6" t="s">
        <v>841</v>
      </c>
      <c r="P6" s="44" t="s">
        <v>1668</v>
      </c>
      <c r="Q6" s="44" t="s">
        <v>1667</v>
      </c>
      <c r="R6" t="s">
        <v>841</v>
      </c>
    </row>
    <row r="7" spans="1:25">
      <c r="B7" t="s">
        <v>867</v>
      </c>
      <c r="C7" s="1157">
        <v>330514</v>
      </c>
      <c r="K7" t="s">
        <v>1661</v>
      </c>
      <c r="L7" t="s">
        <v>501</v>
      </c>
      <c r="M7" s="1157">
        <v>1</v>
      </c>
      <c r="P7" t="s">
        <v>1669</v>
      </c>
      <c r="R7" s="1157">
        <v>1</v>
      </c>
      <c r="X7" t="s">
        <v>1670</v>
      </c>
      <c r="Y7" t="s">
        <v>1671</v>
      </c>
    </row>
    <row r="8" spans="1:25">
      <c r="B8" t="s">
        <v>211</v>
      </c>
      <c r="C8" s="1157">
        <v>5576</v>
      </c>
      <c r="L8" t="s">
        <v>503</v>
      </c>
      <c r="M8" s="1157">
        <v>1</v>
      </c>
      <c r="P8" t="s">
        <v>1672</v>
      </c>
      <c r="R8" s="1157">
        <v>1</v>
      </c>
      <c r="V8" t="s">
        <v>1673</v>
      </c>
      <c r="W8" s="261">
        <v>203521</v>
      </c>
      <c r="X8" s="317">
        <f>X5/X4</f>
        <v>0.59090909090909094</v>
      </c>
      <c r="Y8" s="317">
        <f>W9/W8</f>
        <v>0.31446386367991508</v>
      </c>
    </row>
    <row r="9" spans="1:25">
      <c r="B9" t="s">
        <v>51</v>
      </c>
      <c r="C9" s="1157">
        <v>0</v>
      </c>
      <c r="L9" t="s">
        <v>1674</v>
      </c>
      <c r="M9" s="1157">
        <v>1</v>
      </c>
      <c r="P9" t="s">
        <v>1675</v>
      </c>
      <c r="Q9" t="s">
        <v>1674</v>
      </c>
      <c r="R9" s="1157">
        <v>1</v>
      </c>
      <c r="V9" t="s">
        <v>1676</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36324</v>
      </c>
      <c r="L12" t="s">
        <v>477</v>
      </c>
      <c r="M12" s="1157">
        <v>1</v>
      </c>
      <c r="Q12" t="s">
        <v>1677</v>
      </c>
      <c r="R12" s="1157">
        <v>1</v>
      </c>
    </row>
    <row r="13" spans="1:25">
      <c r="B13" t="s">
        <v>150</v>
      </c>
      <c r="C13" s="1157">
        <v>13965</v>
      </c>
      <c r="L13" t="s">
        <v>1678</v>
      </c>
      <c r="M13" s="1157">
        <v>1</v>
      </c>
      <c r="Q13" t="s">
        <v>788</v>
      </c>
      <c r="R13" s="1157">
        <v>1</v>
      </c>
    </row>
    <row r="14" spans="1:25">
      <c r="B14" t="s">
        <v>208</v>
      </c>
      <c r="C14" s="1157">
        <v>16290</v>
      </c>
      <c r="L14" t="s">
        <v>614</v>
      </c>
      <c r="M14" s="1157">
        <v>1</v>
      </c>
      <c r="P14" t="s">
        <v>1679</v>
      </c>
      <c r="R14" s="1157">
        <v>5</v>
      </c>
    </row>
    <row r="15" spans="1:25">
      <c r="B15" t="s">
        <v>96</v>
      </c>
      <c r="C15" s="1157">
        <v>7655</v>
      </c>
      <c r="L15" t="s">
        <v>1677</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633954</v>
      </c>
      <c r="L18" t="s">
        <v>622</v>
      </c>
      <c r="M18" s="1157">
        <v>1</v>
      </c>
    </row>
    <row r="19" spans="2:13">
      <c r="L19" t="s">
        <v>626</v>
      </c>
      <c r="M19" s="1157">
        <v>1</v>
      </c>
    </row>
    <row r="20" spans="2:13">
      <c r="L20" t="s">
        <v>786</v>
      </c>
      <c r="M20" s="1157">
        <v>1</v>
      </c>
    </row>
    <row r="21" spans="2:13">
      <c r="L21" t="s">
        <v>1680</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1681</v>
      </c>
      <c r="M26" s="1157">
        <v>19</v>
      </c>
    </row>
    <row r="27" spans="2:13">
      <c r="K27" t="s">
        <v>1682</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1683</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1684</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1685</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1686</v>
      </c>
      <c r="S2" s="3" t="s">
        <v>1603</v>
      </c>
      <c r="T2" s="268" t="s">
        <v>1604</v>
      </c>
      <c r="U2" s="268" t="s">
        <v>1604</v>
      </c>
      <c r="V2" s="268" t="s">
        <v>1604</v>
      </c>
      <c r="W2" s="268" t="s">
        <v>1604</v>
      </c>
      <c r="X2" s="268" t="s">
        <v>1605</v>
      </c>
      <c r="Y2" s="268" t="s">
        <v>1687</v>
      </c>
    </row>
    <row r="3" spans="1:26" ht="15.75" thickBot="1">
      <c r="A3" s="267" t="s">
        <v>1667</v>
      </c>
      <c r="B3" s="263" t="s">
        <v>20</v>
      </c>
      <c r="C3" s="263" t="s">
        <v>1688</v>
      </c>
      <c r="D3" s="263" t="s">
        <v>26</v>
      </c>
      <c r="E3" s="263" t="s">
        <v>1662</v>
      </c>
      <c r="F3" s="263" t="s">
        <v>1689</v>
      </c>
      <c r="G3" s="263" t="s">
        <v>27</v>
      </c>
      <c r="H3" s="211" t="s">
        <v>28</v>
      </c>
      <c r="I3" s="211" t="s">
        <v>1690</v>
      </c>
      <c r="J3" s="211" t="s">
        <v>1691</v>
      </c>
      <c r="K3" s="211" t="s">
        <v>1692</v>
      </c>
      <c r="L3" s="211" t="s">
        <v>1592</v>
      </c>
      <c r="M3" s="211" t="s">
        <v>1693</v>
      </c>
      <c r="N3" s="211" t="s">
        <v>1694</v>
      </c>
      <c r="O3" s="210" t="s">
        <v>1608</v>
      </c>
      <c r="P3" s="264" t="s">
        <v>1668</v>
      </c>
      <c r="Q3" s="265" t="s">
        <v>34</v>
      </c>
      <c r="R3" s="265" t="s">
        <v>1690</v>
      </c>
      <c r="S3" s="5" t="s">
        <v>1609</v>
      </c>
      <c r="T3" s="265" t="s">
        <v>1695</v>
      </c>
      <c r="U3" s="265" t="s">
        <v>43</v>
      </c>
      <c r="V3" s="265" t="s">
        <v>1610</v>
      </c>
      <c r="W3" s="265" t="s">
        <v>46</v>
      </c>
      <c r="X3" s="265" t="s">
        <v>495</v>
      </c>
      <c r="Y3" s="265" t="s">
        <v>1696</v>
      </c>
      <c r="Z3" s="316" t="s">
        <v>1697</v>
      </c>
    </row>
    <row r="4" spans="1:26" ht="15.75" thickBot="1">
      <c r="A4" s="122" t="s">
        <v>80</v>
      </c>
      <c r="B4" s="103" t="s">
        <v>50</v>
      </c>
      <c r="C4" s="77">
        <v>45807</v>
      </c>
      <c r="D4" s="272"/>
      <c r="E4" s="273" t="s">
        <v>1698</v>
      </c>
      <c r="F4" s="272"/>
      <c r="G4" s="274" t="s">
        <v>1661</v>
      </c>
      <c r="H4" s="272"/>
      <c r="I4" s="272"/>
      <c r="J4" s="275"/>
      <c r="K4" s="209"/>
      <c r="L4" s="209"/>
      <c r="M4" s="209"/>
      <c r="N4" s="276"/>
      <c r="O4" s="277"/>
      <c r="P4" s="278" t="s">
        <v>1699</v>
      </c>
      <c r="Q4" s="279" t="s">
        <v>64</v>
      </c>
      <c r="R4" s="132" t="s">
        <v>1700</v>
      </c>
      <c r="S4" s="132"/>
      <c r="T4" s="280"/>
      <c r="U4" s="281"/>
      <c r="V4" s="281"/>
      <c r="W4" s="281"/>
      <c r="X4" s="281"/>
      <c r="Y4" s="281"/>
      <c r="Z4" t="e">
        <f>VLOOKUP(A4,#REF!,9,FALSE)</f>
        <v>#REF!</v>
      </c>
    </row>
    <row r="5" spans="1:26" ht="15.75" thickBot="1">
      <c r="A5" s="282" t="s">
        <v>1601</v>
      </c>
      <c r="B5" s="103" t="s">
        <v>50</v>
      </c>
      <c r="C5" s="219">
        <v>45807</v>
      </c>
      <c r="D5" s="272"/>
      <c r="E5" s="273" t="s">
        <v>1698</v>
      </c>
      <c r="F5" s="272"/>
      <c r="G5" s="274" t="s">
        <v>1661</v>
      </c>
      <c r="H5" s="272"/>
      <c r="I5" s="272"/>
      <c r="J5" s="283"/>
      <c r="K5" s="209"/>
      <c r="L5" s="209"/>
      <c r="M5" s="209"/>
      <c r="N5" s="276"/>
      <c r="O5" s="277"/>
      <c r="P5" s="278" t="s">
        <v>1699</v>
      </c>
      <c r="Q5" s="279" t="s">
        <v>64</v>
      </c>
      <c r="R5" s="132" t="s">
        <v>1700</v>
      </c>
      <c r="S5" s="132"/>
      <c r="T5" s="280"/>
      <c r="U5" s="281"/>
      <c r="V5" s="281"/>
      <c r="W5" s="281"/>
      <c r="X5" s="281"/>
      <c r="Y5" s="281"/>
      <c r="Z5" t="e">
        <f>VLOOKUP(A5,#REF!,9,FALSE)</f>
        <v>#REF!</v>
      </c>
    </row>
    <row r="6" spans="1:26" ht="15.75" thickBot="1">
      <c r="A6" s="122" t="s">
        <v>864</v>
      </c>
      <c r="B6" s="103" t="s">
        <v>50</v>
      </c>
      <c r="C6" s="219">
        <v>45807</v>
      </c>
      <c r="D6" s="272"/>
      <c r="E6" s="273" t="s">
        <v>1698</v>
      </c>
      <c r="F6" s="272"/>
      <c r="G6" s="274" t="s">
        <v>1661</v>
      </c>
      <c r="H6" s="272"/>
      <c r="I6" s="272"/>
      <c r="J6" s="283"/>
      <c r="K6" s="209"/>
      <c r="L6" s="209"/>
      <c r="M6" s="209"/>
      <c r="N6" s="276"/>
      <c r="O6" s="277"/>
      <c r="P6" s="278" t="s">
        <v>1699</v>
      </c>
      <c r="Q6" s="279" t="s">
        <v>64</v>
      </c>
      <c r="R6" s="132" t="s">
        <v>1700</v>
      </c>
      <c r="S6" s="132"/>
      <c r="T6" s="280"/>
      <c r="U6" s="281"/>
      <c r="V6" s="281"/>
      <c r="W6" s="281"/>
      <c r="X6" s="281"/>
      <c r="Y6" s="281"/>
      <c r="Z6" t="e">
        <f>VLOOKUP(A6,#REF!,9,FALSE)</f>
        <v>#REF!</v>
      </c>
    </row>
    <row r="7" spans="1:26" ht="15.75" thickBot="1">
      <c r="A7" s="122" t="s">
        <v>881</v>
      </c>
      <c r="B7" s="103" t="s">
        <v>50</v>
      </c>
      <c r="C7" s="219">
        <v>45807</v>
      </c>
      <c r="D7" s="272"/>
      <c r="E7" s="273" t="s">
        <v>1698</v>
      </c>
      <c r="F7" s="272"/>
      <c r="G7" s="274" t="s">
        <v>1661</v>
      </c>
      <c r="H7" s="272"/>
      <c r="I7" s="272"/>
      <c r="J7" s="283"/>
      <c r="K7" s="209"/>
      <c r="L7" s="209"/>
      <c r="M7" s="209"/>
      <c r="N7" s="276"/>
      <c r="O7" s="277"/>
      <c r="P7" s="278" t="s">
        <v>1699</v>
      </c>
      <c r="Q7" s="279" t="s">
        <v>64</v>
      </c>
      <c r="R7" s="132" t="s">
        <v>1700</v>
      </c>
      <c r="S7" s="132"/>
      <c r="T7" s="280"/>
      <c r="U7" s="281"/>
      <c r="V7" s="281"/>
      <c r="W7" s="281"/>
      <c r="X7" s="281"/>
      <c r="Y7" s="281"/>
      <c r="Z7" t="e">
        <f>VLOOKUP(A7,#REF!,9,FALSE)</f>
        <v>#REF!</v>
      </c>
    </row>
    <row r="8" spans="1:26" ht="15.75" thickBot="1">
      <c r="A8" s="282" t="s">
        <v>1701</v>
      </c>
      <c r="B8" s="103" t="s">
        <v>50</v>
      </c>
      <c r="C8" s="219">
        <v>45807</v>
      </c>
      <c r="D8" s="272"/>
      <c r="E8" s="273" t="s">
        <v>1698</v>
      </c>
      <c r="F8" s="272"/>
      <c r="G8" s="274" t="s">
        <v>1661</v>
      </c>
      <c r="H8" s="272"/>
      <c r="I8" s="272"/>
      <c r="J8" s="283"/>
      <c r="K8" s="209"/>
      <c r="L8" s="209"/>
      <c r="M8" s="209"/>
      <c r="N8" s="276"/>
      <c r="O8" s="277"/>
      <c r="P8" s="278" t="s">
        <v>1672</v>
      </c>
      <c r="Q8" s="279" t="s">
        <v>1702</v>
      </c>
      <c r="R8" s="132" t="s">
        <v>1703</v>
      </c>
      <c r="S8" s="132"/>
      <c r="T8" s="280"/>
      <c r="U8" s="281"/>
      <c r="V8" s="281"/>
      <c r="W8" s="281"/>
      <c r="X8" s="281"/>
      <c r="Y8" s="281"/>
      <c r="Z8" t="e">
        <f>VLOOKUP(A8,#REF!,9,FALSE)</f>
        <v>#REF!</v>
      </c>
    </row>
    <row r="9" spans="1:26" ht="15.75" thickBot="1">
      <c r="A9" s="122" t="s">
        <v>890</v>
      </c>
      <c r="B9" s="103" t="s">
        <v>50</v>
      </c>
      <c r="C9" s="219">
        <v>45807</v>
      </c>
      <c r="D9" s="284"/>
      <c r="E9" s="273" t="s">
        <v>1698</v>
      </c>
      <c r="F9" s="284"/>
      <c r="G9" s="285" t="s">
        <v>1661</v>
      </c>
      <c r="H9" s="272"/>
      <c r="I9" s="272"/>
      <c r="J9" s="283"/>
      <c r="K9" s="209"/>
      <c r="L9" s="209"/>
      <c r="M9" s="209"/>
      <c r="N9" s="276"/>
      <c r="O9" s="277"/>
      <c r="P9" s="278" t="s">
        <v>1699</v>
      </c>
      <c r="Q9" s="279" t="s">
        <v>64</v>
      </c>
      <c r="R9" s="132" t="s">
        <v>1700</v>
      </c>
      <c r="S9" s="132"/>
      <c r="T9" s="280"/>
      <c r="U9" s="281"/>
      <c r="V9" s="281"/>
      <c r="W9" s="281"/>
      <c r="X9" s="281"/>
      <c r="Y9" s="281"/>
      <c r="Z9" t="e">
        <f>VLOOKUP(A9,#REF!,9,FALSE)</f>
        <v>#REF!</v>
      </c>
    </row>
    <row r="10" spans="1:26" ht="15.75" thickBot="1">
      <c r="A10" s="122" t="s">
        <v>866</v>
      </c>
      <c r="B10" s="103" t="s">
        <v>50</v>
      </c>
      <c r="C10" s="219" t="e">
        <v>#N/A</v>
      </c>
      <c r="D10" s="286"/>
      <c r="E10" s="273" t="s">
        <v>1698</v>
      </c>
      <c r="F10" s="286"/>
      <c r="G10" s="287" t="s">
        <v>1661</v>
      </c>
      <c r="H10" s="234"/>
      <c r="I10" s="234"/>
      <c r="J10" s="45"/>
      <c r="K10" s="208"/>
      <c r="L10" s="208"/>
      <c r="M10" s="208"/>
      <c r="N10" s="288"/>
      <c r="O10" s="289"/>
      <c r="P10" s="278" t="s">
        <v>1699</v>
      </c>
      <c r="Q10" s="279" t="s">
        <v>58</v>
      </c>
      <c r="R10" s="132" t="s">
        <v>1700</v>
      </c>
      <c r="S10" s="132"/>
      <c r="T10" s="280"/>
      <c r="U10" s="281"/>
      <c r="V10" s="281"/>
      <c r="W10" s="281"/>
      <c r="X10" s="281"/>
      <c r="Y10" s="281"/>
      <c r="Z10" t="e">
        <f>VLOOKUP(A10,#REF!,9,FALSE)</f>
        <v>#REF!</v>
      </c>
    </row>
    <row r="11" spans="1:26" ht="15.75" thickBot="1">
      <c r="A11" s="122" t="s">
        <v>83</v>
      </c>
      <c r="B11" s="103" t="s">
        <v>50</v>
      </c>
      <c r="C11" s="219">
        <v>45807</v>
      </c>
      <c r="D11" s="286"/>
      <c r="E11" s="273" t="s">
        <v>1698</v>
      </c>
      <c r="F11" s="286"/>
      <c r="G11" s="287" t="s">
        <v>1661</v>
      </c>
      <c r="H11" s="234"/>
      <c r="I11" s="234"/>
      <c r="J11" s="45"/>
      <c r="K11" s="208"/>
      <c r="L11" s="208"/>
      <c r="M11" s="208"/>
      <c r="N11" s="288"/>
      <c r="O11" s="289"/>
      <c r="P11" s="278" t="s">
        <v>1699</v>
      </c>
      <c r="Q11" s="279" t="s">
        <v>64</v>
      </c>
      <c r="R11" s="132" t="s">
        <v>1700</v>
      </c>
      <c r="S11" s="132"/>
      <c r="T11" s="280"/>
      <c r="U11" s="281"/>
      <c r="V11" s="281"/>
      <c r="W11" s="281"/>
      <c r="X11" s="281"/>
      <c r="Y11" s="281"/>
      <c r="Z11" t="e">
        <f>VLOOKUP(A11,#REF!,9,FALSE)</f>
        <v>#REF!</v>
      </c>
    </row>
    <row r="12" spans="1:26" ht="15.75" thickBot="1">
      <c r="A12" s="122" t="s">
        <v>862</v>
      </c>
      <c r="B12" s="103" t="s">
        <v>50</v>
      </c>
      <c r="C12" s="219" t="e">
        <v>#N/A</v>
      </c>
      <c r="D12" s="286"/>
      <c r="E12" s="273" t="s">
        <v>1698</v>
      </c>
      <c r="F12" s="286"/>
      <c r="G12" s="287" t="s">
        <v>1661</v>
      </c>
      <c r="H12" s="234"/>
      <c r="I12" s="234"/>
      <c r="J12" s="45"/>
      <c r="K12" s="208"/>
      <c r="L12" s="208"/>
      <c r="M12" s="208"/>
      <c r="N12" s="288"/>
      <c r="O12" s="289"/>
      <c r="P12" s="278" t="s">
        <v>1699</v>
      </c>
      <c r="Q12" s="279" t="s">
        <v>64</v>
      </c>
      <c r="R12" s="132" t="s">
        <v>1700</v>
      </c>
      <c r="S12" s="132"/>
      <c r="T12" s="280"/>
      <c r="U12" s="281"/>
      <c r="V12" s="281"/>
      <c r="W12" s="281"/>
      <c r="X12" s="281"/>
      <c r="Y12" s="281"/>
      <c r="Z12" t="e">
        <f>VLOOKUP(A12,#REF!,9,FALSE)</f>
        <v>#REF!</v>
      </c>
    </row>
    <row r="13" spans="1:26" ht="15.75" thickBot="1">
      <c r="A13" s="122" t="s">
        <v>888</v>
      </c>
      <c r="B13" s="103" t="s">
        <v>50</v>
      </c>
      <c r="C13" s="219" t="e">
        <v>#N/A</v>
      </c>
      <c r="D13" s="286"/>
      <c r="E13" s="273" t="s">
        <v>1698</v>
      </c>
      <c r="F13" s="286"/>
      <c r="G13" s="287" t="s">
        <v>1661</v>
      </c>
      <c r="H13" s="234"/>
      <c r="I13" s="234"/>
      <c r="J13" s="45"/>
      <c r="K13" s="208"/>
      <c r="L13" s="208"/>
      <c r="M13" s="208"/>
      <c r="N13" s="288"/>
      <c r="O13" s="289"/>
      <c r="P13" s="278" t="s">
        <v>1699</v>
      </c>
      <c r="Q13" s="279" t="s">
        <v>64</v>
      </c>
      <c r="R13" s="132" t="s">
        <v>1700</v>
      </c>
      <c r="S13" s="132"/>
      <c r="T13" s="280"/>
      <c r="U13" s="281"/>
      <c r="V13" s="281"/>
      <c r="W13" s="281"/>
      <c r="X13" s="281"/>
      <c r="Y13" s="281"/>
      <c r="Z13" t="e">
        <f>VLOOKUP(A13,#REF!,9,FALSE)</f>
        <v>#REF!</v>
      </c>
    </row>
    <row r="14" spans="1:26" ht="15.75" thickBot="1">
      <c r="A14" s="282" t="s">
        <v>377</v>
      </c>
      <c r="B14" s="103" t="s">
        <v>50</v>
      </c>
      <c r="C14" s="219">
        <v>45807</v>
      </c>
      <c r="D14" s="286"/>
      <c r="E14" s="273" t="s">
        <v>1698</v>
      </c>
      <c r="F14" s="286"/>
      <c r="G14" s="287" t="s">
        <v>1661</v>
      </c>
      <c r="H14" s="234"/>
      <c r="I14" s="234"/>
      <c r="J14" s="45"/>
      <c r="K14" s="208"/>
      <c r="L14" s="208"/>
      <c r="M14" s="208"/>
      <c r="N14" s="288"/>
      <c r="O14" s="289"/>
      <c r="P14" s="278" t="s">
        <v>1699</v>
      </c>
      <c r="Q14" s="279" t="s">
        <v>64</v>
      </c>
      <c r="R14" s="132" t="s">
        <v>1700</v>
      </c>
      <c r="S14" s="132"/>
      <c r="T14" s="280"/>
      <c r="U14" s="281"/>
      <c r="V14" s="281"/>
      <c r="W14" s="281"/>
      <c r="X14" s="281"/>
      <c r="Y14" s="281"/>
      <c r="Z14" t="e">
        <f>VLOOKUP(A14,#REF!,9,FALSE)</f>
        <v>#REF!</v>
      </c>
    </row>
    <row r="15" spans="1:26" ht="15.75" thickBot="1">
      <c r="A15" s="122" t="s">
        <v>865</v>
      </c>
      <c r="B15" s="103" t="s">
        <v>50</v>
      </c>
      <c r="C15" s="219" t="e">
        <v>#N/A</v>
      </c>
      <c r="D15" s="286"/>
      <c r="E15" s="273" t="s">
        <v>1698</v>
      </c>
      <c r="F15" s="286"/>
      <c r="G15" s="287" t="s">
        <v>1661</v>
      </c>
      <c r="H15" s="234"/>
      <c r="I15" s="234"/>
      <c r="J15" s="45"/>
      <c r="K15" s="208"/>
      <c r="L15" s="208"/>
      <c r="M15" s="208"/>
      <c r="N15" s="288"/>
      <c r="O15" s="289"/>
      <c r="P15" s="278" t="s">
        <v>1699</v>
      </c>
      <c r="Q15" s="279" t="s">
        <v>64</v>
      </c>
      <c r="R15" s="132" t="s">
        <v>1700</v>
      </c>
      <c r="S15" s="132"/>
      <c r="T15" s="280"/>
      <c r="U15" s="281"/>
      <c r="V15" s="281"/>
      <c r="W15" s="281"/>
      <c r="X15" s="281"/>
      <c r="Y15" s="281"/>
      <c r="Z15" t="e">
        <f>VLOOKUP(A15,#REF!,9,FALSE)</f>
        <v>#REF!</v>
      </c>
    </row>
    <row r="16" spans="1:26" ht="15.75" thickBot="1">
      <c r="A16" s="290" t="s">
        <v>1704</v>
      </c>
      <c r="B16" s="103" t="s">
        <v>50</v>
      </c>
      <c r="C16" s="219" t="e">
        <v>#N/A</v>
      </c>
      <c r="D16" s="286"/>
      <c r="E16" s="273" t="s">
        <v>1698</v>
      </c>
      <c r="F16" s="286"/>
      <c r="G16" s="287" t="s">
        <v>1661</v>
      </c>
      <c r="H16" s="234"/>
      <c r="I16" s="234"/>
      <c r="J16" s="45"/>
      <c r="K16" s="208"/>
      <c r="L16" s="208"/>
      <c r="M16" s="208"/>
      <c r="N16" s="288"/>
      <c r="O16" s="289"/>
      <c r="P16" s="278" t="s">
        <v>1699</v>
      </c>
      <c r="Q16" s="279" t="s">
        <v>64</v>
      </c>
      <c r="R16" s="132" t="s">
        <v>1700</v>
      </c>
      <c r="S16" s="132"/>
      <c r="T16" s="280"/>
      <c r="U16" s="281"/>
      <c r="V16" s="281"/>
      <c r="W16" s="281"/>
      <c r="X16" s="281"/>
      <c r="Y16" s="281"/>
      <c r="Z16" t="e">
        <f>VLOOKUP(A16,#REF!,9,FALSE)</f>
        <v>#REF!</v>
      </c>
    </row>
    <row r="17" spans="1:26" ht="15.75" thickBot="1">
      <c r="A17" s="279" t="s">
        <v>682</v>
      </c>
      <c r="B17" s="103" t="s">
        <v>50</v>
      </c>
      <c r="C17" s="219" t="e">
        <v>#N/A</v>
      </c>
      <c r="D17" s="286"/>
      <c r="E17" s="273" t="s">
        <v>1663</v>
      </c>
      <c r="F17" s="286"/>
      <c r="G17" s="287" t="s">
        <v>1661</v>
      </c>
      <c r="H17" s="234"/>
      <c r="I17" s="234"/>
      <c r="J17" s="45"/>
      <c r="K17" s="208"/>
      <c r="L17" s="208"/>
      <c r="M17" s="208"/>
      <c r="N17" s="288"/>
      <c r="O17" s="289"/>
      <c r="P17" s="278"/>
      <c r="Q17" s="279" t="s">
        <v>64</v>
      </c>
      <c r="R17" s="132" t="s">
        <v>1700</v>
      </c>
      <c r="S17" s="132"/>
      <c r="T17" s="280"/>
      <c r="U17" s="281"/>
      <c r="V17" s="281"/>
      <c r="W17" s="281"/>
      <c r="X17" s="281"/>
      <c r="Y17" s="281"/>
      <c r="Z17" t="e">
        <f>VLOOKUP(A17,#REF!,9,FALSE)</f>
        <v>#REF!</v>
      </c>
    </row>
    <row r="18" spans="1:26" ht="15.75" thickBot="1">
      <c r="A18" s="279" t="s">
        <v>654</v>
      </c>
      <c r="B18" s="103" t="s">
        <v>50</v>
      </c>
      <c r="C18" s="219">
        <v>45807</v>
      </c>
      <c r="D18" s="286"/>
      <c r="E18" s="273" t="s">
        <v>1663</v>
      </c>
      <c r="F18" s="286"/>
      <c r="G18" s="287" t="s">
        <v>1661</v>
      </c>
      <c r="H18" s="234"/>
      <c r="I18" s="234"/>
      <c r="J18" s="45"/>
      <c r="K18" s="208"/>
      <c r="L18" s="208"/>
      <c r="M18" s="208"/>
      <c r="N18" s="288"/>
      <c r="O18" s="289"/>
      <c r="P18" s="278" t="s">
        <v>1669</v>
      </c>
      <c r="Q18" s="279"/>
      <c r="R18" s="132" t="s">
        <v>1700</v>
      </c>
      <c r="S18" s="132"/>
      <c r="T18" s="280"/>
      <c r="U18" s="281"/>
      <c r="V18" s="281"/>
      <c r="W18" s="281"/>
      <c r="X18" s="281"/>
      <c r="Y18" s="281"/>
      <c r="Z18" t="e">
        <f>VLOOKUP(A18,#REF!,9,FALSE)</f>
        <v>#REF!</v>
      </c>
    </row>
    <row r="19" spans="1:26" ht="15.75" thickBot="1">
      <c r="A19" s="279" t="s">
        <v>657</v>
      </c>
      <c r="B19" s="103" t="s">
        <v>50</v>
      </c>
      <c r="C19" s="219" t="e">
        <v>#N/A</v>
      </c>
      <c r="D19" s="286"/>
      <c r="E19" s="273" t="s">
        <v>1663</v>
      </c>
      <c r="F19" s="286"/>
      <c r="G19" s="287" t="s">
        <v>1682</v>
      </c>
      <c r="H19" s="234"/>
      <c r="I19" s="234"/>
      <c r="J19" s="45"/>
      <c r="K19" s="208"/>
      <c r="L19" s="208"/>
      <c r="M19" s="208"/>
      <c r="N19" s="288"/>
      <c r="O19" s="289"/>
      <c r="P19" s="278"/>
      <c r="Q19" s="279" t="s">
        <v>1682</v>
      </c>
      <c r="R19" s="132" t="s">
        <v>1700</v>
      </c>
      <c r="S19" s="132"/>
      <c r="T19" s="280"/>
      <c r="U19" s="281"/>
      <c r="V19" s="281"/>
      <c r="W19" s="281"/>
      <c r="X19" s="281"/>
      <c r="Y19" s="281"/>
      <c r="Z19" t="e">
        <f>VLOOKUP(A19,#REF!,9,FALSE)</f>
        <v>#REF!</v>
      </c>
    </row>
    <row r="20" spans="1:26" ht="15.75" thickBot="1">
      <c r="A20" s="279" t="s">
        <v>608</v>
      </c>
      <c r="B20" s="103" t="s">
        <v>50</v>
      </c>
      <c r="C20" s="219" t="e">
        <v>#N/A</v>
      </c>
      <c r="D20" s="286"/>
      <c r="E20" s="273" t="s">
        <v>1663</v>
      </c>
      <c r="F20" s="286"/>
      <c r="G20" s="287" t="s">
        <v>1682</v>
      </c>
      <c r="H20" s="234"/>
      <c r="I20" s="234"/>
      <c r="J20" s="45"/>
      <c r="K20" s="208"/>
      <c r="L20" s="208"/>
      <c r="M20" s="208"/>
      <c r="N20" s="288"/>
      <c r="O20" s="289"/>
      <c r="P20" s="278"/>
      <c r="Q20" s="279" t="s">
        <v>1682</v>
      </c>
      <c r="R20" s="132" t="s">
        <v>1700</v>
      </c>
      <c r="S20" s="132"/>
      <c r="T20" s="280"/>
      <c r="U20" s="281"/>
      <c r="V20" s="281"/>
      <c r="W20" s="281"/>
      <c r="X20" s="281"/>
      <c r="Y20" s="281"/>
      <c r="Z20" t="e">
        <f>VLOOKUP(A20,#REF!,9,FALSE)</f>
        <v>#REF!</v>
      </c>
    </row>
    <row r="21" spans="1:26" s="218" customFormat="1" ht="15.75" thickBot="1">
      <c r="A21" s="266" t="s">
        <v>1678</v>
      </c>
      <c r="B21" s="103" t="e">
        <v>#N/A</v>
      </c>
      <c r="C21" s="235">
        <v>45807</v>
      </c>
      <c r="D21" s="286"/>
      <c r="E21" s="273" t="s">
        <v>1663</v>
      </c>
      <c r="F21" s="286"/>
      <c r="G21" s="287" t="s">
        <v>1661</v>
      </c>
      <c r="H21" s="234"/>
      <c r="I21" s="234"/>
      <c r="J21" s="234"/>
      <c r="K21" s="233"/>
      <c r="L21" s="233"/>
      <c r="M21" s="233"/>
      <c r="N21" s="288"/>
      <c r="O21" s="289"/>
      <c r="P21" s="278"/>
      <c r="Q21" s="229" t="s">
        <v>74</v>
      </c>
      <c r="R21" s="132" t="s">
        <v>1700</v>
      </c>
      <c r="S21" s="232"/>
      <c r="T21" s="231"/>
      <c r="U21" s="230"/>
      <c r="V21" s="230"/>
      <c r="W21" s="230"/>
      <c r="X21" s="230"/>
      <c r="Y21" s="230" t="s">
        <v>1705</v>
      </c>
      <c r="Z21" t="e">
        <f>VLOOKUP(A21,#REF!,9,FALSE)</f>
        <v>#REF!</v>
      </c>
    </row>
    <row r="22" spans="1:26" ht="15.75" thickBot="1">
      <c r="A22" s="279" t="s">
        <v>610</v>
      </c>
      <c r="B22" s="103" t="s">
        <v>50</v>
      </c>
      <c r="C22" s="219" t="e">
        <v>#N/A</v>
      </c>
      <c r="D22" s="286"/>
      <c r="E22" s="273" t="s">
        <v>1663</v>
      </c>
      <c r="F22" s="286"/>
      <c r="G22" s="287" t="s">
        <v>1682</v>
      </c>
      <c r="H22" s="234"/>
      <c r="I22" s="234"/>
      <c r="J22" s="45"/>
      <c r="K22" s="208"/>
      <c r="L22" s="208"/>
      <c r="M22" s="208"/>
      <c r="N22" s="288"/>
      <c r="O22" s="289"/>
      <c r="P22" s="278"/>
      <c r="Q22" s="279" t="s">
        <v>1682</v>
      </c>
      <c r="R22" s="132" t="s">
        <v>1700</v>
      </c>
      <c r="S22" s="132"/>
      <c r="T22" s="280"/>
      <c r="U22" s="281"/>
      <c r="V22" s="281"/>
      <c r="W22" s="281"/>
      <c r="X22" s="281"/>
      <c r="Y22" s="281"/>
      <c r="Z22" t="e">
        <f>VLOOKUP(A22,#REF!,9,FALSE)</f>
        <v>#REF!</v>
      </c>
    </row>
    <row r="23" spans="1:26" ht="15.75" thickBot="1">
      <c r="A23" s="279" t="s">
        <v>596</v>
      </c>
      <c r="B23" s="103" t="s">
        <v>50</v>
      </c>
      <c r="C23" s="219" t="e">
        <v>#N/A</v>
      </c>
      <c r="D23" s="286"/>
      <c r="E23" s="273" t="s">
        <v>1663</v>
      </c>
      <c r="F23" s="286"/>
      <c r="G23" s="287" t="s">
        <v>1661</v>
      </c>
      <c r="H23" s="234"/>
      <c r="I23" s="234"/>
      <c r="J23" s="45"/>
      <c r="K23" s="208"/>
      <c r="L23" s="208"/>
      <c r="M23" s="208"/>
      <c r="N23" s="288"/>
      <c r="O23" s="289"/>
      <c r="P23" s="278"/>
      <c r="Q23" s="279" t="s">
        <v>74</v>
      </c>
      <c r="R23" s="132" t="s">
        <v>1700</v>
      </c>
      <c r="S23" s="132"/>
      <c r="T23" s="280"/>
      <c r="U23" s="281"/>
      <c r="V23" s="281"/>
      <c r="W23" s="281"/>
      <c r="X23" s="281"/>
      <c r="Y23" s="281" t="s">
        <v>1706</v>
      </c>
      <c r="Z23" t="e">
        <f>VLOOKUP(A23,#REF!,9,FALSE)</f>
        <v>#REF!</v>
      </c>
    </row>
    <row r="24" spans="1:26" s="218" customFormat="1" ht="69.599999999999994" customHeight="1" thickBot="1">
      <c r="A24" s="229" t="s">
        <v>1674</v>
      </c>
      <c r="B24" s="236" t="e">
        <v>#N/A</v>
      </c>
      <c r="C24" s="235">
        <v>45716</v>
      </c>
      <c r="D24" s="286"/>
      <c r="E24" s="273" t="s">
        <v>1663</v>
      </c>
      <c r="F24" s="286"/>
      <c r="G24" s="287" t="s">
        <v>1661</v>
      </c>
      <c r="H24" s="234"/>
      <c r="I24" s="234"/>
      <c r="J24" s="234"/>
      <c r="K24" s="233"/>
      <c r="L24" s="233"/>
      <c r="M24" s="233"/>
      <c r="N24" s="288"/>
      <c r="O24" s="289"/>
      <c r="P24" s="278" t="s">
        <v>1675</v>
      </c>
      <c r="Q24" s="229" t="s">
        <v>74</v>
      </c>
      <c r="R24" s="132" t="s">
        <v>1700</v>
      </c>
      <c r="S24" s="232"/>
      <c r="T24" s="231"/>
      <c r="U24" s="230"/>
      <c r="V24" s="230"/>
      <c r="W24" s="230"/>
      <c r="X24" s="230"/>
      <c r="Y24" s="230" t="s">
        <v>1706</v>
      </c>
      <c r="Z24" t="e">
        <f>VLOOKUP(A24,#REF!,9,FALSE)</f>
        <v>#REF!</v>
      </c>
    </row>
    <row r="25" spans="1:26" ht="15.75" thickBot="1">
      <c r="A25" s="279" t="s">
        <v>600</v>
      </c>
      <c r="B25" s="103" t="s">
        <v>50</v>
      </c>
      <c r="C25" s="219">
        <v>45772</v>
      </c>
      <c r="D25" s="286"/>
      <c r="E25" s="273" t="s">
        <v>1663</v>
      </c>
      <c r="F25" s="286"/>
      <c r="G25" s="287" t="s">
        <v>1661</v>
      </c>
      <c r="H25" s="234"/>
      <c r="I25" s="234"/>
      <c r="J25" s="45"/>
      <c r="K25" s="208"/>
      <c r="L25" s="208"/>
      <c r="M25" s="208"/>
      <c r="N25" s="288"/>
      <c r="O25" s="289"/>
      <c r="P25" s="278" t="s">
        <v>1675</v>
      </c>
      <c r="Q25" s="279" t="s">
        <v>74</v>
      </c>
      <c r="R25" s="132" t="s">
        <v>1700</v>
      </c>
      <c r="S25" s="132"/>
      <c r="T25" s="280"/>
      <c r="U25" s="281"/>
      <c r="V25" s="281"/>
      <c r="W25" s="281"/>
      <c r="X25" s="281"/>
      <c r="Y25" s="281"/>
      <c r="Z25" t="e">
        <f>VLOOKUP(A25,#REF!,9,FALSE)</f>
        <v>#REF!</v>
      </c>
    </row>
    <row r="26" spans="1:26" ht="15.75" thickBot="1">
      <c r="A26" s="279" t="s">
        <v>477</v>
      </c>
      <c r="B26" s="103" t="s">
        <v>50</v>
      </c>
      <c r="C26" s="219">
        <v>45772</v>
      </c>
      <c r="D26" s="286"/>
      <c r="E26" s="273" t="s">
        <v>1663</v>
      </c>
      <c r="F26" s="286"/>
      <c r="G26" s="287" t="s">
        <v>1661</v>
      </c>
      <c r="H26" s="234"/>
      <c r="I26" s="234"/>
      <c r="J26" s="45"/>
      <c r="K26" s="208"/>
      <c r="L26" s="208"/>
      <c r="M26" s="208"/>
      <c r="N26" s="288"/>
      <c r="O26" s="289"/>
      <c r="P26" s="278" t="s">
        <v>1675</v>
      </c>
      <c r="Q26" s="279" t="s">
        <v>74</v>
      </c>
      <c r="R26" s="132" t="s">
        <v>1700</v>
      </c>
      <c r="S26" s="132"/>
      <c r="T26" s="280"/>
      <c r="U26" s="281"/>
      <c r="V26" s="281"/>
      <c r="W26" s="281"/>
      <c r="X26" s="281"/>
      <c r="Y26" s="281"/>
      <c r="Z26" t="e">
        <f>VLOOKUP(A26,#REF!,9,FALSE)</f>
        <v>#REF!</v>
      </c>
    </row>
    <row r="27" spans="1:26" ht="15.75" thickBot="1">
      <c r="A27" s="279" t="s">
        <v>788</v>
      </c>
      <c r="B27" s="103" t="s">
        <v>50</v>
      </c>
      <c r="C27" s="219">
        <v>45772</v>
      </c>
      <c r="D27" s="286"/>
      <c r="E27" s="273" t="s">
        <v>1663</v>
      </c>
      <c r="F27" s="286"/>
      <c r="G27" s="287" t="s">
        <v>1661</v>
      </c>
      <c r="H27" s="234"/>
      <c r="I27" s="234"/>
      <c r="J27" s="45"/>
      <c r="K27" s="208"/>
      <c r="L27" s="208"/>
      <c r="M27" s="208"/>
      <c r="N27" s="288"/>
      <c r="O27" s="289"/>
      <c r="P27" s="278" t="s">
        <v>1675</v>
      </c>
      <c r="Q27" s="279" t="s">
        <v>74</v>
      </c>
      <c r="R27" s="132" t="s">
        <v>1700</v>
      </c>
      <c r="S27" s="132"/>
      <c r="T27" s="280"/>
      <c r="U27" s="281"/>
      <c r="V27" s="281"/>
      <c r="W27" s="281"/>
      <c r="X27" s="281"/>
      <c r="Y27" s="281"/>
      <c r="Z27" t="e">
        <f>VLOOKUP(A27,#REF!,9,FALSE)</f>
        <v>#REF!</v>
      </c>
    </row>
    <row r="28" spans="1:26" ht="70.150000000000006" customHeight="1" thickBot="1">
      <c r="A28" s="229" t="s">
        <v>1677</v>
      </c>
      <c r="B28" s="236"/>
      <c r="C28" s="235"/>
      <c r="D28" s="286"/>
      <c r="E28" s="273" t="s">
        <v>1663</v>
      </c>
      <c r="F28" s="286"/>
      <c r="G28" s="287" t="s">
        <v>1661</v>
      </c>
      <c r="H28" s="234"/>
      <c r="I28" s="234"/>
      <c r="J28" s="234"/>
      <c r="K28" s="233"/>
      <c r="L28" s="233"/>
      <c r="M28" s="233"/>
      <c r="N28" s="288"/>
      <c r="O28" s="289"/>
      <c r="P28" s="278" t="s">
        <v>1675</v>
      </c>
      <c r="Q28" s="229" t="s">
        <v>74</v>
      </c>
      <c r="R28" s="132" t="s">
        <v>1700</v>
      </c>
      <c r="S28" s="232"/>
      <c r="T28" s="231"/>
      <c r="U28" s="230"/>
      <c r="V28" s="230"/>
      <c r="W28" s="230"/>
      <c r="X28" s="230"/>
      <c r="Y28" s="292" t="s">
        <v>1707</v>
      </c>
      <c r="Z28" t="e">
        <f>VLOOKUP(A28,#REF!,9,FALSE)</f>
        <v>#REF!</v>
      </c>
    </row>
    <row r="29" spans="1:26" s="218" customFormat="1" ht="69.599999999999994" customHeight="1" thickBot="1">
      <c r="A29" s="229" t="s">
        <v>1680</v>
      </c>
      <c r="B29" s="236" t="e">
        <v>#N/A</v>
      </c>
      <c r="C29" s="235" t="e">
        <v>#N/A</v>
      </c>
      <c r="D29" s="286"/>
      <c r="E29" s="273" t="s">
        <v>1663</v>
      </c>
      <c r="F29" s="286"/>
      <c r="G29" s="287" t="s">
        <v>1661</v>
      </c>
      <c r="H29" s="234"/>
      <c r="I29" s="234"/>
      <c r="J29" s="234"/>
      <c r="K29" s="233"/>
      <c r="L29" s="233"/>
      <c r="M29" s="233"/>
      <c r="N29" s="288"/>
      <c r="O29" s="289"/>
      <c r="P29" s="278"/>
      <c r="Q29" s="224" t="s">
        <v>74</v>
      </c>
      <c r="R29" s="132" t="s">
        <v>1700</v>
      </c>
      <c r="S29" s="232"/>
      <c r="T29" s="231"/>
      <c r="U29" s="230"/>
      <c r="V29" s="230"/>
      <c r="W29" s="230"/>
      <c r="X29" s="230"/>
      <c r="Y29" s="230" t="s">
        <v>1707</v>
      </c>
      <c r="Z29" t="e">
        <f>VLOOKUP(A29,#REF!,9,FALSE)</f>
        <v>#REF!</v>
      </c>
    </row>
    <row r="30" spans="1:26" ht="15.75" thickBot="1">
      <c r="A30" s="279" t="s">
        <v>628</v>
      </c>
      <c r="B30" s="103" t="s">
        <v>50</v>
      </c>
      <c r="C30" s="219">
        <v>45772</v>
      </c>
      <c r="D30" s="286"/>
      <c r="E30" s="273" t="s">
        <v>1663</v>
      </c>
      <c r="F30" s="286"/>
      <c r="G30" s="287" t="s">
        <v>1682</v>
      </c>
      <c r="H30" s="234"/>
      <c r="I30" s="234"/>
      <c r="J30" s="45"/>
      <c r="K30" s="208"/>
      <c r="L30" s="208"/>
      <c r="M30" s="208"/>
      <c r="N30" s="288"/>
      <c r="O30" s="289"/>
      <c r="P30" s="278"/>
      <c r="Q30" s="279" t="s">
        <v>1682</v>
      </c>
      <c r="R30" s="132" t="s">
        <v>1700</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1663</v>
      </c>
      <c r="F31" s="293"/>
      <c r="G31" s="294" t="s">
        <v>1682</v>
      </c>
      <c r="H31" s="226"/>
      <c r="I31" s="226"/>
      <c r="J31" s="240"/>
      <c r="K31" s="241"/>
      <c r="L31" s="241"/>
      <c r="M31" s="241"/>
      <c r="N31" s="226"/>
      <c r="O31" s="295"/>
      <c r="P31" s="278"/>
      <c r="Q31" s="237" t="s">
        <v>1682</v>
      </c>
      <c r="R31" s="132" t="s">
        <v>1700</v>
      </c>
      <c r="S31" s="242"/>
      <c r="T31" s="243"/>
      <c r="U31" s="244"/>
      <c r="V31" s="244"/>
      <c r="W31" s="244"/>
      <c r="X31" s="244"/>
      <c r="Y31" s="244" t="s">
        <v>1708</v>
      </c>
      <c r="Z31" t="e">
        <f>VLOOKUP(A31,#REF!,9,FALSE)</f>
        <v>#REF!</v>
      </c>
    </row>
    <row r="32" spans="1:26" ht="15.75" thickBot="1">
      <c r="A32" s="279" t="s">
        <v>630</v>
      </c>
      <c r="B32" s="103" t="s">
        <v>50</v>
      </c>
      <c r="C32" s="219">
        <v>45772</v>
      </c>
      <c r="D32" s="286"/>
      <c r="E32" s="273" t="s">
        <v>1663</v>
      </c>
      <c r="F32" s="286"/>
      <c r="G32" s="287" t="s">
        <v>1682</v>
      </c>
      <c r="H32" s="234"/>
      <c r="I32" s="234"/>
      <c r="J32" s="45"/>
      <c r="K32" s="208"/>
      <c r="L32" s="208"/>
      <c r="M32" s="208"/>
      <c r="N32" s="288"/>
      <c r="O32" s="289"/>
      <c r="P32" s="278"/>
      <c r="Q32" s="279" t="s">
        <v>1682</v>
      </c>
      <c r="R32" s="132" t="s">
        <v>1700</v>
      </c>
      <c r="S32" s="132"/>
      <c r="T32" s="280"/>
      <c r="U32" s="281"/>
      <c r="V32" s="281"/>
      <c r="W32" s="281"/>
      <c r="X32" s="281"/>
      <c r="Y32" s="281"/>
      <c r="Z32" t="e">
        <f>VLOOKUP(A32,#REF!,9,FALSE)</f>
        <v>#REF!</v>
      </c>
    </row>
    <row r="33" spans="1:26" ht="15.75" thickBot="1">
      <c r="A33" s="279" t="s">
        <v>620</v>
      </c>
      <c r="B33" s="103" t="s">
        <v>50</v>
      </c>
      <c r="C33" s="219">
        <v>45831</v>
      </c>
      <c r="D33" s="286"/>
      <c r="E33" s="273" t="s">
        <v>1663</v>
      </c>
      <c r="F33" s="286"/>
      <c r="G33" s="287" t="s">
        <v>1661</v>
      </c>
      <c r="H33" s="234"/>
      <c r="I33" s="234"/>
      <c r="J33" s="45"/>
      <c r="K33" s="208"/>
      <c r="L33" s="208"/>
      <c r="M33" s="208"/>
      <c r="N33" s="288"/>
      <c r="O33" s="289"/>
      <c r="P33" s="278"/>
      <c r="Q33" s="229" t="s">
        <v>74</v>
      </c>
      <c r="R33" s="132" t="s">
        <v>1700</v>
      </c>
      <c r="S33" s="132"/>
      <c r="T33" s="280"/>
      <c r="U33" s="281"/>
      <c r="V33" s="281"/>
      <c r="W33" s="281"/>
      <c r="X33" s="281"/>
      <c r="Y33" s="281"/>
      <c r="Z33" t="e">
        <f>VLOOKUP(A33,#REF!,9,FALSE)</f>
        <v>#REF!</v>
      </c>
    </row>
    <row r="34" spans="1:26" ht="15.75" thickBot="1">
      <c r="A34" s="279" t="s">
        <v>614</v>
      </c>
      <c r="B34" s="103" t="s">
        <v>50</v>
      </c>
      <c r="C34" s="219">
        <v>45831</v>
      </c>
      <c r="D34" s="286"/>
      <c r="E34" s="273" t="s">
        <v>1663</v>
      </c>
      <c r="F34" s="286"/>
      <c r="G34" s="287" t="s">
        <v>1661</v>
      </c>
      <c r="H34" s="234"/>
      <c r="I34" s="234"/>
      <c r="J34" s="45"/>
      <c r="K34" s="208"/>
      <c r="L34" s="208"/>
      <c r="M34" s="208"/>
      <c r="N34" s="288"/>
      <c r="O34" s="289"/>
      <c r="P34" s="278"/>
      <c r="Q34" s="279" t="s">
        <v>74</v>
      </c>
      <c r="R34" s="132" t="s">
        <v>1700</v>
      </c>
      <c r="S34" s="132"/>
      <c r="T34" s="280"/>
      <c r="U34" s="281"/>
      <c r="V34" s="281"/>
      <c r="W34" s="281"/>
      <c r="X34" s="281"/>
      <c r="Y34" s="281"/>
      <c r="Z34" t="e">
        <f>VLOOKUP(A34,#REF!,9,FALSE)</f>
        <v>#REF!</v>
      </c>
    </row>
    <row r="35" spans="1:26" ht="15.75" thickBot="1">
      <c r="A35" s="279" t="s">
        <v>616</v>
      </c>
      <c r="B35" s="103" t="s">
        <v>50</v>
      </c>
      <c r="C35" s="219">
        <v>45831</v>
      </c>
      <c r="D35" s="286"/>
      <c r="E35" s="273" t="s">
        <v>1663</v>
      </c>
      <c r="F35" s="286"/>
      <c r="G35" s="287" t="s">
        <v>1661</v>
      </c>
      <c r="H35" s="234"/>
      <c r="I35" s="234"/>
      <c r="J35" s="45"/>
      <c r="K35" s="208"/>
      <c r="L35" s="208"/>
      <c r="M35" s="208"/>
      <c r="N35" s="288"/>
      <c r="O35" s="289"/>
      <c r="P35" s="278"/>
      <c r="Q35" s="279" t="s">
        <v>74</v>
      </c>
      <c r="R35" s="132" t="s">
        <v>1700</v>
      </c>
      <c r="S35" s="132"/>
      <c r="T35" s="280"/>
      <c r="U35" s="281"/>
      <c r="V35" s="281"/>
      <c r="W35" s="281"/>
      <c r="X35" s="281"/>
      <c r="Y35" s="281"/>
      <c r="Z35" t="e">
        <f>VLOOKUP(A35,#REF!,9,FALSE)</f>
        <v>#REF!</v>
      </c>
    </row>
    <row r="36" spans="1:26" ht="15.75" thickBot="1">
      <c r="A36" s="279" t="s">
        <v>612</v>
      </c>
      <c r="B36" s="103" t="s">
        <v>50</v>
      </c>
      <c r="C36" s="219">
        <v>45772</v>
      </c>
      <c r="D36" s="286"/>
      <c r="E36" s="273" t="s">
        <v>1663</v>
      </c>
      <c r="F36" s="286"/>
      <c r="G36" s="287" t="s">
        <v>1682</v>
      </c>
      <c r="H36" s="234"/>
      <c r="I36" s="234"/>
      <c r="J36" s="45"/>
      <c r="K36" s="208"/>
      <c r="L36" s="208"/>
      <c r="M36" s="208"/>
      <c r="N36" s="288"/>
      <c r="O36" s="289"/>
      <c r="P36" s="278"/>
      <c r="Q36" s="279" t="s">
        <v>1682</v>
      </c>
      <c r="R36" s="132" t="s">
        <v>1700</v>
      </c>
      <c r="S36" s="132"/>
      <c r="T36" s="280"/>
      <c r="U36" s="281"/>
      <c r="V36" s="281"/>
      <c r="W36" s="281"/>
      <c r="X36" s="281"/>
      <c r="Y36" s="281"/>
      <c r="Z36" t="e">
        <f>VLOOKUP(A36,#REF!,9,FALSE)</f>
        <v>#REF!</v>
      </c>
    </row>
    <row r="37" spans="1:26" ht="15.75" thickBot="1">
      <c r="A37" s="279" t="s">
        <v>622</v>
      </c>
      <c r="B37" s="103" t="s">
        <v>50</v>
      </c>
      <c r="C37" s="219">
        <v>45831</v>
      </c>
      <c r="D37" s="286"/>
      <c r="E37" s="273" t="s">
        <v>1663</v>
      </c>
      <c r="F37" s="286"/>
      <c r="G37" s="287" t="s">
        <v>1661</v>
      </c>
      <c r="H37" s="234"/>
      <c r="I37" s="234"/>
      <c r="J37" s="45"/>
      <c r="K37" s="208"/>
      <c r="L37" s="208"/>
      <c r="M37" s="208"/>
      <c r="N37" s="288"/>
      <c r="O37" s="289"/>
      <c r="P37" s="278"/>
      <c r="Q37" s="279" t="s">
        <v>74</v>
      </c>
      <c r="R37" s="132" t="s">
        <v>1700</v>
      </c>
      <c r="S37" s="132"/>
      <c r="T37" s="280"/>
      <c r="U37" s="281"/>
      <c r="V37" s="281"/>
      <c r="W37" s="281"/>
      <c r="X37" s="281"/>
      <c r="Y37" s="281"/>
      <c r="Z37" t="e">
        <f>VLOOKUP(A37,#REF!,9,FALSE)</f>
        <v>#REF!</v>
      </c>
    </row>
    <row r="38" spans="1:26" ht="15.75" thickBot="1">
      <c r="A38" s="279" t="s">
        <v>626</v>
      </c>
      <c r="B38" s="103" t="s">
        <v>50</v>
      </c>
      <c r="C38" s="219">
        <v>45831</v>
      </c>
      <c r="D38" s="286"/>
      <c r="E38" s="273" t="s">
        <v>1663</v>
      </c>
      <c r="F38" s="286"/>
      <c r="G38" s="287" t="s">
        <v>1661</v>
      </c>
      <c r="H38" s="234"/>
      <c r="I38" s="234"/>
      <c r="J38" s="45"/>
      <c r="K38" s="208"/>
      <c r="L38" s="208"/>
      <c r="M38" s="208"/>
      <c r="N38" s="288"/>
      <c r="O38" s="289"/>
      <c r="P38" s="278"/>
      <c r="Q38" s="279" t="s">
        <v>74</v>
      </c>
      <c r="R38" s="132" t="s">
        <v>1700</v>
      </c>
      <c r="S38" s="132"/>
      <c r="T38" s="280"/>
      <c r="U38" s="281"/>
      <c r="V38" s="281"/>
      <c r="W38" s="281"/>
      <c r="X38" s="281"/>
      <c r="Y38" s="281"/>
      <c r="Z38" t="e">
        <f>VLOOKUP(A38,#REF!,9,FALSE)</f>
        <v>#REF!</v>
      </c>
    </row>
    <row r="39" spans="1:26" s="220" customFormat="1" ht="70.150000000000006" customHeight="1" thickBot="1">
      <c r="A39" s="224" t="s">
        <v>1683</v>
      </c>
      <c r="B39" s="228" t="e">
        <v>#N/A</v>
      </c>
      <c r="C39" s="227" t="e">
        <v>#N/A</v>
      </c>
      <c r="D39" s="293"/>
      <c r="E39" s="273" t="s">
        <v>1663</v>
      </c>
      <c r="F39" s="293"/>
      <c r="G39" s="294" t="s">
        <v>1682</v>
      </c>
      <c r="H39" s="226"/>
      <c r="I39" s="226"/>
      <c r="J39" s="226"/>
      <c r="K39" s="225"/>
      <c r="L39" s="225"/>
      <c r="M39" s="225"/>
      <c r="N39" s="226"/>
      <c r="O39" s="295"/>
      <c r="P39" s="278"/>
      <c r="Q39" s="224" t="s">
        <v>1682</v>
      </c>
      <c r="R39" s="132" t="s">
        <v>1700</v>
      </c>
      <c r="S39" s="223"/>
      <c r="T39" s="222"/>
      <c r="U39" s="221"/>
      <c r="V39" s="221"/>
      <c r="W39" s="221"/>
      <c r="X39" s="221"/>
      <c r="Y39" s="221" t="s">
        <v>1707</v>
      </c>
      <c r="Z39" t="e">
        <f>VLOOKUP(A39,#REF!,9,FALSE)</f>
        <v>#REF!</v>
      </c>
    </row>
    <row r="40" spans="1:26" ht="15.75" thickBot="1">
      <c r="A40" s="279" t="s">
        <v>786</v>
      </c>
      <c r="B40" s="103" t="s">
        <v>50</v>
      </c>
      <c r="C40" s="219">
        <v>45831</v>
      </c>
      <c r="D40" s="286"/>
      <c r="E40" s="273" t="s">
        <v>1663</v>
      </c>
      <c r="F40" s="286"/>
      <c r="G40" s="287" t="s">
        <v>1661</v>
      </c>
      <c r="H40" s="234"/>
      <c r="I40" s="234"/>
      <c r="J40" s="45"/>
      <c r="K40" s="208"/>
      <c r="L40" s="208"/>
      <c r="M40" s="208"/>
      <c r="N40" s="288"/>
      <c r="O40" s="289"/>
      <c r="P40" s="278"/>
      <c r="Q40" s="279" t="s">
        <v>74</v>
      </c>
      <c r="R40" s="132" t="s">
        <v>1700</v>
      </c>
      <c r="S40" s="132"/>
      <c r="T40" s="280"/>
      <c r="U40" s="281"/>
      <c r="V40" s="281"/>
      <c r="W40" s="281"/>
      <c r="X40" s="281"/>
      <c r="Y40" s="281"/>
      <c r="Z40" t="e">
        <f>VLOOKUP(A40,#REF!,9,FALSE)</f>
        <v>#REF!</v>
      </c>
    </row>
    <row r="41" spans="1:26" ht="15.75" thickBot="1">
      <c r="A41" s="279" t="s">
        <v>91</v>
      </c>
      <c r="B41" s="103" t="s">
        <v>50</v>
      </c>
      <c r="C41" s="219">
        <v>45807</v>
      </c>
      <c r="D41" s="286"/>
      <c r="E41" s="273" t="s">
        <v>1698</v>
      </c>
      <c r="F41" s="286"/>
      <c r="G41" s="287" t="s">
        <v>1661</v>
      </c>
      <c r="H41" s="234"/>
      <c r="I41" s="234"/>
      <c r="J41" s="45"/>
      <c r="K41" s="208"/>
      <c r="L41" s="208"/>
      <c r="M41" s="208"/>
      <c r="N41" s="288"/>
      <c r="O41" s="289"/>
      <c r="P41" s="278" t="s">
        <v>1699</v>
      </c>
      <c r="Q41" s="279" t="s">
        <v>58</v>
      </c>
      <c r="R41" s="132" t="s">
        <v>1700</v>
      </c>
      <c r="S41" s="132"/>
      <c r="T41" s="280"/>
      <c r="U41" s="281"/>
      <c r="V41" s="281"/>
      <c r="W41" s="281"/>
      <c r="X41" s="281"/>
      <c r="Y41" s="281"/>
      <c r="Z41" t="e">
        <f>VLOOKUP(A41,#REF!,9,FALSE)</f>
        <v>#REF!</v>
      </c>
    </row>
    <row r="42" spans="1:26" ht="15.75" thickBot="1">
      <c r="A42" s="279" t="s">
        <v>89</v>
      </c>
      <c r="B42" s="103" t="s">
        <v>50</v>
      </c>
      <c r="C42" s="219">
        <v>45807</v>
      </c>
      <c r="D42" s="286"/>
      <c r="E42" s="273" t="s">
        <v>1698</v>
      </c>
      <c r="F42" s="286"/>
      <c r="G42" s="287" t="s">
        <v>1661</v>
      </c>
      <c r="H42" s="234"/>
      <c r="I42" s="234"/>
      <c r="J42" s="45"/>
      <c r="K42" s="208"/>
      <c r="L42" s="208"/>
      <c r="M42" s="208"/>
      <c r="N42" s="288"/>
      <c r="O42" s="289"/>
      <c r="P42" s="278" t="s">
        <v>1699</v>
      </c>
      <c r="Q42" s="279" t="s">
        <v>74</v>
      </c>
      <c r="R42" s="132" t="s">
        <v>1700</v>
      </c>
      <c r="S42" s="132"/>
      <c r="T42" s="280"/>
      <c r="U42" s="281"/>
      <c r="V42" s="281"/>
      <c r="W42" s="281"/>
      <c r="X42" s="281"/>
      <c r="Y42" s="281"/>
      <c r="Z42" t="e">
        <f>VLOOKUP(A42,#REF!,9,FALSE)</f>
        <v>#REF!</v>
      </c>
    </row>
    <row r="43" spans="1:26" ht="15.75" thickBot="1">
      <c r="A43" s="279" t="s">
        <v>381</v>
      </c>
      <c r="B43" s="103" t="s">
        <v>50</v>
      </c>
      <c r="C43" s="219">
        <v>45807</v>
      </c>
      <c r="D43" s="286"/>
      <c r="E43" s="273" t="s">
        <v>1698</v>
      </c>
      <c r="F43" s="286"/>
      <c r="G43" s="287" t="s">
        <v>1661</v>
      </c>
      <c r="H43" s="234"/>
      <c r="I43" s="234"/>
      <c r="J43" s="45"/>
      <c r="K43" s="208"/>
      <c r="L43" s="208"/>
      <c r="M43" s="208"/>
      <c r="N43" s="288"/>
      <c r="O43" s="289"/>
      <c r="P43" s="278" t="s">
        <v>1699</v>
      </c>
      <c r="Q43" s="279" t="s">
        <v>58</v>
      </c>
      <c r="R43" s="132" t="s">
        <v>1700</v>
      </c>
      <c r="S43" s="132"/>
      <c r="T43" s="280"/>
      <c r="U43" s="281"/>
      <c r="V43" s="281"/>
      <c r="W43" s="281"/>
      <c r="X43" s="281"/>
      <c r="Y43" s="281"/>
      <c r="Z43" t="e">
        <f>VLOOKUP(A43,#REF!,9,FALSE)</f>
        <v>#REF!</v>
      </c>
    </row>
    <row r="44" spans="1:26" ht="15.75" thickBot="1">
      <c r="A44" s="279" t="s">
        <v>86</v>
      </c>
      <c r="B44" s="103" t="s">
        <v>50</v>
      </c>
      <c r="C44" s="219">
        <v>45807</v>
      </c>
      <c r="D44" s="286"/>
      <c r="E44" s="273" t="s">
        <v>1698</v>
      </c>
      <c r="F44" s="286"/>
      <c r="G44" s="287" t="s">
        <v>1661</v>
      </c>
      <c r="H44" s="234"/>
      <c r="I44" s="234"/>
      <c r="J44" s="45"/>
      <c r="K44" s="208"/>
      <c r="L44" s="208"/>
      <c r="M44" s="208"/>
      <c r="N44" s="288"/>
      <c r="O44" s="289"/>
      <c r="P44" s="278" t="s">
        <v>1669</v>
      </c>
      <c r="Q44" s="279" t="s">
        <v>74</v>
      </c>
      <c r="R44" s="132" t="s">
        <v>1700</v>
      </c>
      <c r="S44" s="132"/>
      <c r="T44" s="280"/>
      <c r="U44" s="281"/>
      <c r="V44" s="281"/>
      <c r="W44" s="281"/>
      <c r="X44" s="281"/>
      <c r="Y44" s="281"/>
      <c r="Z44" t="e">
        <f>VLOOKUP(A44,#REF!,9,FALSE)</f>
        <v>#REF!</v>
      </c>
    </row>
    <row r="45" spans="1:26" ht="15.75" thickBot="1">
      <c r="A45" s="346" t="s">
        <v>501</v>
      </c>
      <c r="B45" s="103" t="s">
        <v>50</v>
      </c>
      <c r="C45" s="219">
        <v>45807</v>
      </c>
      <c r="D45" s="286"/>
      <c r="E45" s="273" t="s">
        <v>1663</v>
      </c>
      <c r="F45" s="286"/>
      <c r="G45" s="287" t="s">
        <v>1661</v>
      </c>
      <c r="H45" s="234"/>
      <c r="I45" s="234"/>
      <c r="J45" s="45"/>
      <c r="K45" s="208"/>
      <c r="L45" s="208"/>
      <c r="M45" s="208"/>
      <c r="N45" s="288"/>
      <c r="O45" s="289"/>
      <c r="P45" s="278"/>
      <c r="Q45" s="279" t="s">
        <v>58</v>
      </c>
      <c r="R45" s="132" t="s">
        <v>1700</v>
      </c>
      <c r="S45" s="132"/>
      <c r="T45" s="280"/>
      <c r="U45" s="281"/>
      <c r="V45" s="281"/>
      <c r="W45" s="281"/>
      <c r="X45" s="281"/>
      <c r="Y45" s="281"/>
      <c r="Z45" t="e">
        <f>VLOOKUP(A45,#REF!,9,FALSE)</f>
        <v>#REF!</v>
      </c>
    </row>
    <row r="46" spans="1:26" ht="15.75" thickBot="1">
      <c r="A46" s="296" t="s">
        <v>503</v>
      </c>
      <c r="B46" s="103" t="s">
        <v>50</v>
      </c>
      <c r="C46" s="219">
        <v>45807</v>
      </c>
      <c r="D46" s="286"/>
      <c r="E46" s="273" t="s">
        <v>1663</v>
      </c>
      <c r="F46" s="286"/>
      <c r="G46" s="294" t="s">
        <v>1661</v>
      </c>
      <c r="H46" s="234"/>
      <c r="I46" s="234"/>
      <c r="J46" s="45"/>
      <c r="K46" s="208"/>
      <c r="L46" s="208"/>
      <c r="M46" s="208"/>
      <c r="N46" s="288"/>
      <c r="O46" s="289"/>
      <c r="P46" s="278"/>
      <c r="Q46" s="279" t="s">
        <v>58</v>
      </c>
      <c r="R46" s="132" t="s">
        <v>1700</v>
      </c>
      <c r="S46" s="132"/>
      <c r="T46" s="280"/>
      <c r="U46" s="281"/>
      <c r="V46" s="281"/>
      <c r="W46" s="281"/>
      <c r="X46" s="281"/>
      <c r="Y46" s="281"/>
      <c r="Z46" t="e">
        <f>VLOOKUP(A46,#REF!,9,FALSE)</f>
        <v>#REF!</v>
      </c>
    </row>
    <row r="47" spans="1:26" ht="15.75" thickBot="1">
      <c r="A47" s="297" t="s">
        <v>177</v>
      </c>
      <c r="B47" s="103" t="s">
        <v>50</v>
      </c>
      <c r="C47" s="219">
        <v>45807</v>
      </c>
      <c r="D47" s="286"/>
      <c r="E47" s="273" t="s">
        <v>1663</v>
      </c>
      <c r="F47" s="286"/>
      <c r="G47" s="287" t="s">
        <v>1661</v>
      </c>
      <c r="H47" s="234"/>
      <c r="I47" s="234"/>
      <c r="J47" s="45"/>
      <c r="K47" s="208"/>
      <c r="L47" s="208"/>
      <c r="M47" s="208"/>
      <c r="N47" s="288"/>
      <c r="O47" s="289"/>
      <c r="P47" s="278" t="s">
        <v>1672</v>
      </c>
      <c r="Q47" s="279" t="s">
        <v>58</v>
      </c>
      <c r="R47" s="132" t="s">
        <v>1703</v>
      </c>
      <c r="S47" s="132"/>
      <c r="T47" s="280"/>
      <c r="U47" s="281"/>
      <c r="V47" s="281"/>
      <c r="W47" s="281"/>
      <c r="X47" s="281"/>
      <c r="Y47" s="281"/>
      <c r="Z47" t="e">
        <f>VLOOKUP(A47,#REF!,9,FALSE)</f>
        <v>#REF!</v>
      </c>
    </row>
    <row r="48" spans="1:26" ht="15.75" thickBot="1">
      <c r="A48" s="296" t="s">
        <v>546</v>
      </c>
      <c r="B48" s="103" t="s">
        <v>50</v>
      </c>
      <c r="C48" s="219">
        <v>45807</v>
      </c>
      <c r="D48" s="286"/>
      <c r="E48" s="273" t="s">
        <v>1663</v>
      </c>
      <c r="F48" s="286"/>
      <c r="G48" s="294" t="s">
        <v>1682</v>
      </c>
      <c r="H48" s="234"/>
      <c r="I48" s="234"/>
      <c r="J48" s="45"/>
      <c r="K48" s="208"/>
      <c r="L48" s="208"/>
      <c r="M48" s="208"/>
      <c r="N48" s="288"/>
      <c r="O48" s="289"/>
      <c r="P48" s="278" t="s">
        <v>1709</v>
      </c>
      <c r="Q48" s="279" t="s">
        <v>1682</v>
      </c>
      <c r="R48" s="132" t="s">
        <v>1700</v>
      </c>
      <c r="S48" s="132"/>
      <c r="T48" s="280"/>
      <c r="U48" s="281"/>
      <c r="V48" s="281"/>
      <c r="W48" s="281"/>
      <c r="X48" s="281"/>
      <c r="Y48" s="281"/>
      <c r="Z48" t="e">
        <f>VLOOKUP(A48,#REF!,9,FALSE)</f>
        <v>#REF!</v>
      </c>
    </row>
    <row r="49" spans="1:26" ht="15.75" thickBot="1">
      <c r="A49" s="296" t="s">
        <v>540</v>
      </c>
      <c r="B49" s="103" t="s">
        <v>112</v>
      </c>
      <c r="C49" s="219">
        <v>45772</v>
      </c>
      <c r="D49" s="286"/>
      <c r="E49" s="273" t="s">
        <v>1663</v>
      </c>
      <c r="F49" s="286"/>
      <c r="G49" s="294" t="s">
        <v>1682</v>
      </c>
      <c r="H49" s="234"/>
      <c r="I49" s="234"/>
      <c r="J49" s="45"/>
      <c r="K49" s="208"/>
      <c r="L49" s="208"/>
      <c r="M49" s="208"/>
      <c r="N49" s="288"/>
      <c r="O49" s="289"/>
      <c r="P49" s="278" t="s">
        <v>1709</v>
      </c>
      <c r="Q49" s="279" t="s">
        <v>1682</v>
      </c>
      <c r="R49" s="132" t="s">
        <v>1700</v>
      </c>
      <c r="S49" s="132"/>
      <c r="T49" s="280"/>
      <c r="U49" s="281"/>
      <c r="V49" s="281"/>
      <c r="W49" s="281"/>
      <c r="X49" s="281"/>
      <c r="Y49" s="281"/>
      <c r="Z49" t="e">
        <f>VLOOKUP(A49,#REF!,9,FALSE)</f>
        <v>#REF!</v>
      </c>
    </row>
    <row r="50" spans="1:26" ht="15.75" thickBot="1">
      <c r="A50" s="296" t="s">
        <v>538</v>
      </c>
      <c r="B50" s="103" t="s">
        <v>112</v>
      </c>
      <c r="C50" s="219">
        <v>45772</v>
      </c>
      <c r="D50" s="286"/>
      <c r="E50" s="273" t="s">
        <v>1663</v>
      </c>
      <c r="F50" s="286"/>
      <c r="G50" s="294" t="s">
        <v>1682</v>
      </c>
      <c r="H50" s="234"/>
      <c r="I50" s="234"/>
      <c r="J50" s="45"/>
      <c r="K50" s="208"/>
      <c r="L50" s="208"/>
      <c r="M50" s="208"/>
      <c r="N50" s="288"/>
      <c r="O50" s="289"/>
      <c r="P50" s="278" t="s">
        <v>1709</v>
      </c>
      <c r="Q50" s="279" t="s">
        <v>1682</v>
      </c>
      <c r="R50" s="132" t="s">
        <v>1700</v>
      </c>
      <c r="S50" s="132"/>
      <c r="T50" s="280"/>
      <c r="U50" s="281"/>
      <c r="V50" s="281"/>
      <c r="W50" s="281"/>
      <c r="X50" s="281"/>
      <c r="Y50" s="281"/>
      <c r="Z50" t="e">
        <f>VLOOKUP(A50,#REF!,9,FALSE)</f>
        <v>#REF!</v>
      </c>
    </row>
    <row r="51" spans="1:26" ht="15.75" thickBot="1">
      <c r="A51" s="296" t="s">
        <v>544</v>
      </c>
      <c r="B51" s="103" t="e">
        <v>#N/A</v>
      </c>
      <c r="C51" s="219" t="e">
        <v>#N/A</v>
      </c>
      <c r="D51" s="286"/>
      <c r="E51" s="273" t="s">
        <v>1663</v>
      </c>
      <c r="F51" s="286"/>
      <c r="G51" s="294" t="s">
        <v>1682</v>
      </c>
      <c r="H51" s="234"/>
      <c r="I51" s="234"/>
      <c r="J51" s="45"/>
      <c r="K51" s="208"/>
      <c r="L51" s="208"/>
      <c r="M51" s="208"/>
      <c r="N51" s="288"/>
      <c r="O51" s="289"/>
      <c r="P51" s="278" t="s">
        <v>1709</v>
      </c>
      <c r="Q51" s="279" t="s">
        <v>1682</v>
      </c>
      <c r="R51" s="132" t="s">
        <v>1700</v>
      </c>
      <c r="S51" s="132"/>
      <c r="T51" s="280"/>
      <c r="U51" s="281"/>
      <c r="V51" s="281"/>
      <c r="W51" s="281"/>
      <c r="X51" s="281"/>
      <c r="Y51" s="281"/>
      <c r="Z51" t="e">
        <f>VLOOKUP(A51,#REF!,9,FALSE)</f>
        <v>#REF!</v>
      </c>
    </row>
    <row r="52" spans="1:26" ht="13.9" customHeight="1" thickBot="1">
      <c r="A52" s="296" t="s">
        <v>520</v>
      </c>
      <c r="B52" s="103" t="s">
        <v>112</v>
      </c>
      <c r="C52" s="219">
        <v>45925</v>
      </c>
      <c r="D52" s="286"/>
      <c r="E52" s="273" t="s">
        <v>1698</v>
      </c>
      <c r="F52" s="286"/>
      <c r="G52" s="287" t="s">
        <v>1661</v>
      </c>
      <c r="H52" s="234"/>
      <c r="I52" s="234"/>
      <c r="J52" s="45"/>
      <c r="K52" s="208"/>
      <c r="L52" s="208"/>
      <c r="M52" s="208"/>
      <c r="N52" s="288"/>
      <c r="O52" s="289"/>
      <c r="P52" s="278" t="s">
        <v>1699</v>
      </c>
      <c r="Q52" s="279" t="s">
        <v>74</v>
      </c>
      <c r="R52" s="132" t="s">
        <v>1700</v>
      </c>
      <c r="S52" s="132"/>
      <c r="T52" s="280"/>
      <c r="U52" s="281"/>
      <c r="V52" s="281"/>
      <c r="W52" s="281"/>
      <c r="X52" s="281"/>
      <c r="Y52" s="281"/>
      <c r="Z52" t="e">
        <f>VLOOKUP(A52,#REF!,9,FALSE)</f>
        <v>#REF!</v>
      </c>
    </row>
    <row r="53" spans="1:26" ht="15.75" thickBot="1">
      <c r="A53" s="296" t="s">
        <v>522</v>
      </c>
      <c r="B53" s="103" t="s">
        <v>112</v>
      </c>
      <c r="C53" s="219">
        <v>45925</v>
      </c>
      <c r="D53" s="286"/>
      <c r="E53" s="273" t="s">
        <v>1698</v>
      </c>
      <c r="F53" s="286"/>
      <c r="G53" s="287" t="s">
        <v>1661</v>
      </c>
      <c r="H53" s="234"/>
      <c r="I53" s="234"/>
      <c r="J53" s="45"/>
      <c r="K53" s="208"/>
      <c r="L53" s="208"/>
      <c r="M53" s="208"/>
      <c r="N53" s="288"/>
      <c r="O53" s="289"/>
      <c r="P53" s="278" t="s">
        <v>1699</v>
      </c>
      <c r="Q53" s="279" t="s">
        <v>74</v>
      </c>
      <c r="R53" s="132" t="s">
        <v>1700</v>
      </c>
      <c r="S53" s="132"/>
      <c r="T53" s="280"/>
      <c r="U53" s="281"/>
      <c r="V53" s="281"/>
      <c r="W53" s="281"/>
      <c r="X53" s="281"/>
      <c r="Y53" s="281"/>
      <c r="Z53" t="e">
        <f>VLOOKUP(A53,#REF!,9,FALSE)</f>
        <v>#REF!</v>
      </c>
    </row>
    <row r="54" spans="1:26" ht="15.75" thickBot="1">
      <c r="A54" s="296" t="s">
        <v>518</v>
      </c>
      <c r="B54" s="103" t="s">
        <v>112</v>
      </c>
      <c r="C54" s="219">
        <v>45925</v>
      </c>
      <c r="D54" s="286"/>
      <c r="E54" s="273" t="s">
        <v>1698</v>
      </c>
      <c r="F54" s="286"/>
      <c r="G54" s="287" t="s">
        <v>1661</v>
      </c>
      <c r="H54" s="234"/>
      <c r="I54" s="234"/>
      <c r="J54" s="45"/>
      <c r="K54" s="208"/>
      <c r="L54" s="208"/>
      <c r="M54" s="208"/>
      <c r="N54" s="288"/>
      <c r="O54" s="289"/>
      <c r="P54" s="278" t="s">
        <v>1699</v>
      </c>
      <c r="Q54" s="279" t="s">
        <v>74</v>
      </c>
      <c r="R54" s="132" t="s">
        <v>1700</v>
      </c>
      <c r="S54" s="132"/>
      <c r="T54" s="280"/>
      <c r="U54" s="281"/>
      <c r="V54" s="281"/>
      <c r="W54" s="281"/>
      <c r="X54" s="281"/>
      <c r="Y54" s="281"/>
      <c r="Z54" t="e">
        <f>VLOOKUP(A54,#REF!,9,FALSE)</f>
        <v>#REF!</v>
      </c>
    </row>
    <row r="55" spans="1:26" ht="15.75" thickBot="1">
      <c r="A55" s="296" t="s">
        <v>556</v>
      </c>
      <c r="B55" s="103" t="s">
        <v>112</v>
      </c>
      <c r="C55" s="219">
        <v>45862</v>
      </c>
      <c r="D55" s="286"/>
      <c r="E55" s="273" t="s">
        <v>1698</v>
      </c>
      <c r="F55" s="286"/>
      <c r="G55" s="287" t="s">
        <v>1661</v>
      </c>
      <c r="H55" s="234"/>
      <c r="I55" s="234"/>
      <c r="J55" s="45"/>
      <c r="K55" s="208"/>
      <c r="L55" s="208"/>
      <c r="M55" s="208"/>
      <c r="N55" s="288"/>
      <c r="O55" s="289"/>
      <c r="P55" s="278" t="s">
        <v>1672</v>
      </c>
      <c r="Q55" s="279" t="s">
        <v>58</v>
      </c>
      <c r="R55" s="132" t="s">
        <v>1703</v>
      </c>
      <c r="S55" s="132"/>
      <c r="T55" s="280"/>
      <c r="U55" s="281"/>
      <c r="V55" s="281"/>
      <c r="W55" s="281"/>
      <c r="X55" s="281"/>
      <c r="Y55" s="281"/>
      <c r="Z55" t="e">
        <f>VLOOKUP(A55,#REF!,9,FALSE)</f>
        <v>#REF!</v>
      </c>
    </row>
    <row r="56" spans="1:26" ht="15.75" thickBot="1">
      <c r="A56" s="296" t="s">
        <v>1710</v>
      </c>
      <c r="B56" s="103"/>
      <c r="C56" s="219" t="e">
        <v>#N/A</v>
      </c>
      <c r="D56" s="286"/>
      <c r="E56" s="273" t="s">
        <v>1698</v>
      </c>
      <c r="F56" s="286"/>
      <c r="G56" s="287" t="s">
        <v>1661</v>
      </c>
      <c r="H56" s="234"/>
      <c r="I56" s="234"/>
      <c r="J56" s="45"/>
      <c r="K56" s="208"/>
      <c r="L56" s="208"/>
      <c r="M56" s="208"/>
      <c r="N56" s="288"/>
      <c r="O56" s="289"/>
      <c r="P56" s="278" t="s">
        <v>1711</v>
      </c>
      <c r="Q56" s="279" t="s">
        <v>58</v>
      </c>
      <c r="R56" s="132" t="s">
        <v>1703</v>
      </c>
      <c r="S56" s="132"/>
      <c r="T56" s="280"/>
      <c r="U56" s="281"/>
      <c r="V56" s="281"/>
      <c r="W56" s="281"/>
      <c r="X56" s="281"/>
      <c r="Y56" s="281"/>
      <c r="Z56" t="e">
        <f>VLOOKUP(A56,#REF!,9,FALSE)</f>
        <v>#REF!</v>
      </c>
    </row>
    <row r="57" spans="1:26" ht="15.75" thickBot="1">
      <c r="A57" s="163" t="s">
        <v>1712</v>
      </c>
      <c r="B57" s="103" t="s">
        <v>112</v>
      </c>
      <c r="C57" s="298">
        <v>45787</v>
      </c>
      <c r="D57" s="286"/>
      <c r="E57" s="273" t="s">
        <v>1698</v>
      </c>
      <c r="F57" s="286"/>
      <c r="G57" s="287" t="s">
        <v>1661</v>
      </c>
      <c r="H57" s="234"/>
      <c r="I57" s="234"/>
      <c r="J57" s="45"/>
      <c r="K57" s="208"/>
      <c r="L57" s="208"/>
      <c r="M57" s="208"/>
      <c r="N57" s="288"/>
      <c r="O57" s="289"/>
      <c r="P57" s="278" t="s">
        <v>1672</v>
      </c>
      <c r="Q57" s="279" t="s">
        <v>1713</v>
      </c>
      <c r="R57" s="132" t="s">
        <v>1703</v>
      </c>
      <c r="S57" s="132"/>
      <c r="T57" s="280"/>
      <c r="U57" s="281"/>
      <c r="V57" s="281"/>
      <c r="W57" s="281"/>
      <c r="X57" s="281"/>
      <c r="Y57" s="281"/>
      <c r="Z57" t="e">
        <f>VLOOKUP(A57,#REF!,9,FALSE)</f>
        <v>#REF!</v>
      </c>
    </row>
    <row r="58" spans="1:26" ht="15.75" thickBot="1">
      <c r="A58" s="643" t="s">
        <v>518</v>
      </c>
      <c r="B58" s="103" t="s">
        <v>50</v>
      </c>
      <c r="C58" s="300">
        <v>45807</v>
      </c>
      <c r="D58" s="286"/>
      <c r="E58" s="273" t="s">
        <v>1663</v>
      </c>
      <c r="F58" s="286"/>
      <c r="G58" s="287" t="s">
        <v>1661</v>
      </c>
      <c r="H58" s="234"/>
      <c r="I58" s="234"/>
      <c r="J58" s="45"/>
      <c r="K58" s="208"/>
      <c r="L58" s="208"/>
      <c r="M58" s="208"/>
      <c r="N58" s="288"/>
      <c r="O58" s="289"/>
      <c r="P58" s="291"/>
      <c r="Q58" s="279" t="s">
        <v>74</v>
      </c>
      <c r="R58" s="132" t="s">
        <v>1700</v>
      </c>
      <c r="S58" s="132"/>
      <c r="T58" s="280"/>
      <c r="U58" s="281"/>
      <c r="V58" s="281"/>
      <c r="W58" s="281"/>
      <c r="X58" s="281"/>
      <c r="Y58" s="281"/>
    </row>
    <row r="59" spans="1:26" ht="15.75" thickBot="1">
      <c r="A59" s="643" t="s">
        <v>520</v>
      </c>
      <c r="B59" s="103" t="s">
        <v>112</v>
      </c>
      <c r="C59" s="300">
        <v>45772</v>
      </c>
      <c r="D59" s="286"/>
      <c r="E59" s="273" t="s">
        <v>1663</v>
      </c>
      <c r="F59" s="286"/>
      <c r="G59" s="287" t="s">
        <v>1661</v>
      </c>
      <c r="H59" s="234"/>
      <c r="I59" s="234"/>
      <c r="J59" s="45"/>
      <c r="K59" s="208"/>
      <c r="L59" s="208"/>
      <c r="M59" s="208"/>
      <c r="N59" s="288"/>
      <c r="O59" s="289"/>
      <c r="P59" s="291"/>
      <c r="Q59" s="279" t="s">
        <v>74</v>
      </c>
      <c r="R59" s="132" t="s">
        <v>1700</v>
      </c>
      <c r="S59" s="132"/>
      <c r="T59" s="280"/>
      <c r="U59" s="281"/>
      <c r="V59" s="281"/>
      <c r="W59" s="281"/>
      <c r="X59" s="281"/>
      <c r="Y59" s="281"/>
    </row>
    <row r="60" spans="1:26" ht="15.75" thickBot="1">
      <c r="A60" s="644" t="s">
        <v>522</v>
      </c>
      <c r="B60" s="103" t="s">
        <v>112</v>
      </c>
      <c r="C60" s="300">
        <v>45772</v>
      </c>
      <c r="D60" s="286"/>
      <c r="E60" s="273" t="s">
        <v>1663</v>
      </c>
      <c r="F60" s="286"/>
      <c r="G60" s="287" t="s">
        <v>1661</v>
      </c>
      <c r="H60" s="234"/>
      <c r="I60" s="234"/>
      <c r="J60" s="45"/>
      <c r="K60" s="208"/>
      <c r="L60" s="208"/>
      <c r="M60" s="208"/>
      <c r="N60" s="288"/>
      <c r="O60" s="289"/>
      <c r="P60" s="291"/>
      <c r="Q60" s="279" t="s">
        <v>74</v>
      </c>
      <c r="R60" s="132" t="s">
        <v>1700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1692</v>
      </c>
      <c r="B70" s="305">
        <f>SUM(K4:K9)</f>
        <v>0</v>
      </c>
      <c r="C70" s="306" t="e">
        <f>B70/B73</f>
        <v>#DIV/0!</v>
      </c>
    </row>
    <row r="71" spans="1:25">
      <c r="A71" s="304" t="s">
        <v>1592</v>
      </c>
      <c r="B71" s="305">
        <f>SUM(L4:L9)</f>
        <v>0</v>
      </c>
      <c r="C71" s="306" t="e">
        <f>B71/B73</f>
        <v>#DIV/0!</v>
      </c>
    </row>
    <row r="72" spans="1:25">
      <c r="A72" s="304" t="s">
        <v>1693</v>
      </c>
      <c r="B72" s="305">
        <f>SUM(M4:M9)</f>
        <v>0</v>
      </c>
      <c r="C72" s="306" t="e">
        <f>B72/B73</f>
        <v>#DIV/0!</v>
      </c>
    </row>
    <row r="73" spans="1:25">
      <c r="A73" s="304" t="s">
        <v>841</v>
      </c>
      <c r="B73" s="305">
        <f>SUM(B70:B72)</f>
        <v>0</v>
      </c>
      <c r="C73" s="283"/>
    </row>
    <row r="80" spans="1:25">
      <c r="A80" t="s">
        <v>1714</v>
      </c>
    </row>
    <row r="81" spans="1:1">
      <c r="A81" t="s">
        <v>1715</v>
      </c>
    </row>
    <row r="82" spans="1:1">
      <c r="A82" t="s">
        <v>1699</v>
      </c>
    </row>
    <row r="83" spans="1:1">
      <c r="A83" t="s">
        <v>1716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BD3D255-6E92-4E9C-BC7C-E6F2878A352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2025-11-06T21:09:33Z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