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6" documentId="8_{E14B221E-02E2-46A3-8CEC-C736815F2DD5}" xr6:coauthVersionLast="47" xr6:coauthVersionMax="47" xr10:uidLastSave="{B6B97BBE-6700-47E9-BFBC-D3CC4DC27EE8}"/>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59" r:id="rId12"/>
    <pivotCache cacheId="460" r:id="rId13"/>
    <pivotCache cacheId="461" r:id="rId14"/>
    <pivotCache cacheId="462" r:id="rId15"/>
    <pivotCache cacheId="4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<sst xmlns="http://schemas.openxmlformats.org/spreadsheetml/2006/main" count="14103" uniqueCount="1728">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</sst>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AC37" activePane="topRight" state="frozen"/>
      <selection pane="topRight" activeCell="AD59" sqref="AD5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W14"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AC1" activePane="topRight" state="frozen"/>
      <selection pane="topRight" activeCell="AD24" sqref="AD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F925">
        <v>3975</v>
      </c>
      <c r="G925">
        <v>8424</v>
      </c>
    </row>
    <row r="926" spans="1:7">
      <c r="A926" t="s">
        <v>201</v>
      </c>
      <c r="D926">
        <v>1031</v>
      </c>
      <c r="G926">
        <v>1031</v>
      </c>
    </row>
    <row r="927" spans="1:7">
      <c r="A927" t="s">
        <v>355</v>
      </c>
      <c r="E927">
        <v>1063</v>
      </c>
      <c r="F927">
        <v>1263</v>
      </c>
      <c r="G927">
        <v>2326</v>
      </c>
    </row>
    <row r="928" spans="1:7">
      <c r="A928" t="s">
        <v>387</v>
      </c>
      <c r="F928">
        <v>451</v>
      </c>
      <c r="G928">
        <v>451</v>
      </c>
    </row>
    <row r="929" spans="1:7">
      <c r="A929" t="s">
        <v>845</v>
      </c>
      <c r="B929">
        <v>4876</v>
      </c>
      <c r="C929">
        <v>6972</v>
      </c>
      <c r="D929">
        <v>9289</v>
      </c>
      <c r="E929">
        <v>3439</v>
      </c>
      <c r="F929">
        <v>6258</v>
      </c>
      <c r="G929">
        <v>30834</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2" t="s">
        <v>1669</v>
      </c>
      <c r="C1" s="1152"/>
      <c r="D1" s="577"/>
      <c r="E1" s="1152" t="s">
        <v>1670</v>
      </c>
      <c r="F1" s="1152"/>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v>155501</v>
      </c>
      <c r="E4" s="44" t="s">
        <v>1671</v>
      </c>
      <c r="F4" t="s">
        <v>848</v>
      </c>
      <c r="W4" t="s">
        <v>1675</v>
      </c>
      <c r="X4">
        <v>22</v>
      </c>
    </row>
    <row r="5" spans="1:25">
      <c r="B5" t="s">
        <v>60</v>
      </c>
      <c r="C5">
        <v>55547</v>
      </c>
      <c r="E5" t="s">
        <v>848</v>
      </c>
      <c r="F5">
        <v>239011</v>
      </c>
      <c r="K5" s="44" t="s">
        <v>1676</v>
      </c>
      <c r="P5" s="44" t="s">
        <v>1676</v>
      </c>
      <c r="W5" t="s">
        <v>1677</v>
      </c>
      <c r="X5">
        <v>13</v>
      </c>
    </row>
    <row r="6" spans="1:25">
      <c r="B6" t="s">
        <v>96</v>
      </c>
      <c r="C6">
        <v>22387</v>
      </c>
      <c r="K6" s="44" t="s">
        <v>27</v>
      </c>
      <c r="L6" s="44" t="s">
        <v>1678</v>
      </c>
      <c r="M6" t="s">
        <v>848</v>
      </c>
      <c r="P6" s="44" t="s">
        <v>1679</v>
      </c>
      <c r="Q6" s="44" t="s">
        <v>1678</v>
      </c>
      <c r="R6" t="s">
        <v>848</v>
      </c>
    </row>
    <row r="7" spans="1:25">
      <c r="B7" t="s">
        <v>874</v>
      </c>
      <c r="C7">
        <v>301904</v>
      </c>
      <c r="K7" t="s">
        <v>1672</v>
      </c>
      <c r="L7" t="s">
        <v>508</v>
      </c>
      <c r="M7">
        <v>1</v>
      </c>
      <c r="P7" t="s">
        <v>1680</v>
      </c>
      <c r="R7">
        <v>1</v>
      </c>
      <c r="X7" t="s">
        <v>1681</v>
      </c>
      <c r="Y7" t="s">
        <v>1682</v>
      </c>
    </row>
    <row r="8" spans="1:25">
      <c r="B8" t="s">
        <v>209</v>
      </c>
      <c r="C8">
        <v>5576</v>
      </c>
      <c r="L8" t="s">
        <v>510</v>
      </c>
      <c r="M8">
        <v>1</v>
      </c>
      <c r="P8" t="s">
        <v>1683</v>
      </c>
      <c r="R8">
        <v>1</v>
      </c>
      <c r="V8" t="s">
        <v>1684</v>
      </c>
      <c r="W8" s="261">
        <v>203521</v>
      </c>
      <c r="X8" s="317">
        <f>X5/X4</f>
        <v>0.59090909090909094</v>
      </c>
      <c r="Y8" s="317">
        <f>W9/W8</f>
        <v>0.31446386367991508</v>
      </c>
    </row>
    <row r="9" spans="1:25">
      <c r="B9" t="s">
        <v>51</v>
      </c>
      <c r="C9">
        <v>0</v>
      </c>
      <c r="L9" t="s">
        <v>1685</v>
      </c>
      <c r="M9">
        <v>1</v>
      </c>
      <c r="P9" t="s">
        <v>1686</v>
      </c>
      <c r="Q9" t="s">
        <v>1685</v>
      </c>
      <c r="R9">
        <v>1</v>
      </c>
      <c r="V9" t="s">
        <v>1687</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24583</v>
      </c>
      <c r="L12" t="s">
        <v>484</v>
      </c>
      <c r="M12">
        <v>1</v>
      </c>
      <c r="Q12" t="s">
        <v>1688</v>
      </c>
      <c r="R12">
        <v>1</v>
      </c>
    </row>
    <row r="13" spans="1:25">
      <c r="B13" t="s">
        <v>146</v>
      </c>
      <c r="C13">
        <v>13965</v>
      </c>
      <c r="L13" t="s">
        <v>1689</v>
      </c>
      <c r="M13">
        <v>1</v>
      </c>
      <c r="Q13" t="s">
        <v>795</v>
      </c>
      <c r="R13">
        <v>1</v>
      </c>
    </row>
    <row r="14" spans="1:25">
      <c r="B14" t="s">
        <v>206</v>
      </c>
      <c r="C14">
        <v>16290</v>
      </c>
      <c r="L14" t="s">
        <v>621</v>
      </c>
      <c r="M14">
        <v>1</v>
      </c>
      <c r="P14" t="s">
        <v>1690</v>
      </c>
      <c r="R14">
        <v>5</v>
      </c>
    </row>
    <row r="15" spans="1:25">
      <c r="B15" t="s">
        <v>199</v>
      </c>
      <c r="C15">
        <v>5613</v>
      </c>
      <c r="L15" t="s">
        <v>1688</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620721</v>
      </c>
      <c r="L18" t="s">
        <v>629</v>
      </c>
      <c r="M18">
        <v>1</v>
      </c>
    </row>
    <row r="19" spans="2:13">
      <c r="L19" t="s">
        <v>633</v>
      </c>
      <c r="M19">
        <v>1</v>
      </c>
    </row>
    <row r="20" spans="2:13">
      <c r="L20" t="s">
        <v>793</v>
      </c>
      <c r="M20">
        <v>1</v>
      </c>
    </row>
    <row r="21" spans="2:13">
      <c r="L21" t="s">
        <v>1691</v>
      </c>
      <c r="M21">
        <v>1</v>
      </c>
    </row>
    <row r="22" spans="2:13">
      <c r="L22" t="s">
        <v>795</v>
      </c>
      <c r="M22">
        <v>1</v>
      </c>
    </row>
    <row r="23" spans="2:13">
      <c r="L23" t="s">
        <v>661</v>
      </c>
      <c r="M23">
        <v>1</v>
      </c>
    </row>
    <row r="24" spans="2:13">
      <c r="L24" t="s">
        <v>689</v>
      </c>
      <c r="M24">
        <v>1</v>
      </c>
    </row>
    <row r="25" spans="2:13">
      <c r="L25" t="s">
        <v>174</v>
      </c>
      <c r="M25">
        <v>1</v>
      </c>
    </row>
    <row r="26" spans="2:13">
      <c r="K26" t="s">
        <v>1692</v>
      </c>
      <c r="M26">
        <v>19</v>
      </c>
    </row>
    <row r="27" spans="2:13">
      <c r="K27" t="s">
        <v>1693</v>
      </c>
      <c r="L27" t="s">
        <v>615</v>
      </c>
      <c r="M27">
        <v>1</v>
      </c>
    </row>
    <row r="28" spans="2:13">
      <c r="L28" t="s">
        <v>617</v>
      </c>
      <c r="M28">
        <v>1</v>
      </c>
    </row>
    <row r="29" spans="2:13">
      <c r="L29" t="s">
        <v>619</v>
      </c>
      <c r="M29">
        <v>1</v>
      </c>
    </row>
    <row r="30" spans="2:13">
      <c r="L30" t="s">
        <v>635</v>
      </c>
      <c r="M30">
        <v>1</v>
      </c>
    </row>
    <row r="31" spans="2:13">
      <c r="L31" t="s">
        <v>637</v>
      </c>
      <c r="M31">
        <v>1</v>
      </c>
    </row>
    <row r="32" spans="2:13">
      <c r="L32" t="s">
        <v>1694</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1695</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3"/>
      <c r="B1" s="1153"/>
      <c r="C1" s="1153"/>
      <c r="D1" s="1153"/>
      <c r="E1" s="1153"/>
      <c r="F1" s="1153"/>
      <c r="G1" s="1153"/>
      <c r="H1" s="1154" t="s">
        <v>1696</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6827DCC-5649-4A9D-AACC-23A7E262862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2025-11-10T12:39:48Z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