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0" documentId="8_{E14B221E-02E2-46A3-8CEC-C736815F2DD5}" xr6:coauthVersionLast="47" xr6:coauthVersionMax="47" xr10:uidLastSave="{DF441C70-FE07-4D14-AB30-C84B7AC4506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3166" r:id="rId12"/>
    <pivotCache cacheId="3167" r:id="rId13"/>
    <pivotCache cacheId="3168" r:id="rId14"/>
    <pivotCache cacheId="3169" r:id="rId15"/>
    <pivotCache cacheId="3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<sst xmlns="http://schemas.openxmlformats.org/spreadsheetml/2006/main" count="17193" uniqueCount="2208">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</sst>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018516"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m/>
    <m/>
    <m/>
  </r>
  <r>
    <x v="330"/>
    <x v="1"/>
    <x v="247"/>
    <m/>
    <n v="486"/>
    <s v="486 Tracer Wire"/>
  </r>
  <r>
    <x v="347"/>
    <x v="32"/>
    <x v="247"/>
    <n v="520"/>
    <m/>
    <s v="3 Toby Boxes / 2 Daps / 6 Splices"/>
  </r>
  <r>
    <x v="348"/>
    <x v="46"/>
    <x v="247"/>
    <m/>
    <m/>
    <m/>
  </r>
  <r>
    <x v="354"/>
    <x v="53"/>
    <x v="247"/>
    <m/>
    <m/>
    <m/>
  </r>
  <r>
    <x v="353"/>
    <x v="53"/>
    <x v="247"/>
    <n v="970"/>
    <m/>
    <s v="2 HH / 2 Toby Boxes / 1 Daps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m/>
    <m/>
    <m/>
    <x v="12"/>
  </r>
  <r>
    <s v="D-HWP1004"/>
    <x v="1"/>
    <d v="2026-01-22T00:00:00"/>
    <m/>
    <n v="486"/>
    <s v="486 Tracer Wire"/>
    <x v="12"/>
  </r>
  <r>
    <s v="Moss Creek "/>
    <x v="32"/>
    <d v="2026-01-22T00:00:00"/>
    <n v="520"/>
    <m/>
    <s v="3 Toby Boxes / 2 Daps / 6 Splices"/>
    <x v="12"/>
  </r>
  <r>
    <s v="Colonial Manor"/>
    <x v="46"/>
    <d v="2026-01-22T00:00:00"/>
    <m/>
    <m/>
    <m/>
    <x v="12"/>
  </r>
  <r>
    <s v="D-HLR208"/>
    <x v="53"/>
    <d v="2026-01-22T00:00:00"/>
    <m/>
    <m/>
    <m/>
    <x v="12"/>
  </r>
  <r>
    <s v="D-HDF740"/>
    <x v="53"/>
    <d v="2026-01-22T00:00:00"/>
    <n v="970"/>
    <m/>
    <s v="2 HH / 2 Toby Boxes / 1 Daps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76" activePane="topRight" state="frozen"/>
      <selection pane="topRight" activeCell="AD26" sqref="AD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7"/>
      <c r="I64" s="823" t="s">
        <v>55</v>
      </c>
      <c r="J64" s="826" t="s">
        <v>63</v>
      </c>
      <c r="K64" s="1488"/>
      <c r="L64" s="1316"/>
      <c r="M64" s="823" t="s">
        <v>57</v>
      </c>
      <c r="N64" s="1489">
        <v>36998.550000000003</v>
      </c>
      <c r="O64" s="823" t="s">
        <v>57</v>
      </c>
      <c r="P64" s="1210" t="s">
        <v>58</v>
      </c>
      <c r="Q64" s="1490"/>
      <c r="R64" s="1490"/>
      <c r="S64" s="1490"/>
      <c r="T64" s="1490"/>
      <c r="U64" s="1490"/>
      <c r="V64" s="1491">
        <v>2944</v>
      </c>
      <c r="W64" s="1492"/>
      <c r="X64" s="1492">
        <f>SUM(V64-W64)</f>
        <v>2944</v>
      </c>
      <c r="Y64" s="658">
        <f>IFERROR($W64/$V64, 0)</f>
        <v>0</v>
      </c>
      <c r="Z64" s="1493"/>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8"/>
      <c r="L74" s="1316"/>
      <c r="M74" s="1197" t="s">
        <v>57</v>
      </c>
      <c r="N74" s="1489">
        <v>118710.8</v>
      </c>
      <c r="O74" s="1197" t="s">
        <v>57</v>
      </c>
      <c r="P74" s="1179" t="s">
        <v>58</v>
      </c>
      <c r="Q74" s="1490"/>
      <c r="R74" s="1490"/>
      <c r="S74" s="1490"/>
      <c r="T74" s="1490"/>
      <c r="U74" s="1490"/>
      <c r="V74" s="1491">
        <v>9628</v>
      </c>
      <c r="W74" s="1492"/>
      <c r="X74" s="1492">
        <f>SUM(V74-W74)</f>
        <v>9628</v>
      </c>
      <c r="Y74" s="658">
        <f>IFERROR($W74/$V74, 0)</f>
        <v>0</v>
      </c>
      <c r="Z74" s="1490"/>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7">
        <v>109</v>
      </c>
      <c r="I80" s="823" t="s">
        <v>55</v>
      </c>
      <c r="J80" s="826" t="s">
        <v>63</v>
      </c>
      <c r="K80" s="1488"/>
      <c r="L80" s="1316">
        <v>45663</v>
      </c>
      <c r="M80" s="1197" t="s">
        <v>57</v>
      </c>
      <c r="N80" s="1489">
        <v>123587.5</v>
      </c>
      <c r="O80" s="1487" t="s">
        <v>57</v>
      </c>
      <c r="P80" s="1494" t="s">
        <v>64</v>
      </c>
      <c r="Q80" s="1490">
        <v>46008</v>
      </c>
      <c r="R80" s="1490"/>
      <c r="S80" s="1490"/>
      <c r="T80" s="1490"/>
      <c r="U80" s="1490"/>
      <c r="V80" s="1491">
        <v>6825</v>
      </c>
      <c r="W80" s="1495">
        <v>4765</v>
      </c>
      <c r="X80" s="1492">
        <f>SUM(V80-W80)</f>
        <v>2060</v>
      </c>
      <c r="Y80" s="658">
        <f>IFERROR($W80/$V80, 0)</f>
        <v>0.69816849816849813</v>
      </c>
      <c r="Z80" s="1490">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6">
        <v>3893</v>
      </c>
      <c r="X94" s="1379">
        <f t="shared" ref="X94:X97" si="10">SUM(V94-W94)</f>
        <v>1806</v>
      </c>
      <c r="Y94" s="1130">
        <f t="shared" ref="Y94:Y97" si="11">IFERROR($W94/$V94, 0)</f>
        <v>0.68310229864888572</v>
      </c>
      <c r="Z94" s="1497">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6">
        <v>3433</v>
      </c>
      <c r="X95" s="1379">
        <f t="shared" si="10"/>
        <v>2999</v>
      </c>
      <c r="Y95" s="1130">
        <f t="shared" si="11"/>
        <v>0.53373756218905477</v>
      </c>
      <c r="Z95" s="1497">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8">
        <v>4339</v>
      </c>
      <c r="X96" s="1237">
        <f t="shared" si="10"/>
        <v>2806</v>
      </c>
      <c r="Y96" s="868">
        <f t="shared" si="11"/>
        <v>0.60727781665500347</v>
      </c>
      <c r="Z96" s="1497">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8">
        <v>5625</v>
      </c>
      <c r="X97" s="1237">
        <f t="shared" si="10"/>
        <v>1716</v>
      </c>
      <c r="Y97" s="868">
        <f t="shared" si="11"/>
        <v>0.76624438087454028</v>
      </c>
      <c r="Z97" s="1497">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6">
        <v>3201</v>
      </c>
      <c r="X98" s="1438">
        <f t="shared" ref="X98" si="12">SUM(V98-W98)</f>
        <v>821</v>
      </c>
      <c r="Y98" s="1366">
        <f t="shared" ref="Y98" si="13">IFERROR($W98/$V98, 0)</f>
        <v>0.79587270014917955</v>
      </c>
      <c r="Z98" s="1499">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7"/>
      <c r="R111" s="1336"/>
      <c r="S111" s="1336"/>
      <c r="T111" s="1336"/>
      <c r="U111" s="1336"/>
      <c r="V111" s="1237">
        <v>8641</v>
      </c>
      <c r="W111" s="1496"/>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0"/>
      <c r="R112" s="1338"/>
      <c r="S112" s="1338"/>
      <c r="T112" s="1338"/>
      <c r="U112" s="1338"/>
      <c r="V112" s="1340">
        <v>7502</v>
      </c>
      <c r="W112" s="1501"/>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1"/>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8" t="s">
        <v>63</v>
      </c>
      <c r="K15" s="1488"/>
      <c r="L15" s="476" t="s">
        <v>52</v>
      </c>
      <c r="M15" s="478" t="s">
        <v>57</v>
      </c>
      <c r="N15" s="1489">
        <v>1035</v>
      </c>
      <c r="O15" s="1197" t="s">
        <v>57</v>
      </c>
      <c r="P15" s="1247" t="s">
        <v>341</v>
      </c>
      <c r="Q15" s="1490">
        <v>46030</v>
      </c>
      <c r="R15" s="1310"/>
      <c r="S15" s="1310"/>
      <c r="T15" s="1310"/>
      <c r="U15" s="1310"/>
      <c r="V15" s="1491">
        <v>0</v>
      </c>
      <c r="W15" s="1502">
        <v>0</v>
      </c>
      <c r="X15" s="1492">
        <f>SUM(V15-W15)</f>
        <v>0</v>
      </c>
      <c r="Y15" s="658">
        <v>1</v>
      </c>
      <c r="Z15" s="1490">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8">
        <v>0</v>
      </c>
      <c r="I28" s="657" t="s">
        <v>340</v>
      </c>
      <c r="J28" s="1488" t="s">
        <v>63</v>
      </c>
      <c r="K28" s="1488"/>
      <c r="L28" s="1314" t="s">
        <v>142</v>
      </c>
      <c r="M28" s="1488" t="s">
        <v>57</v>
      </c>
      <c r="N28" s="1503">
        <v>15670.45</v>
      </c>
      <c r="O28" s="1488" t="s">
        <v>57</v>
      </c>
      <c r="P28" s="1504" t="s">
        <v>341</v>
      </c>
      <c r="Q28" s="1505">
        <v>46031</v>
      </c>
      <c r="R28" s="1505"/>
      <c r="S28" s="1505"/>
      <c r="T28" s="1505"/>
      <c r="U28" s="1505"/>
      <c r="V28" s="782">
        <v>1202</v>
      </c>
      <c r="W28" s="1248">
        <v>1208</v>
      </c>
      <c r="X28" s="1492">
        <f>SUM(V28-W28)</f>
        <v>-6</v>
      </c>
      <c r="Y28" s="658">
        <v>1</v>
      </c>
      <c r="Z28" s="1200">
        <v>46035</v>
      </c>
      <c r="AA28" s="355">
        <v>1</v>
      </c>
      <c r="AB28" s="1506">
        <v>0</v>
      </c>
      <c r="AC28" s="1492">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7">
        <v>5829</v>
      </c>
      <c r="X34" s="1379">
        <f t="shared" ref="X34:X37" si="15">SUM(V34-W34)</f>
        <v>31</v>
      </c>
      <c r="Y34" s="1130">
        <f t="shared" si="13"/>
        <v>0.99470989761092155</v>
      </c>
      <c r="Z34" s="1497">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7">
        <v>6080</v>
      </c>
      <c r="X35" s="1379">
        <f t="shared" si="15"/>
        <v>-59</v>
      </c>
      <c r="Y35" s="1130">
        <f t="shared" si="13"/>
        <v>1.0097990367048664</v>
      </c>
      <c r="Z35" s="1497">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7">
        <v>4810</v>
      </c>
      <c r="X36" s="1380">
        <f t="shared" si="15"/>
        <v>26</v>
      </c>
      <c r="Y36" s="1366">
        <f t="shared" si="13"/>
        <v>0.9946236559139785</v>
      </c>
      <c r="Z36" s="1500">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8">
        <v>1277</v>
      </c>
      <c r="X37" s="1237">
        <f t="shared" si="15"/>
        <v>7</v>
      </c>
      <c r="Y37" s="868">
        <f t="shared" si="13"/>
        <v>0.99454828660436134</v>
      </c>
      <c r="Z37" s="1497">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501</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501</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505</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501</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501</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501</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D684">
        <v>358</v>
      </c>
      <c r="G684">
        <v>358</v>
      </c>
    </row>
    <row r="685" spans="1:7">
      <c r="A685" t="s">
        <v>527</v>
      </c>
      <c r="D685">
        <v>1241</v>
      </c>
      <c r="G685">
        <v>1241</v>
      </c>
    </row>
    <row r="686" spans="1:7">
      <c r="A686" t="s">
        <v>651</v>
      </c>
      <c r="B686">
        <v>503</v>
      </c>
      <c r="C686">
        <v>295</v>
      </c>
      <c r="F686">
        <v>6</v>
      </c>
      <c r="G686">
        <v>804</v>
      </c>
    </row>
    <row r="687" spans="1:7">
      <c r="A687" t="s">
        <v>501</v>
      </c>
      <c r="C687">
        <v>1009</v>
      </c>
      <c r="G687">
        <v>1009</v>
      </c>
    </row>
    <row r="688" spans="1:7">
      <c r="A688" t="s">
        <v>1109</v>
      </c>
      <c r="B688">
        <v>20</v>
      </c>
      <c r="E688">
        <v>250</v>
      </c>
      <c r="F688">
        <v>177</v>
      </c>
      <c r="G688">
        <v>447</v>
      </c>
    </row>
    <row r="689" spans="1:7">
      <c r="A689" t="s">
        <v>532</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338</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360</v>
      </c>
      <c r="C753">
        <v>251</v>
      </c>
      <c r="D753">
        <v>253</v>
      </c>
      <c r="E753">
        <v>1076</v>
      </c>
      <c r="G753">
        <v>1580</v>
      </c>
    </row>
    <row r="754" spans="1:7">
      <c r="A754" t="s">
        <v>338</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row>
    <row r="763" spans="1:7">
      <c r="A763" t="s">
        <v>527</v>
      </c>
      <c r="B763">
        <v>60</v>
      </c>
      <c r="G763">
        <v>60</v>
      </c>
    </row>
    <row r="764" spans="1:7">
      <c r="A764" t="s">
        <v>505</v>
      </c>
      <c r="E764">
        <v>175</v>
      </c>
      <c r="G764">
        <v>175</v>
      </c>
    </row>
    <row r="765" spans="1:7">
      <c r="A765" t="s">
        <v>1114</v>
      </c>
      <c r="C765">
        <v>224</v>
      </c>
      <c r="G765">
        <v>224</v>
      </c>
    </row>
    <row r="766" spans="1:7">
      <c r="A766" t="s">
        <v>518</v>
      </c>
      <c r="D766">
        <v>406</v>
      </c>
      <c r="G766">
        <v>406</v>
      </c>
    </row>
    <row r="767" spans="1:7">
      <c r="A767" t="s">
        <v>241</v>
      </c>
      <c r="D767">
        <v>362</v>
      </c>
      <c r="E767">
        <v>399</v>
      </c>
      <c r="G767">
        <v>761</v>
      </c>
    </row>
    <row r="768" spans="1:7">
      <c r="A768" t="s">
        <v>1007</v>
      </c>
    </row>
    <row r="769" spans="1:7">
      <c r="A769" t="s">
        <v>997</v>
      </c>
    </row>
    <row r="770" spans="1:7">
      <c r="A770" t="s">
        <v>360</v>
      </c>
      <c r="C770">
        <v>120</v>
      </c>
      <c r="D770">
        <v>190</v>
      </c>
      <c r="G770">
        <v>310</v>
      </c>
    </row>
    <row r="771" spans="1:7">
      <c r="A771" t="s">
        <v>338</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363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row>
    <row r="790" spans="1:7">
      <c r="A790" t="s">
        <v>505</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360</v>
      </c>
      <c r="B794">
        <v>479</v>
      </c>
      <c r="E794">
        <v>170</v>
      </c>
      <c r="G794">
        <v>649</v>
      </c>
    </row>
    <row r="795" spans="1:7">
      <c r="A795" t="s">
        <v>338</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360</v>
      </c>
      <c r="E818">
        <v>725</v>
      </c>
      <c r="G818">
        <v>725</v>
      </c>
    </row>
    <row r="819" spans="1:7">
      <c r="A819" t="s">
        <v>338</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363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139</v>
      </c>
      <c r="D829">
        <v>1282</v>
      </c>
      <c r="E829">
        <v>980</v>
      </c>
      <c r="G829">
        <v>2262</v>
      </c>
    </row>
    <row r="830" spans="1:7">
      <c r="A830" t="s">
        <v>343</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338</v>
      </c>
      <c r="D839">
        <v>986</v>
      </c>
      <c r="G839">
        <v>986</v>
      </c>
    </row>
    <row r="840" spans="1:7">
      <c r="A840" t="s">
        <v>1138</v>
      </c>
      <c r="B840">
        <v>916</v>
      </c>
      <c r="C840">
        <v>144</v>
      </c>
      <c r="G840">
        <v>1060</v>
      </c>
    </row>
    <row r="841" spans="1:7">
      <c r="A841" t="s">
        <v>572</v>
      </c>
    </row>
    <row r="842" spans="1:7">
      <c r="A842" t="s">
        <v>1012</v>
      </c>
    </row>
    <row r="843" spans="1:7">
      <c r="A843" t="s">
        <v>139</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346</v>
      </c>
      <c r="B847">
        <v>60</v>
      </c>
      <c r="C847">
        <v>219</v>
      </c>
      <c r="G847">
        <v>279</v>
      </c>
    </row>
    <row r="848" spans="1:7">
      <c r="A848" t="s">
        <v>1031</v>
      </c>
      <c r="D848">
        <v>240</v>
      </c>
      <c r="G848">
        <v>240</v>
      </c>
    </row>
    <row r="849" spans="1:7">
      <c r="A849" t="s">
        <v>1143</v>
      </c>
      <c r="C849">
        <v>1603</v>
      </c>
      <c r="D849">
        <v>791</v>
      </c>
      <c r="E849">
        <v>2803</v>
      </c>
      <c r="G849">
        <v>5197</v>
      </c>
    </row>
    <row r="850" spans="1:7">
      <c r="A850" t="s">
        <v>353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356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353</v>
      </c>
      <c r="B867">
        <v>1100</v>
      </c>
      <c r="C867">
        <v>527</v>
      </c>
      <c r="D867">
        <v>553</v>
      </c>
      <c r="G867">
        <v>2180</v>
      </c>
    </row>
    <row r="868" spans="1:7">
      <c r="A868" t="s">
        <v>578</v>
      </c>
      <c r="C868">
        <v>230</v>
      </c>
      <c r="G868">
        <v>230</v>
      </c>
    </row>
    <row r="869" spans="1:7">
      <c r="A869" t="s">
        <v>1014</v>
      </c>
      <c r="B869">
        <v>853</v>
      </c>
      <c r="G869">
        <v>853</v>
      </c>
    </row>
    <row r="870" spans="1:7">
      <c r="A870" t="s">
        <v>356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354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D880">
        <v>171</v>
      </c>
      <c r="G880">
        <v>171</v>
      </c>
    </row>
    <row r="881" spans="1:7">
      <c r="A881" t="s">
        <v>1108</v>
      </c>
      <c r="B881">
        <v>567</v>
      </c>
      <c r="G881">
        <v>567</v>
      </c>
    </row>
    <row r="882" spans="1:7">
      <c r="A882" t="s">
        <v>518</v>
      </c>
    </row>
    <row r="883" spans="1:7">
      <c r="A883" t="s">
        <v>532</v>
      </c>
      <c r="F883">
        <v>60</v>
      </c>
      <c r="G883">
        <v>60</v>
      </c>
    </row>
    <row r="884" spans="1:7">
      <c r="A884" t="s">
        <v>241</v>
      </c>
    </row>
    <row r="885" spans="1:7">
      <c r="A885" t="s">
        <v>338</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353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354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349</v>
      </c>
      <c r="D899">
        <v>3179</v>
      </c>
      <c r="G899">
        <v>3179</v>
      </c>
    </row>
    <row r="900" spans="1:7">
      <c r="A900" t="s">
        <v>609</v>
      </c>
      <c r="E900">
        <v>978</v>
      </c>
      <c r="G900">
        <v>978</v>
      </c>
    </row>
    <row r="901" spans="1:7">
      <c r="A901" t="s">
        <v>411</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338</v>
      </c>
    </row>
    <row r="911" spans="1:7">
      <c r="A911" t="s">
        <v>363</v>
      </c>
      <c r="F911">
        <v>569</v>
      </c>
      <c r="G911">
        <v>569</v>
      </c>
    </row>
    <row r="912" spans="1:7">
      <c r="A912" t="s">
        <v>637</v>
      </c>
    </row>
    <row r="913" spans="1:7">
      <c r="A913" t="s">
        <v>346</v>
      </c>
      <c r="D913">
        <v>150</v>
      </c>
      <c r="G913">
        <v>150</v>
      </c>
    </row>
    <row r="914" spans="1:7">
      <c r="A914" t="s">
        <v>356</v>
      </c>
    </row>
    <row r="915" spans="1:7">
      <c r="A915" t="s">
        <v>584</v>
      </c>
      <c r="B915">
        <v>701</v>
      </c>
      <c r="G915">
        <v>701</v>
      </c>
    </row>
    <row r="916" spans="1:7">
      <c r="A916" t="s">
        <v>972</v>
      </c>
      <c r="B916">
        <v>463</v>
      </c>
      <c r="C916">
        <v>633</v>
      </c>
      <c r="D916">
        <v>625</v>
      </c>
      <c r="G916">
        <v>1721</v>
      </c>
    </row>
    <row r="917" spans="1:7">
      <c r="A917" t="s">
        <v>354</v>
      </c>
    </row>
    <row r="918" spans="1:7">
      <c r="A918" t="s">
        <v>349</v>
      </c>
      <c r="B918">
        <v>882</v>
      </c>
      <c r="C918">
        <v>1072</v>
      </c>
      <c r="D918">
        <v>1034</v>
      </c>
      <c r="E918">
        <v>209</v>
      </c>
      <c r="G918">
        <v>3197</v>
      </c>
    </row>
    <row r="919" spans="1:7">
      <c r="A919" t="s">
        <v>609</v>
      </c>
      <c r="B919">
        <v>1420</v>
      </c>
      <c r="C919">
        <v>990</v>
      </c>
      <c r="D919">
        <v>549</v>
      </c>
      <c r="G919">
        <v>2959</v>
      </c>
    </row>
    <row r="920" spans="1:7">
      <c r="A920" t="s">
        <v>411</v>
      </c>
      <c r="B920">
        <v>259</v>
      </c>
      <c r="C920">
        <v>1087</v>
      </c>
      <c r="D920">
        <v>2206</v>
      </c>
      <c r="E920">
        <v>453</v>
      </c>
      <c r="G920">
        <v>4005</v>
      </c>
    </row>
    <row r="921" spans="1:7">
      <c r="A921" t="s">
        <v>205</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367</v>
      </c>
      <c r="B924">
        <v>207</v>
      </c>
      <c r="G924">
        <v>207</v>
      </c>
    </row>
    <row r="925" spans="1:7">
      <c r="A925" t="s">
        <v>641</v>
      </c>
      <c r="C925">
        <v>1691</v>
      </c>
      <c r="D925">
        <v>1998</v>
      </c>
      <c r="E925">
        <v>760</v>
      </c>
      <c r="F925">
        <v>3975</v>
      </c>
      <c r="G925">
        <v>8424</v>
      </c>
    </row>
    <row r="926" spans="1:7">
      <c r="A926" t="s">
        <v>612</v>
      </c>
      <c r="D926">
        <v>1031</v>
      </c>
      <c r="G926">
        <v>1031</v>
      </c>
    </row>
    <row r="927" spans="1:7">
      <c r="A927" t="s">
        <v>365</v>
      </c>
      <c r="E927">
        <v>1063</v>
      </c>
      <c r="F927">
        <v>1263</v>
      </c>
      <c r="G927">
        <v>2326</v>
      </c>
    </row>
    <row r="928" spans="1:7">
      <c r="A928" t="s">
        <v>639</v>
      </c>
      <c r="F928">
        <v>451</v>
      </c>
      <c r="G928">
        <v>451</v>
      </c>
    </row>
    <row r="929" spans="1:7">
      <c r="A929" t="s">
        <v>434</v>
      </c>
      <c r="B929">
        <v>3266</v>
      </c>
      <c r="C929">
        <v>3910</v>
      </c>
      <c r="D929">
        <v>346</v>
      </c>
      <c r="G929">
        <v>7522</v>
      </c>
    </row>
    <row r="930" spans="1:7">
      <c r="A930" t="s">
        <v>288</v>
      </c>
      <c r="C930">
        <v>372</v>
      </c>
      <c r="D930">
        <v>656</v>
      </c>
      <c r="G930">
        <v>1028</v>
      </c>
    </row>
    <row r="931" spans="1:7">
      <c r="A931" t="s">
        <v>429</v>
      </c>
      <c r="D931">
        <v>2985</v>
      </c>
      <c r="E931">
        <v>2373</v>
      </c>
      <c r="G931">
        <v>5358</v>
      </c>
    </row>
    <row r="932" spans="1:7">
      <c r="A932" t="s">
        <v>451</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343</v>
      </c>
    </row>
    <row r="940" spans="1:7">
      <c r="A940" t="s">
        <v>637</v>
      </c>
      <c r="B940">
        <v>560</v>
      </c>
      <c r="G940">
        <v>560</v>
      </c>
    </row>
    <row r="941" spans="1:7">
      <c r="A941" t="s">
        <v>356</v>
      </c>
    </row>
    <row r="942" spans="1:7">
      <c r="A942" t="s">
        <v>584</v>
      </c>
      <c r="B942">
        <v>138</v>
      </c>
      <c r="G942">
        <v>138</v>
      </c>
    </row>
    <row r="943" spans="1:7">
      <c r="A943" t="s">
        <v>354</v>
      </c>
    </row>
    <row r="944" spans="1:7">
      <c r="A944" t="s">
        <v>349</v>
      </c>
      <c r="B944">
        <v>96</v>
      </c>
      <c r="G944">
        <v>96</v>
      </c>
    </row>
    <row r="945" spans="1:7">
      <c r="A945" t="s">
        <v>609</v>
      </c>
      <c r="B945">
        <v>632</v>
      </c>
      <c r="G945">
        <v>632</v>
      </c>
    </row>
    <row r="946" spans="1:7">
      <c r="A946" t="s">
        <v>411</v>
      </c>
      <c r="B946">
        <v>558</v>
      </c>
      <c r="G946">
        <v>558</v>
      </c>
    </row>
    <row r="947" spans="1:7">
      <c r="A947" t="s">
        <v>205</v>
      </c>
      <c r="B947">
        <v>562</v>
      </c>
      <c r="D947">
        <v>474</v>
      </c>
      <c r="E947">
        <v>606</v>
      </c>
      <c r="F947">
        <v>322</v>
      </c>
      <c r="G947">
        <v>1964</v>
      </c>
    </row>
    <row r="948" spans="1:7">
      <c r="A948" t="s">
        <v>612</v>
      </c>
      <c r="B948">
        <v>1351</v>
      </c>
      <c r="D948">
        <v>890</v>
      </c>
      <c r="G948">
        <v>2241</v>
      </c>
    </row>
    <row r="949" spans="1:7">
      <c r="A949" t="s">
        <v>451</v>
      </c>
      <c r="B949">
        <v>4084</v>
      </c>
      <c r="D949">
        <v>242</v>
      </c>
      <c r="G949">
        <v>4326</v>
      </c>
    </row>
    <row r="950" spans="1:7">
      <c r="A950" t="s">
        <v>1146</v>
      </c>
      <c r="B950">
        <v>748</v>
      </c>
      <c r="C950">
        <v>1062</v>
      </c>
      <c r="G950">
        <v>1810</v>
      </c>
    </row>
    <row r="951" spans="1:7">
      <c r="A951" t="s">
        <v>351</v>
      </c>
      <c r="B951">
        <v>435</v>
      </c>
      <c r="E951">
        <v>1123</v>
      </c>
      <c r="G951">
        <v>1558</v>
      </c>
    </row>
    <row r="952" spans="1:7">
      <c r="A952" t="s">
        <v>393</v>
      </c>
      <c r="D952">
        <v>1580</v>
      </c>
      <c r="E952">
        <v>1258</v>
      </c>
      <c r="G952">
        <v>2838</v>
      </c>
    </row>
    <row r="953" spans="1:7">
      <c r="A953" t="s">
        <v>580</v>
      </c>
      <c r="D953">
        <v>877</v>
      </c>
      <c r="E953">
        <v>814</v>
      </c>
      <c r="G953">
        <v>1691</v>
      </c>
    </row>
    <row r="954" spans="1:7">
      <c r="A954" t="s">
        <v>191</v>
      </c>
      <c r="D954">
        <v>711</v>
      </c>
      <c r="E954">
        <v>325</v>
      </c>
      <c r="F954">
        <v>430</v>
      </c>
      <c r="G954">
        <v>1466</v>
      </c>
    </row>
    <row r="955" spans="1:7">
      <c r="A955" t="s">
        <v>386</v>
      </c>
      <c r="D955">
        <v>1486</v>
      </c>
      <c r="E955">
        <v>2912</v>
      </c>
      <c r="F955">
        <v>2125</v>
      </c>
      <c r="G955">
        <v>6523</v>
      </c>
    </row>
    <row r="956" spans="1:7">
      <c r="A956" t="s">
        <v>443</v>
      </c>
      <c r="D956">
        <v>1264</v>
      </c>
      <c r="E956">
        <v>1281</v>
      </c>
      <c r="G956">
        <v>2545</v>
      </c>
    </row>
    <row r="957" spans="1:7">
      <c r="A957" t="s">
        <v>1147</v>
      </c>
    </row>
    <row r="958" spans="1:7">
      <c r="A958" t="s">
        <v>456</v>
      </c>
      <c r="D958">
        <v>3678</v>
      </c>
      <c r="E958">
        <v>3382</v>
      </c>
      <c r="G958">
        <v>7060</v>
      </c>
    </row>
    <row r="959" spans="1:7">
      <c r="A959" t="s">
        <v>1148</v>
      </c>
      <c r="F959">
        <v>1505</v>
      </c>
      <c r="G959">
        <v>1505</v>
      </c>
    </row>
    <row r="960" spans="1:7">
      <c r="A960" t="s">
        <v>492</v>
      </c>
      <c r="E960">
        <v>424</v>
      </c>
      <c r="G960">
        <v>424</v>
      </c>
    </row>
    <row r="961" spans="1:7">
      <c r="A961" t="s">
        <v>458</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241</v>
      </c>
      <c r="B969">
        <v>446</v>
      </c>
      <c r="C969">
        <v>120</v>
      </c>
      <c r="D969">
        <v>550</v>
      </c>
      <c r="G969">
        <v>1116</v>
      </c>
    </row>
    <row r="970" spans="1:7">
      <c r="A970" t="s">
        <v>637</v>
      </c>
      <c r="C970">
        <v>17</v>
      </c>
      <c r="G970">
        <v>17</v>
      </c>
    </row>
    <row r="971" spans="1:7">
      <c r="A971" t="s">
        <v>584</v>
      </c>
    </row>
    <row r="972" spans="1:7">
      <c r="A972" t="s">
        <v>411</v>
      </c>
      <c r="B972">
        <v>127</v>
      </c>
      <c r="G972">
        <v>127</v>
      </c>
    </row>
    <row r="973" spans="1:7">
      <c r="A973" t="s">
        <v>205</v>
      </c>
      <c r="B973">
        <v>420</v>
      </c>
      <c r="G973">
        <v>420</v>
      </c>
    </row>
    <row r="974" spans="1:7">
      <c r="A974" t="s">
        <v>612</v>
      </c>
    </row>
    <row r="975" spans="1:7">
      <c r="A975" t="s">
        <v>351</v>
      </c>
      <c r="C975">
        <v>1917</v>
      </c>
      <c r="E975">
        <v>272</v>
      </c>
      <c r="G975">
        <v>2189</v>
      </c>
    </row>
    <row r="976" spans="1:7">
      <c r="A976" t="s">
        <v>580</v>
      </c>
      <c r="B976">
        <v>956</v>
      </c>
      <c r="G976">
        <v>956</v>
      </c>
    </row>
    <row r="977" spans="1:7">
      <c r="A977" t="s">
        <v>191</v>
      </c>
      <c r="E977">
        <v>195</v>
      </c>
      <c r="G977">
        <v>195</v>
      </c>
    </row>
    <row r="978" spans="1:7">
      <c r="A978" t="s">
        <v>386</v>
      </c>
      <c r="B978">
        <v>1449</v>
      </c>
      <c r="G978">
        <v>1449</v>
      </c>
    </row>
    <row r="979" spans="1:7">
      <c r="A979" t="s">
        <v>443</v>
      </c>
      <c r="B979">
        <v>1662</v>
      </c>
      <c r="C979">
        <v>2684</v>
      </c>
      <c r="F979">
        <v>51</v>
      </c>
      <c r="G979">
        <v>4397</v>
      </c>
    </row>
    <row r="980" spans="1:7">
      <c r="A980" t="s">
        <v>453</v>
      </c>
      <c r="B980">
        <v>5466</v>
      </c>
      <c r="E980">
        <v>2252</v>
      </c>
      <c r="G980">
        <v>7718</v>
      </c>
    </row>
    <row r="981" spans="1:7">
      <c r="A981" t="s">
        <v>1148</v>
      </c>
      <c r="B981">
        <v>907</v>
      </c>
      <c r="G981">
        <v>907</v>
      </c>
    </row>
    <row r="982" spans="1:7">
      <c r="A982" t="s">
        <v>492</v>
      </c>
      <c r="E982">
        <v>313</v>
      </c>
      <c r="F982">
        <v>3007</v>
      </c>
      <c r="G982">
        <v>3320</v>
      </c>
    </row>
    <row r="983" spans="1:7">
      <c r="A983" t="s">
        <v>458</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398</v>
      </c>
      <c r="C987">
        <v>1679</v>
      </c>
      <c r="D987">
        <v>1429</v>
      </c>
      <c r="E987">
        <v>1624</v>
      </c>
      <c r="G987">
        <v>4732</v>
      </c>
    </row>
    <row r="988" spans="1:7">
      <c r="A988" t="s">
        <v>387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505</v>
      </c>
      <c r="C1005">
        <v>68</v>
      </c>
      <c r="G1005">
        <v>68</v>
      </c>
    </row>
    <row r="1006" spans="1:7">
      <c r="A1006" t="s">
        <v>1133</v>
      </c>
    </row>
    <row r="1007" spans="1:7">
      <c r="A1007" t="s">
        <v>343</v>
      </c>
    </row>
    <row r="1008" spans="1:7">
      <c r="A1008" t="s">
        <v>972</v>
      </c>
    </row>
    <row r="1009" spans="1:7">
      <c r="A1009" t="s">
        <v>354</v>
      </c>
    </row>
    <row r="1010" spans="1:7">
      <c r="A1010" t="s">
        <v>349</v>
      </c>
    </row>
    <row r="1011" spans="1:7">
      <c r="A1011" t="s">
        <v>205</v>
      </c>
      <c r="D1011">
        <v>426</v>
      </c>
      <c r="G1011">
        <v>426</v>
      </c>
    </row>
    <row r="1012" spans="1:7">
      <c r="A1012" t="s">
        <v>365</v>
      </c>
    </row>
    <row r="1013" spans="1:7">
      <c r="A1013" t="s">
        <v>434</v>
      </c>
    </row>
    <row r="1014" spans="1:7">
      <c r="A1014" t="s">
        <v>288</v>
      </c>
      <c r="C1014">
        <v>1175</v>
      </c>
      <c r="G1014">
        <v>1175</v>
      </c>
    </row>
    <row r="1015" spans="1:7">
      <c r="A1015" t="s">
        <v>429</v>
      </c>
      <c r="C1015">
        <v>996</v>
      </c>
      <c r="G1015">
        <v>996</v>
      </c>
    </row>
    <row r="1016" spans="1:7">
      <c r="A1016" t="s">
        <v>351</v>
      </c>
      <c r="B1016">
        <v>900</v>
      </c>
      <c r="G1016">
        <v>900</v>
      </c>
    </row>
    <row r="1017" spans="1:7">
      <c r="A1017" t="s">
        <v>393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398</v>
      </c>
      <c r="B1022">
        <v>572</v>
      </c>
      <c r="G1022">
        <v>572</v>
      </c>
    </row>
    <row r="1023" spans="1:7">
      <c r="A1023" t="s">
        <v>1151</v>
      </c>
      <c r="B1023">
        <v>1718</v>
      </c>
      <c r="C1023">
        <v>2478</v>
      </c>
      <c r="D1023">
        <v>1567</v>
      </c>
      <c r="G1023">
        <v>5763</v>
      </c>
    </row>
    <row r="1024" spans="1:7">
      <c r="A1024" t="s">
        <v>461</v>
      </c>
      <c r="C1024">
        <v>3411</v>
      </c>
      <c r="G1024">
        <v>3411</v>
      </c>
    </row>
    <row r="1025" spans="1:7">
      <c r="A1025" t="s">
        <v>181</v>
      </c>
      <c r="B1025">
        <v>82</v>
      </c>
      <c r="G1025">
        <v>82</v>
      </c>
    </row>
    <row r="1026" spans="1:7">
      <c r="A1026" t="s">
        <v>464</v>
      </c>
      <c r="C1026">
        <v>3311</v>
      </c>
      <c r="G1026">
        <v>3311</v>
      </c>
    </row>
    <row r="1027" spans="1:7">
      <c r="A1027" t="s">
        <v>432</v>
      </c>
    </row>
    <row r="1028" spans="1:7">
      <c r="A1028" t="s">
        <v>389</v>
      </c>
      <c r="C1028">
        <v>2568</v>
      </c>
      <c r="G1028">
        <v>2568</v>
      </c>
    </row>
    <row r="1029" spans="1:7">
      <c r="A1029" t="s">
        <v>601</v>
      </c>
      <c r="B1029">
        <v>286</v>
      </c>
      <c r="C1029">
        <v>357</v>
      </c>
      <c r="D1029">
        <v>331</v>
      </c>
      <c r="G1029">
        <v>974</v>
      </c>
    </row>
    <row r="1030" spans="1:7">
      <c r="A1030" t="s">
        <v>380</v>
      </c>
      <c r="B1030">
        <v>1655</v>
      </c>
      <c r="C1030">
        <v>2537</v>
      </c>
      <c r="G1030">
        <v>4192</v>
      </c>
    </row>
    <row r="1031" spans="1:7">
      <c r="A1031" t="s">
        <v>445</v>
      </c>
      <c r="C1031">
        <v>2382</v>
      </c>
      <c r="G1031">
        <v>2382</v>
      </c>
    </row>
    <row r="1032" spans="1:7">
      <c r="A1032" t="s">
        <v>592</v>
      </c>
      <c r="C1032">
        <v>1100</v>
      </c>
      <c r="D1032">
        <v>855</v>
      </c>
      <c r="G1032">
        <v>1955</v>
      </c>
    </row>
    <row r="1033" spans="1:7">
      <c r="A1033" t="s">
        <v>1152</v>
      </c>
      <c r="C1033">
        <v>486</v>
      </c>
      <c r="G1033">
        <v>486</v>
      </c>
    </row>
    <row r="1034" spans="1:7">
      <c r="A1034" t="s">
        <v>467</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437</v>
      </c>
    </row>
    <row r="1043" spans="1:7">
      <c r="A1043" t="s">
        <v>439</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288</v>
      </c>
      <c r="B1053">
        <v>1515</v>
      </c>
      <c r="G1053">
        <v>1515</v>
      </c>
    </row>
    <row r="1054" spans="1:7">
      <c r="A1054" t="s">
        <v>453</v>
      </c>
      <c r="E1054">
        <v>64</v>
      </c>
      <c r="G1054">
        <v>64</v>
      </c>
    </row>
    <row r="1055" spans="1:7">
      <c r="A1055" t="s">
        <v>456</v>
      </c>
    </row>
    <row r="1056" spans="1:7">
      <c r="A1056" t="s">
        <v>589</v>
      </c>
      <c r="B1056">
        <v>1610</v>
      </c>
      <c r="G1056">
        <v>1610</v>
      </c>
    </row>
    <row r="1057" spans="1:7">
      <c r="A1057" t="s">
        <v>586</v>
      </c>
    </row>
    <row r="1058" spans="1:7">
      <c r="A1058" t="s">
        <v>461</v>
      </c>
      <c r="E1058">
        <v>52</v>
      </c>
      <c r="G1058">
        <v>52</v>
      </c>
    </row>
    <row r="1059" spans="1:7">
      <c r="A1059" t="s">
        <v>389</v>
      </c>
      <c r="E1059">
        <v>489</v>
      </c>
      <c r="F1059">
        <v>2020</v>
      </c>
      <c r="G1059">
        <v>2509</v>
      </c>
    </row>
    <row r="1060" spans="1:7">
      <c r="A1060" t="s">
        <v>380</v>
      </c>
      <c r="B1060">
        <v>2113</v>
      </c>
      <c r="D1060">
        <v>1677</v>
      </c>
      <c r="E1060">
        <v>1316</v>
      </c>
      <c r="G1060">
        <v>5106</v>
      </c>
    </row>
    <row r="1061" spans="1:7">
      <c r="A1061" t="s">
        <v>445</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467</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489</v>
      </c>
      <c r="B1067">
        <v>1829</v>
      </c>
      <c r="C1067">
        <v>2302</v>
      </c>
      <c r="D1067">
        <v>694</v>
      </c>
      <c r="G1067">
        <v>4825</v>
      </c>
    </row>
    <row r="1068" spans="1:7">
      <c r="A1068" t="s">
        <v>448</v>
      </c>
      <c r="B1068">
        <v>1391</v>
      </c>
      <c r="C1068">
        <v>2916</v>
      </c>
      <c r="D1068">
        <v>2430</v>
      </c>
      <c r="G1068">
        <v>6737</v>
      </c>
    </row>
    <row r="1069" spans="1:7">
      <c r="A1069" t="s">
        <v>561</v>
      </c>
      <c r="D1069">
        <v>466</v>
      </c>
      <c r="E1069">
        <v>345</v>
      </c>
      <c r="G1069">
        <v>811</v>
      </c>
    </row>
    <row r="1070" spans="1:7">
      <c r="A1070" t="s">
        <v>401</v>
      </c>
      <c r="E1070">
        <v>1431</v>
      </c>
      <c r="G1070">
        <v>1431</v>
      </c>
    </row>
    <row r="1071" spans="1:7">
      <c r="A1071" t="s">
        <v>567</v>
      </c>
      <c r="D1071">
        <v>1379</v>
      </c>
      <c r="E1071">
        <v>1154</v>
      </c>
      <c r="G1071">
        <v>2533</v>
      </c>
    </row>
    <row r="1072" spans="1:7">
      <c r="A1072" t="s">
        <v>440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429</v>
      </c>
      <c r="C1082">
        <v>2203</v>
      </c>
      <c r="G1082">
        <v>2203</v>
      </c>
    </row>
    <row r="1083" spans="1:7">
      <c r="A1083" t="s">
        <v>458</v>
      </c>
      <c r="E1083">
        <v>242</v>
      </c>
      <c r="G1083">
        <v>242</v>
      </c>
    </row>
    <row r="1084" spans="1:7">
      <c r="A1084" t="s">
        <v>589</v>
      </c>
    </row>
    <row r="1085" spans="1:7">
      <c r="A1085" t="s">
        <v>389</v>
      </c>
      <c r="B1085">
        <v>428</v>
      </c>
      <c r="G1085">
        <v>428</v>
      </c>
    </row>
    <row r="1086" spans="1:7">
      <c r="A1086" t="s">
        <v>1153</v>
      </c>
    </row>
    <row r="1087" spans="1:7">
      <c r="A1087" t="s">
        <v>1155</v>
      </c>
      <c r="C1087">
        <v>265</v>
      </c>
      <c r="D1087">
        <v>542</v>
      </c>
      <c r="E1087">
        <v>739</v>
      </c>
      <c r="G1087">
        <v>1546</v>
      </c>
    </row>
    <row r="1088" spans="1:7">
      <c r="A1088" t="s">
        <v>489</v>
      </c>
      <c r="D1088">
        <v>91</v>
      </c>
      <c r="G1088">
        <v>91</v>
      </c>
    </row>
    <row r="1089" spans="1:7">
      <c r="A1089" t="s">
        <v>561</v>
      </c>
      <c r="B1089">
        <v>1172</v>
      </c>
      <c r="G1089">
        <v>1172</v>
      </c>
    </row>
    <row r="1090" spans="1:7">
      <c r="A1090" t="s">
        <v>401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1158</v>
      </c>
    </row>
    <row r="1096" spans="1:7">
      <c r="A1096" t="s">
        <v>374</v>
      </c>
      <c r="C1096">
        <v>1640</v>
      </c>
      <c r="D1096">
        <v>1177</v>
      </c>
      <c r="G1096">
        <v>2817</v>
      </c>
    </row>
    <row r="1097" spans="1:7">
      <c r="A1097" t="s">
        <v>470</v>
      </c>
      <c r="C1097">
        <v>1980</v>
      </c>
      <c r="D1097">
        <v>1251</v>
      </c>
      <c r="E1097">
        <v>3172</v>
      </c>
      <c r="G1097">
        <v>6403</v>
      </c>
    </row>
    <row r="1098" spans="1:7">
      <c r="A1098" t="s">
        <v>293</v>
      </c>
      <c r="C1098">
        <v>1111</v>
      </c>
      <c r="D1098">
        <v>1373</v>
      </c>
      <c r="E1098">
        <v>1090</v>
      </c>
      <c r="F1098">
        <v>1204</v>
      </c>
      <c r="G1098">
        <v>4778</v>
      </c>
    </row>
    <row r="1099" spans="1:7">
      <c r="A1099" t="s">
        <v>558</v>
      </c>
      <c r="C1099">
        <v>1500</v>
      </c>
      <c r="D1099">
        <v>1084</v>
      </c>
      <c r="G1099">
        <v>2584</v>
      </c>
    </row>
    <row r="1100" spans="1:7">
      <c r="A1100" t="s">
        <v>377</v>
      </c>
      <c r="D1100">
        <v>817</v>
      </c>
      <c r="E1100">
        <v>1820</v>
      </c>
      <c r="G1100">
        <v>2637</v>
      </c>
    </row>
    <row r="1101" spans="1:7">
      <c r="A1101" t="s">
        <v>552</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434</v>
      </c>
    </row>
    <row r="1111" spans="1:7">
      <c r="A1111" t="s">
        <v>456</v>
      </c>
    </row>
    <row r="1112" spans="1:7">
      <c r="A1112" t="s">
        <v>492</v>
      </c>
      <c r="E1112">
        <v>396</v>
      </c>
      <c r="G1112">
        <v>396</v>
      </c>
    </row>
    <row r="1113" spans="1:7">
      <c r="A1113" t="s">
        <v>458</v>
      </c>
    </row>
    <row r="1114" spans="1:7">
      <c r="A1114" t="s">
        <v>589</v>
      </c>
    </row>
    <row r="1115" spans="1:7">
      <c r="A1115" t="s">
        <v>464</v>
      </c>
      <c r="B1115">
        <v>87</v>
      </c>
      <c r="G1115">
        <v>87</v>
      </c>
    </row>
    <row r="1116" spans="1:7">
      <c r="A1116" t="s">
        <v>1155</v>
      </c>
      <c r="B1116">
        <v>671</v>
      </c>
      <c r="C1116">
        <v>1204</v>
      </c>
      <c r="D1116">
        <v>1210</v>
      </c>
      <c r="E1116">
        <v>292</v>
      </c>
      <c r="G1116">
        <v>3377</v>
      </c>
    </row>
    <row r="1117" spans="1:7">
      <c r="A1117" t="s">
        <v>489</v>
      </c>
      <c r="D1117">
        <v>320</v>
      </c>
      <c r="E1117">
        <v>652</v>
      </c>
      <c r="F1117">
        <v>780</v>
      </c>
      <c r="G1117">
        <v>1752</v>
      </c>
    </row>
    <row r="1118" spans="1:7">
      <c r="A1118" t="s">
        <v>561</v>
      </c>
      <c r="D1118">
        <v>163</v>
      </c>
      <c r="G1118">
        <v>163</v>
      </c>
    </row>
    <row r="1119" spans="1:7">
      <c r="A1119" t="s">
        <v>440</v>
      </c>
      <c r="D1119">
        <v>372</v>
      </c>
      <c r="F1119">
        <v>582</v>
      </c>
      <c r="G1119">
        <v>954</v>
      </c>
    </row>
    <row r="1120" spans="1:7">
      <c r="A1120" t="s">
        <v>1156</v>
      </c>
      <c r="B1120">
        <v>752</v>
      </c>
      <c r="C1120">
        <v>1249</v>
      </c>
      <c r="D1120">
        <v>235</v>
      </c>
      <c r="E1120">
        <v>563</v>
      </c>
      <c r="F1120">
        <v>483</v>
      </c>
      <c r="G1120">
        <v>3282</v>
      </c>
    </row>
    <row r="1121" spans="1:7">
      <c r="A1121" t="s">
        <v>479</v>
      </c>
      <c r="D1121">
        <v>1049</v>
      </c>
      <c r="G1121">
        <v>1049</v>
      </c>
    </row>
    <row r="1122" spans="1:7">
      <c r="A1122" t="s">
        <v>470</v>
      </c>
      <c r="B1122">
        <v>29</v>
      </c>
      <c r="G1122">
        <v>29</v>
      </c>
    </row>
    <row r="1123" spans="1:7">
      <c r="A1123" t="s">
        <v>293</v>
      </c>
      <c r="F1123">
        <v>1235</v>
      </c>
      <c r="G1123">
        <v>1235</v>
      </c>
    </row>
    <row r="1124" spans="1:7">
      <c r="A1124" t="s">
        <v>558</v>
      </c>
    </row>
    <row r="1125" spans="1:7">
      <c r="A1125" t="s">
        <v>552</v>
      </c>
      <c r="B1125">
        <v>689</v>
      </c>
      <c r="C1125">
        <v>586</v>
      </c>
      <c r="D1125">
        <v>199</v>
      </c>
      <c r="G1125">
        <v>1474</v>
      </c>
    </row>
    <row r="1126" spans="1:7">
      <c r="A1126" t="s">
        <v>273</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197</v>
      </c>
      <c r="C1129">
        <v>890</v>
      </c>
      <c r="D1129">
        <v>1810</v>
      </c>
      <c r="E1129">
        <v>967</v>
      </c>
      <c r="G1129">
        <v>3667</v>
      </c>
    </row>
    <row r="1130" spans="1:7">
      <c r="A1130" t="s">
        <v>391</v>
      </c>
      <c r="B1130">
        <v>1511</v>
      </c>
      <c r="C1130">
        <v>1887</v>
      </c>
      <c r="D1130">
        <v>916</v>
      </c>
      <c r="E1130">
        <v>1704</v>
      </c>
      <c r="F1130">
        <v>974</v>
      </c>
      <c r="G1130">
        <v>6992</v>
      </c>
    </row>
    <row r="1131" spans="1:7">
      <c r="A1131" t="s">
        <v>473</v>
      </c>
      <c r="C1131">
        <v>1617</v>
      </c>
      <c r="D1131">
        <v>1083</v>
      </c>
      <c r="E1131">
        <v>1905</v>
      </c>
      <c r="F1131">
        <v>2064</v>
      </c>
      <c r="G1131">
        <v>6669</v>
      </c>
    </row>
    <row r="1132" spans="1:7">
      <c r="A1132" t="s">
        <v>299</v>
      </c>
      <c r="D1132">
        <v>95</v>
      </c>
      <c r="E1132">
        <v>881</v>
      </c>
      <c r="G1132">
        <v>976</v>
      </c>
    </row>
    <row r="1133" spans="1:7">
      <c r="A1133" t="s">
        <v>296</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489</v>
      </c>
      <c r="B1144">
        <v>870</v>
      </c>
      <c r="G1144">
        <v>870</v>
      </c>
    </row>
    <row r="1145" spans="1:7">
      <c r="A1145" t="s">
        <v>440</v>
      </c>
      <c r="B1145">
        <v>551</v>
      </c>
      <c r="G1145">
        <v>551</v>
      </c>
    </row>
    <row r="1146" spans="1:7">
      <c r="A1146" t="s">
        <v>1156</v>
      </c>
    </row>
    <row r="1147" spans="1:7">
      <c r="A1147" t="s">
        <v>273</v>
      </c>
      <c r="B1147">
        <v>154</v>
      </c>
      <c r="G1147">
        <v>154</v>
      </c>
    </row>
    <row r="1148" spans="1:7">
      <c r="A1148" t="s">
        <v>564</v>
      </c>
      <c r="B1148">
        <v>342</v>
      </c>
      <c r="G1148">
        <v>342</v>
      </c>
    </row>
    <row r="1149" spans="1:7">
      <c r="A1149" t="s">
        <v>473</v>
      </c>
    </row>
    <row r="1150" spans="1:7">
      <c r="A1150" t="s">
        <v>299</v>
      </c>
      <c r="B1150">
        <v>3523</v>
      </c>
      <c r="C1150">
        <v>2384</v>
      </c>
      <c r="G1150">
        <v>5907</v>
      </c>
    </row>
    <row r="1151" spans="1:7">
      <c r="A1151" t="s">
        <v>296</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401</v>
      </c>
    </row>
    <row r="1166" spans="1:7">
      <c r="A1166" t="s">
        <v>440</v>
      </c>
      <c r="B1166">
        <v>738</v>
      </c>
      <c r="C1166">
        <v>466</v>
      </c>
      <c r="G1166">
        <v>1204</v>
      </c>
    </row>
    <row r="1167" spans="1:7">
      <c r="A1167" t="s">
        <v>479</v>
      </c>
      <c r="B1167">
        <v>0</v>
      </c>
      <c r="G1167">
        <v>0</v>
      </c>
    </row>
    <row r="1168" spans="1:7">
      <c r="A1168" t="s">
        <v>273</v>
      </c>
      <c r="D1168">
        <v>173</v>
      </c>
      <c r="G1168">
        <v>173</v>
      </c>
    </row>
    <row r="1169" spans="1:7">
      <c r="A1169" t="s">
        <v>296</v>
      </c>
      <c r="B1169">
        <v>1297</v>
      </c>
      <c r="G1169">
        <v>1297</v>
      </c>
    </row>
    <row r="1170" spans="1:7">
      <c r="A1170" t="s">
        <v>604</v>
      </c>
      <c r="B1170">
        <v>100</v>
      </c>
      <c r="G1170">
        <v>100</v>
      </c>
    </row>
    <row r="1171" spans="1:7">
      <c r="A1171" t="s">
        <v>483</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365</v>
      </c>
      <c r="F1181">
        <v>0</v>
      </c>
      <c r="G1181">
        <v>0</v>
      </c>
    </row>
    <row r="1182" spans="1:7">
      <c r="A1182" t="s">
        <v>429</v>
      </c>
      <c r="C1182">
        <v>0</v>
      </c>
      <c r="G1182">
        <v>0</v>
      </c>
    </row>
    <row r="1183" spans="1:7">
      <c r="A1183" t="s">
        <v>467</v>
      </c>
    </row>
    <row r="1184" spans="1:7">
      <c r="A1184" t="s">
        <v>440</v>
      </c>
      <c r="B1184">
        <v>3728</v>
      </c>
      <c r="C1184">
        <v>1789</v>
      </c>
      <c r="G1184">
        <v>5517</v>
      </c>
    </row>
    <row r="1185" spans="1:7">
      <c r="A1185" t="s">
        <v>476</v>
      </c>
      <c r="D1185">
        <v>0</v>
      </c>
      <c r="G1185">
        <v>0</v>
      </c>
    </row>
    <row r="1186" spans="1:7">
      <c r="A1186" t="s">
        <v>293</v>
      </c>
    </row>
    <row r="1187" spans="1:7">
      <c r="A1187" t="s">
        <v>473</v>
      </c>
      <c r="D1187">
        <v>0</v>
      </c>
      <c r="F1187">
        <v>104</v>
      </c>
      <c r="G1187">
        <v>104</v>
      </c>
    </row>
    <row r="1188" spans="1:7">
      <c r="A1188" t="s">
        <v>483</v>
      </c>
      <c r="B1188">
        <v>568</v>
      </c>
      <c r="G1188">
        <v>568</v>
      </c>
    </row>
    <row r="1189" spans="1:7">
      <c r="A1189" t="s">
        <v>245</v>
      </c>
      <c r="B1189">
        <v>1105</v>
      </c>
      <c r="C1189">
        <v>942</v>
      </c>
      <c r="D1189">
        <v>2151</v>
      </c>
      <c r="E1189">
        <v>1926</v>
      </c>
      <c r="F1189">
        <v>1000</v>
      </c>
      <c r="G1189">
        <v>7124</v>
      </c>
    </row>
    <row r="1190" spans="1:7">
      <c r="A1190" t="s">
        <v>406</v>
      </c>
      <c r="B1190">
        <v>1353</v>
      </c>
      <c r="C1190">
        <v>1153</v>
      </c>
      <c r="G1190">
        <v>2506</v>
      </c>
    </row>
    <row r="1191" spans="1:7">
      <c r="A1191" t="s">
        <v>486</v>
      </c>
      <c r="C1191">
        <v>2362</v>
      </c>
      <c r="D1191">
        <v>3079</v>
      </c>
      <c r="G1191">
        <v>5441</v>
      </c>
    </row>
    <row r="1192" spans="1:7">
      <c r="A1192" t="s">
        <v>1009</v>
      </c>
      <c r="C1192">
        <v>1534</v>
      </c>
      <c r="D1192">
        <v>180</v>
      </c>
      <c r="G1192">
        <v>1714</v>
      </c>
    </row>
    <row r="1193" spans="1:7">
      <c r="A1193" t="s">
        <v>395</v>
      </c>
      <c r="D1193">
        <v>1687</v>
      </c>
      <c r="E1193">
        <v>1053</v>
      </c>
      <c r="G1193">
        <v>2740</v>
      </c>
    </row>
    <row r="1194" spans="1:7">
      <c r="A1194" t="s">
        <v>1018</v>
      </c>
      <c r="D1194">
        <v>1056</v>
      </c>
      <c r="G1194">
        <v>1056</v>
      </c>
    </row>
    <row r="1195" spans="1:7">
      <c r="A1195" t="s">
        <v>302</v>
      </c>
      <c r="E1195">
        <v>2367</v>
      </c>
      <c r="F1195">
        <v>447</v>
      </c>
      <c r="G1195">
        <v>2814</v>
      </c>
    </row>
    <row r="1196" spans="1:7">
      <c r="A1196" t="s">
        <v>260</v>
      </c>
      <c r="F1196">
        <v>0</v>
      </c>
      <c r="G1196">
        <v>0</v>
      </c>
    </row>
    <row r="1197" spans="1:7">
      <c r="A1197" t="s">
        <v>383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241</v>
      </c>
      <c r="D1206">
        <v>1200</v>
      </c>
      <c r="E1206">
        <v>445</v>
      </c>
      <c r="F1206">
        <v>686</v>
      </c>
      <c r="G1206">
        <v>2331</v>
      </c>
    </row>
    <row r="1207" spans="1:7">
      <c r="A1207" t="s">
        <v>534</v>
      </c>
    </row>
    <row r="1208" spans="1:7">
      <c r="A1208" t="s">
        <v>343</v>
      </c>
    </row>
    <row r="1209" spans="1:7">
      <c r="A1209" t="s">
        <v>367</v>
      </c>
    </row>
    <row r="1210" spans="1:7">
      <c r="A1210" t="s">
        <v>293</v>
      </c>
    </row>
    <row r="1211" spans="1:7">
      <c r="A1211" t="s">
        <v>245</v>
      </c>
      <c r="B1211">
        <v>1812</v>
      </c>
      <c r="C1211">
        <v>1838</v>
      </c>
      <c r="E1211">
        <v>0</v>
      </c>
      <c r="G1211">
        <v>3650</v>
      </c>
    </row>
    <row r="1212" spans="1:7">
      <c r="A1212" t="s">
        <v>406</v>
      </c>
      <c r="B1212">
        <v>1314</v>
      </c>
      <c r="G1212">
        <v>1314</v>
      </c>
    </row>
    <row r="1213" spans="1:7">
      <c r="A1213" t="s">
        <v>1009</v>
      </c>
      <c r="D1213">
        <v>0</v>
      </c>
      <c r="G1213">
        <v>0</v>
      </c>
    </row>
    <row r="1214" spans="1:7">
      <c r="A1214" t="s">
        <v>395</v>
      </c>
      <c r="B1214">
        <v>0</v>
      </c>
      <c r="G1214">
        <v>0</v>
      </c>
    </row>
    <row r="1215" spans="1:7">
      <c r="A1215" t="s">
        <v>1018</v>
      </c>
      <c r="B1215">
        <v>1356</v>
      </c>
      <c r="C1215">
        <v>1435</v>
      </c>
      <c r="D1215">
        <v>1295</v>
      </c>
      <c r="G1215">
        <v>4086</v>
      </c>
    </row>
    <row r="1216" spans="1:7">
      <c r="A1216" t="s">
        <v>302</v>
      </c>
      <c r="B1216">
        <v>858</v>
      </c>
      <c r="G1216">
        <v>858</v>
      </c>
    </row>
    <row r="1217" spans="1:7">
      <c r="A1217" t="s">
        <v>383</v>
      </c>
      <c r="B1217">
        <v>926</v>
      </c>
      <c r="C1217">
        <v>1128</v>
      </c>
      <c r="D1217">
        <v>1082</v>
      </c>
      <c r="E1217">
        <v>1325</v>
      </c>
      <c r="F1217">
        <v>441</v>
      </c>
      <c r="G1217">
        <v>4902</v>
      </c>
    </row>
    <row r="1218" spans="1:7">
      <c r="A1218" t="s">
        <v>75</v>
      </c>
      <c r="B1218">
        <v>205</v>
      </c>
      <c r="F1218">
        <v>107</v>
      </c>
      <c r="G1218">
        <v>312</v>
      </c>
    </row>
    <row r="1219" spans="1:7">
      <c r="A1219" t="s">
        <v>421</v>
      </c>
      <c r="B1219">
        <v>4915</v>
      </c>
      <c r="C1219">
        <v>914</v>
      </c>
      <c r="D1219">
        <v>0</v>
      </c>
      <c r="G1219">
        <v>5829</v>
      </c>
    </row>
    <row r="1220" spans="1:7">
      <c r="A1220" t="s">
        <v>305</v>
      </c>
      <c r="B1220">
        <v>813</v>
      </c>
      <c r="C1220">
        <v>1491</v>
      </c>
      <c r="D1220">
        <v>1062</v>
      </c>
      <c r="E1220">
        <v>527</v>
      </c>
      <c r="G1220">
        <v>3893</v>
      </c>
    </row>
    <row r="1221" spans="1:7">
      <c r="A1221" t="s">
        <v>417</v>
      </c>
    </row>
    <row r="1222" spans="1:7">
      <c r="A1222" t="s">
        <v>404</v>
      </c>
    </row>
    <row r="1223" spans="1:7">
      <c r="A1223" t="s">
        <v>423</v>
      </c>
      <c r="C1223">
        <v>6092</v>
      </c>
      <c r="D1223">
        <v>0</v>
      </c>
      <c r="E1223">
        <v>0</v>
      </c>
      <c r="G1223">
        <v>6092</v>
      </c>
    </row>
    <row r="1224" spans="1:7">
      <c r="A1224" t="s">
        <v>308</v>
      </c>
      <c r="C1224">
        <v>822</v>
      </c>
      <c r="D1224">
        <v>2611</v>
      </c>
      <c r="G1224">
        <v>3433</v>
      </c>
    </row>
    <row r="1225" spans="1:7">
      <c r="A1225" t="s">
        <v>310</v>
      </c>
      <c r="D1225">
        <v>544</v>
      </c>
      <c r="E1225">
        <v>2832</v>
      </c>
      <c r="F1225">
        <v>457</v>
      </c>
      <c r="G1225">
        <v>3833</v>
      </c>
    </row>
    <row r="1226" spans="1:7">
      <c r="A1226" t="s">
        <v>425</v>
      </c>
      <c r="D1226">
        <v>1728</v>
      </c>
      <c r="F1226">
        <v>3082</v>
      </c>
      <c r="G1226">
        <v>4810</v>
      </c>
    </row>
    <row r="1227" spans="1:7">
      <c r="A1227" t="s">
        <v>312</v>
      </c>
      <c r="E1227">
        <v>1562</v>
      </c>
      <c r="F1227">
        <v>1798</v>
      </c>
      <c r="G1227">
        <v>3360</v>
      </c>
    </row>
    <row r="1228" spans="1:7">
      <c r="A1228" t="s">
        <v>314</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c r="C1236">
        <v>0</v>
      </c>
      <c r="F1236">
        <v>0</v>
      </c>
    </row>
    <row r="1237" spans="1:6">
      <c r="A1237" t="s">
        <v>1133</v>
      </c>
      <c r="D1237">
        <v>150</v>
      </c>
      <c r="E1237">
        <v>0</v>
      </c>
      <c r="F1237">
        <v>150</v>
      </c>
    </row>
    <row r="1238" spans="1:6">
      <c r="A1238" t="s">
        <v>406</v>
      </c>
    </row>
    <row r="1239" spans="1:6">
      <c r="A1239" t="s">
        <v>1018</v>
      </c>
      <c r="C1239">
        <v>0</v>
      </c>
      <c r="F1239">
        <v>0</v>
      </c>
    </row>
    <row r="1240" spans="1:6">
      <c r="A1240" t="s">
        <v>75</v>
      </c>
      <c r="C1240">
        <v>183</v>
      </c>
      <c r="D1240">
        <v>182</v>
      </c>
      <c r="E1240">
        <v>186</v>
      </c>
      <c r="F1240">
        <v>551</v>
      </c>
    </row>
    <row r="1241" spans="1:6">
      <c r="A1241" t="s">
        <v>310</v>
      </c>
      <c r="C1241">
        <v>506</v>
      </c>
      <c r="F1241">
        <v>506</v>
      </c>
    </row>
    <row r="1242" spans="1:6">
      <c r="A1242" t="s">
        <v>312</v>
      </c>
      <c r="D1242">
        <v>2265</v>
      </c>
      <c r="F1242">
        <v>2265</v>
      </c>
    </row>
    <row r="1243" spans="1:6">
      <c r="A1243" t="s">
        <v>314</v>
      </c>
      <c r="C1243">
        <v>0</v>
      </c>
      <c r="D1243">
        <v>575</v>
      </c>
      <c r="F1243">
        <v>575</v>
      </c>
    </row>
    <row r="1244" spans="1:6">
      <c r="A1244" t="s">
        <v>176</v>
      </c>
      <c r="C1244">
        <v>1344</v>
      </c>
      <c r="F1244">
        <v>1344</v>
      </c>
    </row>
    <row r="1245" spans="1:6">
      <c r="A1245" t="s">
        <v>1160</v>
      </c>
      <c r="C1245">
        <v>660</v>
      </c>
      <c r="D1245">
        <v>754</v>
      </c>
      <c r="E1245">
        <v>520</v>
      </c>
      <c r="F1245">
        <v>1934</v>
      </c>
    </row>
    <row r="1246" spans="1:6">
      <c r="A1246" t="s">
        <v>1161</v>
      </c>
      <c r="C1246">
        <v>1382</v>
      </c>
      <c r="D1246">
        <v>993</v>
      </c>
      <c r="F1246">
        <v>2375</v>
      </c>
    </row>
    <row r="1247" spans="1:6">
      <c r="A1247" t="s">
        <v>277</v>
      </c>
      <c r="C1247">
        <v>2719</v>
      </c>
      <c r="D1247">
        <v>408</v>
      </c>
      <c r="F1247">
        <v>3127</v>
      </c>
    </row>
    <row r="1248" spans="1:6">
      <c r="A1248" t="s">
        <v>427</v>
      </c>
      <c r="C1248">
        <v>1277</v>
      </c>
      <c r="F1248">
        <v>1277</v>
      </c>
    </row>
    <row r="1249" spans="1:6">
      <c r="A1249" t="s">
        <v>127</v>
      </c>
      <c r="D1249">
        <v>686</v>
      </c>
      <c r="E1249">
        <v>736</v>
      </c>
      <c r="F1249">
        <v>1422</v>
      </c>
    </row>
    <row r="1250" spans="1:6">
      <c r="A1250" t="s">
        <v>122</v>
      </c>
      <c r="D1250">
        <v>867</v>
      </c>
      <c r="F1250">
        <v>867</v>
      </c>
    </row>
    <row r="1251" spans="1:6">
      <c r="A1251" t="s">
        <v>284</v>
      </c>
      <c r="D1251">
        <v>2000</v>
      </c>
      <c r="E1251">
        <v>970</v>
      </c>
      <c r="F1251">
        <v>2970</v>
      </c>
    </row>
    <row r="1252" spans="1:6">
      <c r="A1252" t="s">
        <v>208</v>
      </c>
    </row>
    <row r="1253" spans="1:6">
      <c r="A1253" t="s">
        <v>1081</v>
      </c>
      <c r="C1253">
        <v>8071</v>
      </c>
      <c r="D1253">
        <v>8880</v>
      </c>
      <c r="E1253">
        <v>2412</v>
      </c>
      <c r="F1253">
        <v>19363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28" activePane="bottomLeft" state="frozen"/>
      <selection pane="bottomLeft" activeCell="F2555" sqref="F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D2548" s="155">
        <v>1539</v>
      </c>
      <c r="F2548" s="1430" t="s">
        <v>2060</v>
      </c>
      <c r="G2548" t="s">
        <v>2023</v>
      </c>
    </row>
    <row r="2549" spans="1:7">
      <c r="A2549" s="315" t="s">
        <v>1018</v>
      </c>
      <c r="B2549" s="315" t="s">
        <v>1090</v>
      </c>
      <c r="C2549" s="56">
        <v>46044</v>
      </c>
      <c r="E2549" s="139">
        <v>486</v>
      </c>
      <c r="F2549" s="1430" t="s">
        <v>2061</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F2552" s="1430"/>
      <c r="G2552" t="s">
        <v>2023</v>
      </c>
    </row>
    <row r="2553" spans="1:7">
      <c r="A2553" s="315" t="s">
        <v>284</v>
      </c>
      <c r="B2553" s="315" t="s">
        <v>209</v>
      </c>
      <c r="C2553" s="56">
        <v>46044</v>
      </c>
      <c r="D2553" s="43">
        <v>970</v>
      </c>
      <c r="F2553" s="1430" t="s">
        <v>2062</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646</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2081</v>
      </c>
      <c r="B8" s="440" t="s">
        <v>2082</v>
      </c>
      <c r="C8" s="16">
        <v>45748</v>
      </c>
      <c r="D8" s="16" t="s">
        <v>2073</v>
      </c>
      <c r="E8" s="94" t="s">
        <v>52</v>
      </c>
      <c r="F8" s="95" t="s">
        <v>52</v>
      </c>
      <c r="G8" s="616" t="s">
        <v>2083</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097" t="s">
        <v>50</v>
      </c>
      <c r="C28" s="1090">
        <v>45991</v>
      </c>
      <c r="D28" s="375" t="s">
        <v>187</v>
      </c>
      <c r="E28" s="77">
        <v>45734</v>
      </c>
      <c r="F28" s="1088" t="s">
        <v>77</v>
      </c>
      <c r="G28" s="1099" t="s">
        <v>2111</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097" t="s">
        <v>50</v>
      </c>
      <c r="C29" s="1090">
        <v>46021</v>
      </c>
      <c r="D29" s="375" t="s">
        <v>187</v>
      </c>
      <c r="E29" s="77">
        <v>45743</v>
      </c>
      <c r="F29" s="1088" t="s">
        <v>77</v>
      </c>
      <c r="G29" s="1098" t="s">
        <v>2113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2114</v>
      </c>
      <c r="AC29" s="1094"/>
      <c r="AD29" s="1096"/>
    </row>
    <row r="30" spans="1:30" ht="24.75" customHeight="1">
      <c r="A30" s="374" t="s">
        <v>2115</v>
      </c>
      <c r="B30" s="665" t="s">
        <v>50</v>
      </c>
      <c r="C30" s="375">
        <v>45991</v>
      </c>
      <c r="D30" s="50" t="s">
        <v>187</v>
      </c>
      <c r="E30" s="51">
        <v>45743</v>
      </c>
      <c r="F30" s="50" t="s">
        <v>77</v>
      </c>
      <c r="G30" s="379" t="s">
        <v>2116</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2117</v>
      </c>
      <c r="AC30" s="333"/>
      <c r="AD30" s="115"/>
    </row>
    <row r="31" spans="1:30" ht="24.75" customHeight="1">
      <c r="A31" s="374" t="s">
        <v>1107</v>
      </c>
      <c r="B31" s="665" t="s">
        <v>50</v>
      </c>
      <c r="C31" s="375">
        <v>46021</v>
      </c>
      <c r="D31" s="375" t="s">
        <v>187</v>
      </c>
      <c r="E31" s="51">
        <v>45735</v>
      </c>
      <c r="F31" s="50" t="s">
        <v>77</v>
      </c>
      <c r="G31" s="666" t="s">
        <v>2118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2119</v>
      </c>
      <c r="W31" s="34">
        <v>0</v>
      </c>
      <c r="X31" s="34">
        <v>0</v>
      </c>
      <c r="Y31" s="31">
        <v>0</v>
      </c>
      <c r="Z31" s="34">
        <v>0</v>
      </c>
      <c r="AA31" s="31">
        <v>0</v>
      </c>
      <c r="AB31" s="353" t="s">
        <v>2114</v>
      </c>
    </row>
    <row r="32" spans="1:30" ht="24.75" customHeight="1">
      <c r="A32" s="895" t="s">
        <v>2120</v>
      </c>
      <c r="B32" s="1089" t="s">
        <v>50</v>
      </c>
      <c r="C32" s="972">
        <v>45717</v>
      </c>
      <c r="D32" s="972" t="s">
        <v>2102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2121</v>
      </c>
      <c r="B33" s="976" t="s">
        <v>50</v>
      </c>
      <c r="C33" s="897">
        <v>45989</v>
      </c>
      <c r="D33" s="897" t="s">
        <v>2122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2123</v>
      </c>
    </row>
    <row r="34" spans="1:30" ht="24.75" customHeight="1">
      <c r="A34" s="895" t="s">
        <v>2124</v>
      </c>
      <c r="B34" s="1089" t="s">
        <v>50</v>
      </c>
      <c r="C34" s="972">
        <v>45717</v>
      </c>
      <c r="D34" s="972" t="s">
        <v>2102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2125</v>
      </c>
      <c r="B35" s="1089" t="s">
        <v>50</v>
      </c>
      <c r="C35" s="972">
        <v>45717</v>
      </c>
      <c r="D35" s="972" t="s">
        <v>2102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2126</v>
      </c>
      <c r="B36" s="1089" t="s">
        <v>50</v>
      </c>
      <c r="C36" s="972">
        <v>45717</v>
      </c>
      <c r="D36" s="972" t="s">
        <v>2102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1236</v>
      </c>
      <c r="V1" s="160" t="s">
        <v>2132</v>
      </c>
      <c r="W1" s="160" t="s">
        <v>2133</v>
      </c>
      <c r="X1" s="163" t="s">
        <v>2134</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2135</v>
      </c>
      <c r="B4" s="407" t="s">
        <v>186</v>
      </c>
      <c r="C4" s="408">
        <v>45742</v>
      </c>
      <c r="D4" s="692"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2137</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2137</v>
      </c>
      <c r="S7" s="43" t="s">
        <v>341</v>
      </c>
      <c r="T7" s="43" t="s">
        <v>341</v>
      </c>
      <c r="U7" s="43" t="s">
        <v>341</v>
      </c>
      <c r="V7" s="69" t="s">
        <v>83</v>
      </c>
      <c r="W7" s="30"/>
      <c r="X7" s="69" t="s">
        <v>83</v>
      </c>
      <c r="Y7" t="e">
        <f>VLOOKUP(A7,#REF!,2,FALSE)</f>
        <v>#REF!</v>
      </c>
    </row>
    <row r="8" spans="1:25">
      <c r="A8" s="175" t="s">
        <v>530</v>
      </c>
      <c r="B8" s="180" t="s">
        <v>186</v>
      </c>
      <c r="C8" s="176">
        <v>45742</v>
      </c>
      <c r="D8" s="185" t="s">
        <v>2138</v>
      </c>
      <c r="E8" s="120"/>
      <c r="F8" s="108"/>
      <c r="G8" s="108"/>
      <c r="H8" s="179">
        <v>84</v>
      </c>
      <c r="I8" s="181"/>
      <c r="J8" s="185" t="s">
        <v>57</v>
      </c>
      <c r="K8" s="185" t="s">
        <v>57</v>
      </c>
      <c r="L8" s="185" t="s">
        <v>63</v>
      </c>
      <c r="M8" s="193">
        <v>45716</v>
      </c>
      <c r="N8" s="30" t="s">
        <v>341</v>
      </c>
      <c r="O8" s="30" t="s">
        <v>341</v>
      </c>
      <c r="P8" s="707" t="s">
        <v>341</v>
      </c>
      <c r="Q8" s="69" t="s">
        <v>341</v>
      </c>
      <c r="R8" s="43" t="s">
        <v>2137</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2137</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2137</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2137</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2137</v>
      </c>
      <c r="S12" s="43" t="s">
        <v>341</v>
      </c>
      <c r="T12" s="43" t="s">
        <v>341</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2140</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2141</v>
      </c>
      <c r="N16" s="30" t="s">
        <v>341</v>
      </c>
      <c r="O16" s="54" t="s">
        <v>2141</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2140</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2140</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2140</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2140</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2140</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2140</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2140</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2137</v>
      </c>
      <c r="S31" s="43" t="s">
        <v>341</v>
      </c>
      <c r="T31" s="139" t="s">
        <v>341</v>
      </c>
      <c r="U31" s="115" t="s">
        <v>341</v>
      </c>
      <c r="V31" s="69" t="s">
        <v>341</v>
      </c>
      <c r="W31" s="54">
        <v>45779</v>
      </c>
      <c r="X31" s="69" t="s">
        <v>2140</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2137</v>
      </c>
      <c r="S32" s="43" t="s">
        <v>341</v>
      </c>
      <c r="T32" s="139" t="s">
        <v>341</v>
      </c>
      <c r="U32" s="43" t="s">
        <v>341</v>
      </c>
      <c r="V32" s="69" t="s">
        <v>341</v>
      </c>
      <c r="W32" s="54">
        <v>45792</v>
      </c>
      <c r="X32" s="69" t="s">
        <v>2140</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2137</v>
      </c>
      <c r="S33" s="43" t="s">
        <v>341</v>
      </c>
      <c r="T33" s="139" t="s">
        <v>341</v>
      </c>
      <c r="U33" s="43" t="s">
        <v>341</v>
      </c>
      <c r="V33" s="334" t="s">
        <v>341</v>
      </c>
      <c r="W33" s="54">
        <v>45812</v>
      </c>
      <c r="X33" s="69" t="s">
        <v>2140</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2137</v>
      </c>
      <c r="S34" s="43" t="s">
        <v>341</v>
      </c>
      <c r="T34" s="139" t="s">
        <v>341</v>
      </c>
      <c r="U34" s="43" t="s">
        <v>341</v>
      </c>
      <c r="V34" s="404" t="s">
        <v>341</v>
      </c>
      <c r="W34" s="166">
        <v>45797</v>
      </c>
      <c r="X34" s="69" t="s">
        <v>2140</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2137</v>
      </c>
      <c r="S35" s="43" t="s">
        <v>341</v>
      </c>
      <c r="T35" s="139" t="s">
        <v>341</v>
      </c>
      <c r="U35" s="169" t="s">
        <v>341</v>
      </c>
      <c r="V35" s="69" t="s">
        <v>341</v>
      </c>
      <c r="W35" s="54">
        <v>45789</v>
      </c>
      <c r="X35" s="334" t="s">
        <v>2140</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2137</v>
      </c>
      <c r="S36" s="43" t="s">
        <v>341</v>
      </c>
      <c r="T36" s="139" t="s">
        <v>341</v>
      </c>
      <c r="U36" s="43" t="s">
        <v>341</v>
      </c>
      <c r="V36" s="69" t="s">
        <v>341</v>
      </c>
      <c r="W36" s="54">
        <v>45824</v>
      </c>
      <c r="X36" s="334" t="s">
        <v>2140</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2137</v>
      </c>
      <c r="S37" s="43" t="s">
        <v>341</v>
      </c>
      <c r="T37" s="43" t="s">
        <v>341</v>
      </c>
      <c r="U37" s="169" t="s">
        <v>341</v>
      </c>
      <c r="V37" s="69" t="s">
        <v>341</v>
      </c>
      <c r="W37" s="156">
        <v>45789</v>
      </c>
      <c r="X37" s="69" t="s">
        <v>2140</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2137</v>
      </c>
      <c r="S38" s="43" t="s">
        <v>341</v>
      </c>
      <c r="T38" s="43" t="s">
        <v>341</v>
      </c>
      <c r="U38" s="169" t="s">
        <v>341</v>
      </c>
      <c r="V38" s="69" t="s">
        <v>341</v>
      </c>
      <c r="W38" s="54">
        <v>45789</v>
      </c>
      <c r="X38" s="69" t="s">
        <v>2140</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2137</v>
      </c>
      <c r="S39" s="43" t="s">
        <v>341</v>
      </c>
      <c r="T39" s="43" t="s">
        <v>341</v>
      </c>
      <c r="U39" s="169" t="s">
        <v>341</v>
      </c>
      <c r="V39" s="69" t="s">
        <v>341</v>
      </c>
      <c r="W39" s="54">
        <v>45789</v>
      </c>
      <c r="X39" s="69" t="s">
        <v>2140</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2140</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2140</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2140</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2140</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2140</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2140</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2140</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2140</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2140</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2140</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2140</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2140</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2137</v>
      </c>
      <c r="S57" s="43" t="s">
        <v>341</v>
      </c>
      <c r="T57" s="43" t="s">
        <v>341</v>
      </c>
      <c r="U57" s="43" t="s">
        <v>341</v>
      </c>
      <c r="V57" s="69" t="s">
        <v>341</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2137</v>
      </c>
      <c r="S58" s="43" t="s">
        <v>341</v>
      </c>
      <c r="T58" s="43" t="s">
        <v>341</v>
      </c>
      <c r="U58" s="43" t="s">
        <v>341</v>
      </c>
      <c r="V58" s="334" t="s">
        <v>341</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2119</v>
      </c>
      <c r="P59" s="328" t="s">
        <v>341</v>
      </c>
      <c r="Q59" s="43" t="s">
        <v>341</v>
      </c>
      <c r="R59" s="43" t="s">
        <v>2137</v>
      </c>
      <c r="S59" s="43" t="s">
        <v>341</v>
      </c>
      <c r="T59" s="43" t="s">
        <v>341</v>
      </c>
      <c r="U59" s="43" t="s">
        <v>341</v>
      </c>
      <c r="V59" s="334" t="s">
        <v>341</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2137</v>
      </c>
      <c r="S60" s="43" t="s">
        <v>341</v>
      </c>
      <c r="T60" s="43" t="s">
        <v>341</v>
      </c>
      <c r="U60" s="43" t="s">
        <v>341</v>
      </c>
      <c r="V60" s="334" t="s">
        <v>341</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2142</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2137</v>
      </c>
      <c r="S81" s="43" t="s">
        <v>341</v>
      </c>
      <c r="T81" s="43" t="s">
        <v>341</v>
      </c>
      <c r="U81" s="115" t="s">
        <v>341</v>
      </c>
      <c r="V81" s="69" t="s">
        <v>341</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2137</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2137</v>
      </c>
      <c r="S84" s="169" t="s">
        <v>341</v>
      </c>
      <c r="T84" s="169" t="s">
        <v>341</v>
      </c>
      <c r="U84" s="91" t="s">
        <v>341</v>
      </c>
      <c r="V84" s="69" t="s">
        <v>341</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2137</v>
      </c>
      <c r="S85" s="169" t="s">
        <v>341</v>
      </c>
      <c r="T85" s="169" t="s">
        <v>341</v>
      </c>
      <c r="U85" s="91" t="s">
        <v>341</v>
      </c>
      <c r="V85" s="91" t="s">
        <v>341</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2137</v>
      </c>
      <c r="S86" s="43" t="s">
        <v>341</v>
      </c>
      <c r="T86" s="43" t="s">
        <v>341</v>
      </c>
      <c r="U86" s="69" t="s">
        <v>341</v>
      </c>
      <c r="V86" s="69" t="s">
        <v>341</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2137</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2137</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2137</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2137</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2137</v>
      </c>
      <c r="S91" s="69" t="s">
        <v>341</v>
      </c>
      <c r="T91" s="69" t="s">
        <v>341</v>
      </c>
      <c r="U91" s="69" t="s">
        <v>341</v>
      </c>
      <c r="V91" s="69" t="s">
        <v>341</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2137</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2137</v>
      </c>
      <c r="S93" s="43" t="s">
        <v>341</v>
      </c>
      <c r="T93" s="43" t="s">
        <v>341</v>
      </c>
      <c r="U93" s="334" t="s">
        <v>341</v>
      </c>
      <c r="V93" s="69" t="s">
        <v>341</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2137</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2137</v>
      </c>
      <c r="S95" s="69" t="s">
        <v>341</v>
      </c>
      <c r="T95" s="43" t="s">
        <v>341</v>
      </c>
      <c r="U95" s="69" t="s">
        <v>341</v>
      </c>
      <c r="V95" s="69" t="s">
        <v>341</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2137</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2137</v>
      </c>
      <c r="S97" s="69" t="s">
        <v>341</v>
      </c>
      <c r="T97" s="69" t="s">
        <v>341</v>
      </c>
      <c r="U97" s="69" t="s">
        <v>341</v>
      </c>
      <c r="V97" s="43" t="s">
        <v>341</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2137</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2137</v>
      </c>
      <c r="S99" s="43" t="s">
        <v>341</v>
      </c>
      <c r="T99" s="115" t="s">
        <v>341</v>
      </c>
      <c r="U99" s="148" t="s">
        <v>341</v>
      </c>
      <c r="V99" s="69" t="s">
        <v>341</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2137</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2137</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2137</v>
      </c>
      <c r="S102" s="43" t="s">
        <v>341</v>
      </c>
      <c r="T102" s="43" t="s">
        <v>341</v>
      </c>
      <c r="U102" s="43" t="s">
        <v>341</v>
      </c>
      <c r="V102" s="165" t="s">
        <v>341</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2137</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2137</v>
      </c>
      <c r="S104" s="43" t="s">
        <v>341</v>
      </c>
      <c r="T104" s="43" t="s">
        <v>341</v>
      </c>
      <c r="U104" s="43" t="s">
        <v>341</v>
      </c>
      <c r="V104" s="139" t="s">
        <v>341</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2137</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2137</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2137</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2137</v>
      </c>
      <c r="S108" s="43" t="s">
        <v>341</v>
      </c>
      <c r="T108" s="43" t="s">
        <v>341</v>
      </c>
      <c r="U108" s="88" t="s">
        <v>341</v>
      </c>
      <c r="V108" s="481" t="s">
        <v>341</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2137</v>
      </c>
      <c r="S109" s="43" t="s">
        <v>341</v>
      </c>
      <c r="T109" s="43" t="s">
        <v>341</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2137</v>
      </c>
      <c r="S110" s="43" t="s">
        <v>341</v>
      </c>
      <c r="T110" s="43" t="s">
        <v>341</v>
      </c>
      <c r="U110" s="88" t="s">
        <v>341</v>
      </c>
      <c r="V110" s="481" t="s">
        <v>341</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2137</v>
      </c>
      <c r="S111" s="43" t="s">
        <v>341</v>
      </c>
      <c r="T111" s="43" t="s">
        <v>341</v>
      </c>
      <c r="U111" s="43" t="s">
        <v>341</v>
      </c>
      <c r="V111" s="201" t="s">
        <v>341</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2137</v>
      </c>
      <c r="S112" s="43" t="s">
        <v>341</v>
      </c>
      <c r="T112" s="43" t="s">
        <v>341</v>
      </c>
      <c r="U112" s="43" t="s">
        <v>341</v>
      </c>
      <c r="V112" s="201" t="s">
        <v>341</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2137</v>
      </c>
      <c r="S113" s="115" t="s">
        <v>341</v>
      </c>
      <c r="T113" s="43" t="s">
        <v>341</v>
      </c>
      <c r="U113" s="43" t="s">
        <v>341</v>
      </c>
      <c r="V113" s="201" t="s">
        <v>341</v>
      </c>
      <c r="W113" s="479">
        <v>45791</v>
      </c>
      <c r="X113" s="148" t="s">
        <v>2140</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2137</v>
      </c>
      <c r="S114" s="115" t="s">
        <v>341</v>
      </c>
      <c r="T114" s="43" t="s">
        <v>341</v>
      </c>
      <c r="U114" s="157" t="s">
        <v>341</v>
      </c>
      <c r="V114" s="201" t="s">
        <v>341</v>
      </c>
      <c r="W114" s="54">
        <v>45798</v>
      </c>
      <c r="X114" s="69" t="s">
        <v>2140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2137</v>
      </c>
      <c r="S115" s="43" t="s">
        <v>341</v>
      </c>
      <c r="T115" s="43" t="s">
        <v>341</v>
      </c>
      <c r="U115" s="43" t="s">
        <v>341</v>
      </c>
      <c r="V115" s="88" t="s">
        <v>341</v>
      </c>
      <c r="W115" s="54">
        <v>45814</v>
      </c>
      <c r="X115" s="69" t="s">
        <v>2140</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2137</v>
      </c>
      <c r="S116" s="43" t="s">
        <v>341</v>
      </c>
      <c r="T116" s="43" t="s">
        <v>341</v>
      </c>
      <c r="U116" s="43" t="s">
        <v>341</v>
      </c>
      <c r="V116" s="481" t="s">
        <v>341</v>
      </c>
      <c r="W116" s="54">
        <v>45807</v>
      </c>
      <c r="X116" s="69" t="s">
        <v>2140</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2137</v>
      </c>
      <c r="S117" s="43" t="s">
        <v>341</v>
      </c>
      <c r="T117" s="43" t="s">
        <v>341</v>
      </c>
      <c r="U117" s="43" t="s">
        <v>341</v>
      </c>
      <c r="V117" s="88" t="s">
        <v>341</v>
      </c>
      <c r="W117" s="54">
        <v>45811</v>
      </c>
      <c r="X117" s="69" t="s">
        <v>2140</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2137</v>
      </c>
      <c r="S118" s="43" t="s">
        <v>341</v>
      </c>
      <c r="T118" s="43" t="s">
        <v>341</v>
      </c>
      <c r="U118" s="157" t="s">
        <v>341</v>
      </c>
      <c r="V118" s="88" t="s">
        <v>341</v>
      </c>
      <c r="W118" s="54">
        <v>45810</v>
      </c>
      <c r="X118" s="69" t="s">
        <v>2140</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2137</v>
      </c>
      <c r="S119" s="43" t="s">
        <v>341</v>
      </c>
      <c r="T119" s="43" t="s">
        <v>341</v>
      </c>
      <c r="U119" s="157" t="s">
        <v>341</v>
      </c>
      <c r="V119" s="88" t="s">
        <v>341</v>
      </c>
      <c r="W119" s="54">
        <v>45813</v>
      </c>
      <c r="X119" s="69" t="s">
        <v>2140</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2137</v>
      </c>
      <c r="S120" s="43" t="s">
        <v>341</v>
      </c>
      <c r="T120" s="43" t="s">
        <v>341</v>
      </c>
      <c r="U120" s="43" t="s">
        <v>341</v>
      </c>
      <c r="V120" s="88" t="s">
        <v>341</v>
      </c>
      <c r="W120" s="54">
        <v>45811</v>
      </c>
      <c r="X120" s="69" t="s">
        <v>2140</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2137</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2137</v>
      </c>
      <c r="S122" s="43" t="s">
        <v>341</v>
      </c>
      <c r="T122" s="43" t="s">
        <v>341</v>
      </c>
      <c r="U122" s="157" t="s">
        <v>341</v>
      </c>
      <c r="V122" s="157" t="s">
        <v>341</v>
      </c>
      <c r="W122" s="54">
        <v>45789</v>
      </c>
      <c r="X122" s="69" t="s">
        <v>2140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2137</v>
      </c>
      <c r="S123" s="43" t="s">
        <v>341</v>
      </c>
      <c r="T123" s="43" t="s">
        <v>341</v>
      </c>
      <c r="U123" s="43" t="s">
        <v>341</v>
      </c>
      <c r="V123" s="69" t="s">
        <v>341</v>
      </c>
      <c r="W123" s="54">
        <v>45811</v>
      </c>
      <c r="X123" s="69" t="s">
        <v>2140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2137</v>
      </c>
      <c r="S124" s="43" t="s">
        <v>341</v>
      </c>
      <c r="T124" s="43" t="s">
        <v>341</v>
      </c>
      <c r="U124" s="43" t="s">
        <v>2143</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2137</v>
      </c>
      <c r="S125" s="43" t="s">
        <v>341</v>
      </c>
      <c r="T125" s="43" t="s">
        <v>341</v>
      </c>
      <c r="U125" s="43" t="s">
        <v>341</v>
      </c>
      <c r="V125" s="43" t="s">
        <v>341</v>
      </c>
      <c r="W125" s="54">
        <v>45814</v>
      </c>
      <c r="X125" s="69" t="s">
        <v>2140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2137</v>
      </c>
      <c r="S126" s="43" t="s">
        <v>341</v>
      </c>
      <c r="T126" s="43" t="s">
        <v>341</v>
      </c>
      <c r="U126" s="43" t="s">
        <v>341</v>
      </c>
      <c r="V126" s="88" t="s">
        <v>341</v>
      </c>
      <c r="W126" s="54">
        <v>45819</v>
      </c>
      <c r="X126" s="69" t="s">
        <v>2140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2137</v>
      </c>
      <c r="S127" s="43" t="s">
        <v>341</v>
      </c>
      <c r="T127" s="43" t="s">
        <v>341</v>
      </c>
      <c r="U127" s="43" t="s">
        <v>341</v>
      </c>
      <c r="V127" s="88" t="s">
        <v>341</v>
      </c>
      <c r="W127" s="54">
        <v>45812</v>
      </c>
      <c r="X127" s="69" t="s">
        <v>2140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2137</v>
      </c>
      <c r="S128" s="43" t="s">
        <v>341</v>
      </c>
      <c r="T128" s="43" t="s">
        <v>341</v>
      </c>
      <c r="U128" s="43" t="s">
        <v>341</v>
      </c>
      <c r="V128" s="88" t="s">
        <v>341</v>
      </c>
      <c r="W128" s="166">
        <v>45883</v>
      </c>
      <c r="X128" s="69" t="s">
        <v>2140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2137</v>
      </c>
      <c r="S129" s="43" t="s">
        <v>341</v>
      </c>
      <c r="T129" s="115" t="s">
        <v>341</v>
      </c>
      <c r="U129" s="115" t="s">
        <v>341</v>
      </c>
      <c r="V129" s="88" t="s">
        <v>341</v>
      </c>
      <c r="W129" s="166">
        <v>45814</v>
      </c>
      <c r="X129" s="69" t="s">
        <v>2140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2137</v>
      </c>
      <c r="S130" s="43" t="s">
        <v>341</v>
      </c>
      <c r="T130" s="43" t="s">
        <v>341</v>
      </c>
      <c r="U130" s="43" t="s">
        <v>341</v>
      </c>
      <c r="V130" s="88" t="s">
        <v>341</v>
      </c>
      <c r="W130" s="54">
        <v>45798</v>
      </c>
      <c r="X130" s="69" t="s">
        <v>2140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2137</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2137</v>
      </c>
      <c r="S132" s="43" t="s">
        <v>341</v>
      </c>
      <c r="T132" s="43" t="s">
        <v>341</v>
      </c>
      <c r="U132" s="43" t="s">
        <v>341</v>
      </c>
      <c r="V132" s="43" t="s">
        <v>341</v>
      </c>
      <c r="W132" s="54">
        <v>45820</v>
      </c>
      <c r="X132" s="69" t="s">
        <v>2140</v>
      </c>
      <c r="Y132" t="e">
        <f>VLOOKUP(A132,#REF!,2,FALSE)</f>
        <v>#REF!</v>
      </c>
    </row>
    <row r="133" spans="1:25" ht="15" customHeight="1">
      <c r="A133" s="358" t="s">
        <v>908</v>
      </c>
      <c r="B133" s="406" t="s">
        <v>50</v>
      </c>
      <c r="C133" s="367">
        <v>45742</v>
      </c>
      <c r="D133" s="419" t="s">
        <v>2144</v>
      </c>
      <c r="E133" s="361"/>
      <c r="F133" s="361"/>
      <c r="G133" s="361"/>
      <c r="H133" s="361">
        <v>38</v>
      </c>
      <c r="I133" s="360"/>
      <c r="J133" s="361" t="s">
        <v>57</v>
      </c>
      <c r="K133" s="361" t="s">
        <v>57</v>
      </c>
      <c r="L133" s="361" t="s">
        <v>63</v>
      </c>
      <c r="M133" s="49" t="s">
        <v>341</v>
      </c>
      <c r="N133" s="49" t="s">
        <v>341</v>
      </c>
      <c r="O133" s="54">
        <v>45701</v>
      </c>
      <c r="P133" s="30" t="s">
        <v>341</v>
      </c>
      <c r="Q133" s="69" t="s">
        <v>341</v>
      </c>
      <c r="R133" s="43" t="s">
        <v>2137</v>
      </c>
      <c r="S133" s="43" t="s">
        <v>341</v>
      </c>
      <c r="T133" s="43" t="s">
        <v>341</v>
      </c>
      <c r="U133" s="43" t="s">
        <v>341</v>
      </c>
      <c r="V133" s="69" t="s">
        <v>341</v>
      </c>
      <c r="W133" s="54">
        <v>45821</v>
      </c>
      <c r="X133" s="69" t="s">
        <v>2140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2137</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2137</v>
      </c>
      <c r="S135" s="43" t="s">
        <v>341</v>
      </c>
      <c r="T135" s="43" t="s">
        <v>341</v>
      </c>
      <c r="U135" s="157" t="s">
        <v>341</v>
      </c>
      <c r="V135" s="43" t="s">
        <v>341</v>
      </c>
      <c r="W135" s="54">
        <v>45819</v>
      </c>
      <c r="X135" s="69" t="s">
        <v>2140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2137</v>
      </c>
      <c r="S136" s="43" t="s">
        <v>341</v>
      </c>
      <c r="T136" s="43" t="s">
        <v>341</v>
      </c>
      <c r="U136" s="43" t="s">
        <v>341</v>
      </c>
      <c r="V136" s="43" t="s">
        <v>341</v>
      </c>
      <c r="W136" s="54">
        <v>45791</v>
      </c>
      <c r="X136" s="69" t="s">
        <v>2140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2137</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2137</v>
      </c>
      <c r="S138" s="43" t="s">
        <v>341</v>
      </c>
      <c r="T138" s="43" t="s">
        <v>341</v>
      </c>
      <c r="U138" s="43" t="s">
        <v>341</v>
      </c>
      <c r="V138" s="43" t="s">
        <v>341</v>
      </c>
      <c r="W138" s="54">
        <v>45790</v>
      </c>
      <c r="X138" s="69" t="s">
        <v>2140</v>
      </c>
      <c r="Y138" t="e">
        <f>VLOOKUP(A138,#REF!,2,FALSE)</f>
        <v>#REF!</v>
      </c>
    </row>
    <row r="139" spans="1:25" ht="15" customHeight="1">
      <c r="A139" s="358" t="s">
        <v>2145</v>
      </c>
      <c r="B139" s="182" t="s">
        <v>50</v>
      </c>
      <c r="C139" s="408">
        <v>45742</v>
      </c>
      <c r="D139" s="361" t="s">
        <v>2146</v>
      </c>
      <c r="E139" s="519"/>
      <c r="F139" s="361"/>
      <c r="G139" s="361"/>
      <c r="H139" s="361">
        <v>87</v>
      </c>
      <c r="I139" s="360"/>
      <c r="J139" s="361" t="s">
        <v>57</v>
      </c>
      <c r="K139" s="361" t="s">
        <v>57</v>
      </c>
      <c r="L139" s="361" t="s">
        <v>63</v>
      </c>
      <c r="M139" s="49" t="s">
        <v>341</v>
      </c>
      <c r="N139" s="30" t="s">
        <v>341</v>
      </c>
      <c r="O139" s="30" t="s">
        <v>341</v>
      </c>
      <c r="P139" s="30" t="s">
        <v>341</v>
      </c>
      <c r="Q139" s="43" t="s">
        <v>341</v>
      </c>
      <c r="R139" s="43" t="s">
        <v>2137</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2137</v>
      </c>
      <c r="S140" s="43" t="s">
        <v>341</v>
      </c>
      <c r="T140" s="43" t="s">
        <v>341</v>
      </c>
      <c r="U140" s="88" t="s">
        <v>341</v>
      </c>
      <c r="V140" s="69" t="s">
        <v>341</v>
      </c>
      <c r="W140" s="54">
        <v>45819</v>
      </c>
      <c r="X140" s="69" t="s">
        <v>2140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2137</v>
      </c>
      <c r="S141" s="43" t="s">
        <v>341</v>
      </c>
      <c r="T141" s="43" t="s">
        <v>341</v>
      </c>
      <c r="U141" s="88" t="s">
        <v>341</v>
      </c>
      <c r="V141" s="88" t="s">
        <v>341</v>
      </c>
      <c r="W141" s="54">
        <v>45811</v>
      </c>
      <c r="X141" s="69" t="s">
        <v>2140</v>
      </c>
      <c r="Y141" t="e">
        <f>VLOOKUP(A141,#REF!,2,FALSE)</f>
        <v>#REF!</v>
      </c>
    </row>
    <row r="142" spans="1:25" ht="15" customHeight="1">
      <c r="A142" s="358" t="s">
        <v>2147</v>
      </c>
      <c r="B142" s="406" t="s">
        <v>50</v>
      </c>
      <c r="C142" s="408">
        <v>45742</v>
      </c>
      <c r="D142" s="361" t="s">
        <v>2148</v>
      </c>
      <c r="E142" s="519"/>
      <c r="F142" s="361"/>
      <c r="G142" s="361"/>
      <c r="H142" s="361">
        <v>87</v>
      </c>
      <c r="I142" s="360"/>
      <c r="J142" s="361" t="s">
        <v>57</v>
      </c>
      <c r="K142" s="361" t="s">
        <v>57</v>
      </c>
      <c r="L142" s="361" t="s">
        <v>63</v>
      </c>
      <c r="M142" s="49" t="s">
        <v>341</v>
      </c>
      <c r="N142" s="49" t="s">
        <v>341</v>
      </c>
      <c r="O142" s="195">
        <v>45691</v>
      </c>
      <c r="P142" s="30" t="s">
        <v>341</v>
      </c>
      <c r="Q142" s="69" t="s">
        <v>341</v>
      </c>
      <c r="R142" s="43" t="s">
        <v>2137</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2137</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2140</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2149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2137</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2137</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2137</v>
      </c>
      <c r="S153" s="43" t="s">
        <v>341</v>
      </c>
      <c r="T153" s="157" t="s">
        <v>341</v>
      </c>
      <c r="U153" s="157" t="s">
        <v>341</v>
      </c>
      <c r="V153" s="43" t="s">
        <v>341</v>
      </c>
      <c r="W153" s="54">
        <v>45807</v>
      </c>
      <c r="X153" s="69" t="s">
        <v>2140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2137</v>
      </c>
      <c r="S154" s="43" t="s">
        <v>341</v>
      </c>
      <c r="T154" s="157" t="s">
        <v>341</v>
      </c>
      <c r="U154" s="157" t="s">
        <v>341</v>
      </c>
      <c r="V154" s="43" t="s">
        <v>341</v>
      </c>
      <c r="W154" s="166">
        <v>45792</v>
      </c>
      <c r="X154" s="148" t="s">
        <v>2140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2137</v>
      </c>
      <c r="S155" s="43" t="s">
        <v>341</v>
      </c>
      <c r="T155" s="43" t="s">
        <v>341</v>
      </c>
      <c r="U155" s="157" t="s">
        <v>341</v>
      </c>
      <c r="V155" s="43" t="s">
        <v>341</v>
      </c>
      <c r="W155" s="356">
        <v>45821</v>
      </c>
      <c r="X155" s="69" t="s">
        <v>2140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2137</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2118</v>
      </c>
      <c r="E157" s="700"/>
      <c r="F157" s="419"/>
      <c r="G157" s="419"/>
      <c r="H157" s="419">
        <v>79</v>
      </c>
      <c r="I157" s="360"/>
      <c r="J157" s="361" t="s">
        <v>57</v>
      </c>
      <c r="K157" s="549"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2137</v>
      </c>
      <c r="S158" s="43" t="s">
        <v>341</v>
      </c>
      <c r="T158" s="43" t="s">
        <v>341</v>
      </c>
      <c r="U158" s="157" t="s">
        <v>341</v>
      </c>
      <c r="V158" s="157" t="s">
        <v>341</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2150</v>
      </c>
      <c r="C1" s="1483"/>
      <c r="D1" s="554"/>
      <c r="E1" s="1483" t="s">
        <v>2151</v>
      </c>
      <c r="F1" s="1483"/>
    </row>
    <row r="2" spans="1:25">
      <c r="B2" s="44" t="s">
        <v>2152</v>
      </c>
      <c r="E2" s="44" t="s">
        <v>22</v>
      </c>
      <c r="F2" t="s">
        <v>1078</v>
      </c>
      <c r="P2" s="44" t="s">
        <v>27</v>
      </c>
      <c r="Q2" t="s">
        <v>2153</v>
      </c>
    </row>
    <row r="3" spans="1:25">
      <c r="B3" s="44" t="s">
        <v>22</v>
      </c>
      <c r="C3" t="s">
        <v>1084</v>
      </c>
      <c r="K3" s="44" t="s">
        <v>2154</v>
      </c>
      <c r="L3" t="s">
        <v>2155</v>
      </c>
      <c r="P3" s="44" t="s">
        <v>2154</v>
      </c>
      <c r="Q3" t="s">
        <v>2155</v>
      </c>
    </row>
    <row r="4" spans="1:25">
      <c r="B4" t="s">
        <v>140</v>
      </c>
      <c r="C4">
        <v>36706</v>
      </c>
      <c r="E4" s="44" t="s">
        <v>2152</v>
      </c>
      <c r="F4" t="s">
        <v>1084</v>
      </c>
      <c r="W4" t="s">
        <v>2156</v>
      </c>
      <c r="X4">
        <v>22</v>
      </c>
    </row>
    <row r="5" spans="1:25">
      <c r="B5" t="s">
        <v>187</v>
      </c>
      <c r="C5">
        <v>17860</v>
      </c>
      <c r="E5" t="s">
        <v>1084</v>
      </c>
      <c r="F5">
        <v>92646</v>
      </c>
      <c r="K5" s="44" t="s">
        <v>2157</v>
      </c>
      <c r="P5" s="44" t="s">
        <v>2157</v>
      </c>
      <c r="W5" t="s">
        <v>2158</v>
      </c>
      <c r="X5">
        <v>13</v>
      </c>
    </row>
    <row r="6" spans="1:25">
      <c r="B6" t="s">
        <v>1111</v>
      </c>
      <c r="C6">
        <v>175361</v>
      </c>
      <c r="K6" s="44" t="s">
        <v>27</v>
      </c>
      <c r="L6" s="44" t="s">
        <v>2159</v>
      </c>
      <c r="M6" t="s">
        <v>1084</v>
      </c>
      <c r="P6" s="44" t="s">
        <v>2160</v>
      </c>
      <c r="Q6" s="44" t="s">
        <v>2159</v>
      </c>
      <c r="R6" t="s">
        <v>1084</v>
      </c>
    </row>
    <row r="7" spans="1:25">
      <c r="B7" t="s">
        <v>51</v>
      </c>
      <c r="C7">
        <v>446</v>
      </c>
      <c r="K7" t="s">
        <v>2153</v>
      </c>
      <c r="L7" t="s">
        <v>658</v>
      </c>
      <c r="M7">
        <v>1</v>
      </c>
      <c r="P7" t="s">
        <v>2161</v>
      </c>
      <c r="R7">
        <v>1</v>
      </c>
      <c r="X7" t="s">
        <v>2162</v>
      </c>
      <c r="Y7" t="s">
        <v>2163</v>
      </c>
    </row>
    <row r="8" spans="1:25">
      <c r="B8" t="s">
        <v>22</v>
      </c>
      <c r="C8">
        <v>0</v>
      </c>
      <c r="L8" t="s">
        <v>660</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2169</v>
      </c>
      <c r="R12">
        <v>1</v>
      </c>
    </row>
    <row r="13" spans="1:25">
      <c r="B13" t="s">
        <v>158</v>
      </c>
      <c r="C13">
        <v>3</v>
      </c>
      <c r="L13" t="s">
        <v>2170</v>
      </c>
      <c r="M13">
        <v>1</v>
      </c>
      <c r="Q13" t="s">
        <v>1038</v>
      </c>
      <c r="R13">
        <v>1</v>
      </c>
    </row>
    <row r="14" spans="1:25">
      <c r="B14" t="s">
        <v>76</v>
      </c>
      <c r="C14">
        <v>831</v>
      </c>
      <c r="L14" t="s">
        <v>873</v>
      </c>
      <c r="M14">
        <v>1</v>
      </c>
      <c r="P14" t="s">
        <v>2171</v>
      </c>
      <c r="R14">
        <v>5</v>
      </c>
    </row>
    <row r="15" spans="1:25">
      <c r="B15" t="s">
        <v>242</v>
      </c>
      <c r="C15">
        <v>8622</v>
      </c>
      <c r="L15" t="s">
        <v>2169</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2172</v>
      </c>
      <c r="M21">
        <v>1</v>
      </c>
    </row>
    <row r="22" spans="2:13">
      <c r="L22" t="s">
        <v>1038</v>
      </c>
      <c r="M22">
        <v>1</v>
      </c>
    </row>
    <row r="23" spans="2:13">
      <c r="L23" t="s">
        <v>921</v>
      </c>
      <c r="M23">
        <v>1</v>
      </c>
    </row>
    <row r="24" spans="2:13">
      <c r="L24" t="s">
        <v>950</v>
      </c>
      <c r="M24">
        <v>1</v>
      </c>
    </row>
    <row r="25" spans="2:13">
      <c r="L25" t="s">
        <v>154</v>
      </c>
      <c r="M25">
        <v>1</v>
      </c>
    </row>
    <row r="26" spans="2:13">
      <c r="K26" t="s">
        <v>2173</v>
      </c>
      <c r="M26">
        <v>19</v>
      </c>
    </row>
    <row r="27" spans="2:13">
      <c r="K27" t="s">
        <v>2174</v>
      </c>
      <c r="L27" t="s">
        <v>867</v>
      </c>
      <c r="M27">
        <v>1</v>
      </c>
    </row>
    <row r="28" spans="2:13">
      <c r="L28" t="s">
        <v>869</v>
      </c>
      <c r="M28">
        <v>1</v>
      </c>
    </row>
    <row r="29" spans="2:13">
      <c r="L29" t="s">
        <v>871</v>
      </c>
      <c r="M29">
        <v>1</v>
      </c>
    </row>
    <row r="30" spans="2:13">
      <c r="L30" t="s">
        <v>887</v>
      </c>
      <c r="M30">
        <v>1</v>
      </c>
    </row>
    <row r="31" spans="2:13">
      <c r="L31" t="s">
        <v>891</v>
      </c>
      <c r="M31">
        <v>1</v>
      </c>
    </row>
    <row r="32" spans="2:13">
      <c r="L32" t="s">
        <v>2175</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2176</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2177</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646</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1108</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1125</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1133</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1110</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505</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1105</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1131</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501</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1109</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950</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921</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924</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867</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869</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852</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856</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859</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1038</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887</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891</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879</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873</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875</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871</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881</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885</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889</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511</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508</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658</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660</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709</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703</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701</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707</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683</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685</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681</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739</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8" t="s">
        <v>681</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8" t="s">
        <v>683</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19" t="s">
        <v>685</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1084</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AEA097B-1B2C-42FD-955D-21F13283F0E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2026-01-22T23:35:05Z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