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09" documentId="8_{E14B221E-02E2-46A3-8CEC-C736815F2DD5}" xr6:coauthVersionLast="47" xr6:coauthVersionMax="47" xr10:uidLastSave="{34E6C445-344D-4EEE-92AC-39D24F91627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2357" r:id="rId12"/>
    <pivotCache cacheId="2361" r:id="rId13"/>
    <pivotCache cacheId="2366" r:id="rId14"/>
    <pivotCache cacheId="2373" r:id="rId15"/>
    <pivotCache cacheId="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<sst xmlns="http://schemas.openxmlformats.org/spreadsheetml/2006/main" count="16276" uniqueCount="2105">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</sst>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56018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907407" createdVersion="8" refreshedVersion="8" minRefreshableVersion="3" recordCount="1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490740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5138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695045138891"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I17" activePane="topRight" state="frozen"/>
      <selection pane="topRight" activeCell="I28" sqref="I2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57" t="s">
        <v>179</v>
      </c>
      <c r="B44" s="1207" t="s">
        <v>111</v>
      </c>
      <c r="C44" s="1206">
        <v>46053</v>
      </c>
      <c r="D44" s="1206"/>
      <c r="E44" s="1206"/>
      <c r="F44" s="1207" t="s">
        <v>142</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79" t="s">
        <v>181</v>
      </c>
      <c r="B45" s="1207" t="s">
        <v>111</v>
      </c>
      <c r="C45" s="1206">
        <v>46031</v>
      </c>
      <c r="D45" s="1206" t="s">
        <v>131</v>
      </c>
      <c r="E45" s="1206">
        <v>46002</v>
      </c>
      <c r="F45" s="1207" t="s">
        <v>142</v>
      </c>
      <c r="G45" s="1207" t="s">
        <v>182</v>
      </c>
      <c r="H45" s="1208">
        <v>0</v>
      </c>
      <c r="I45" s="1208" t="s">
        <v>133</v>
      </c>
      <c r="J45" s="1208" t="s">
        <v>63</v>
      </c>
      <c r="K45" s="1208"/>
      <c r="L45" s="1206" t="s">
        <v>168</v>
      </c>
      <c r="M45" s="1208" t="s">
        <v>57</v>
      </c>
      <c r="N45" s="1209">
        <v>23475.5</v>
      </c>
      <c r="O45" s="1208" t="s">
        <v>57</v>
      </c>
      <c r="P45" s="1280" t="s">
        <v>134</v>
      </c>
      <c r="Q45" s="1211">
        <v>45999</v>
      </c>
      <c r="R45" s="1211"/>
      <c r="S45" s="1211"/>
      <c r="T45" s="1211"/>
      <c r="U45" s="1269"/>
      <c r="V45" s="1135">
        <v>1890</v>
      </c>
      <c r="W45" s="1370">
        <v>1948</v>
      </c>
      <c r="X45" s="1212">
        <f>SUM(V45-W45)</f>
        <v>-58</v>
      </c>
      <c r="Y45" s="662">
        <f t="shared" si="4"/>
        <v>1.0306878306878307</v>
      </c>
      <c r="Z45" s="1231">
        <v>46009</v>
      </c>
      <c r="AA45" s="1214">
        <v>0</v>
      </c>
      <c r="AB45" s="1214">
        <v>0</v>
      </c>
      <c r="AC45" s="645">
        <v>0</v>
      </c>
      <c r="AD45" s="1215" t="s">
        <v>183</v>
      </c>
    </row>
    <row r="46" spans="1:31" ht="24.75" customHeight="1">
      <c r="A46" s="1205" t="s">
        <v>184</v>
      </c>
      <c r="B46" s="1207" t="s">
        <v>111</v>
      </c>
      <c r="C46" s="1206">
        <v>46031</v>
      </c>
      <c r="D46" s="1206" t="s">
        <v>185</v>
      </c>
      <c r="E46" s="1206"/>
      <c r="F46" s="1207" t="s">
        <v>53</v>
      </c>
      <c r="G46" s="1207" t="s">
        <v>186</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187</v>
      </c>
    </row>
    <row r="47" spans="1:31" ht="24.75" customHeight="1">
      <c r="A47" s="1257" t="s">
        <v>188</v>
      </c>
      <c r="B47" s="1207" t="s">
        <v>111</v>
      </c>
      <c r="C47" s="1206">
        <v>46020</v>
      </c>
      <c r="D47" s="1206"/>
      <c r="E47" s="1206"/>
      <c r="F47" s="1207" t="s">
        <v>112</v>
      </c>
      <c r="G47" s="1207" t="s">
        <v>189</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190</v>
      </c>
    </row>
    <row r="48" spans="1:31" ht="24.75" customHeight="1">
      <c r="A48" s="1257" t="s">
        <v>191</v>
      </c>
      <c r="B48" s="1207" t="s">
        <v>111</v>
      </c>
      <c r="C48" s="1206">
        <v>46031</v>
      </c>
      <c r="D48" s="1206"/>
      <c r="E48" s="1206">
        <v>45866</v>
      </c>
      <c r="F48" s="1207" t="s">
        <v>112</v>
      </c>
      <c r="G48" s="1207" t="s">
        <v>192</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193</v>
      </c>
    </row>
    <row r="49" spans="1:32" ht="24.75" customHeight="1">
      <c r="A49" s="1257" t="s">
        <v>194</v>
      </c>
      <c r="B49" s="1207" t="s">
        <v>111</v>
      </c>
      <c r="C49" s="1206"/>
      <c r="D49" s="1206"/>
      <c r="E49" s="1206"/>
      <c r="F49" s="1207" t="s">
        <v>112</v>
      </c>
      <c r="G49" s="1207" t="s">
        <v>195</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196</v>
      </c>
      <c r="AF49" s="1271"/>
    </row>
    <row r="50" spans="1:32" ht="24.75" customHeight="1">
      <c r="A50" s="1205" t="s">
        <v>197</v>
      </c>
      <c r="B50" s="1207" t="s">
        <v>111</v>
      </c>
      <c r="C50" s="1206">
        <v>46010</v>
      </c>
      <c r="D50" s="1206" t="s">
        <v>158</v>
      </c>
      <c r="E50" s="1206">
        <v>46007</v>
      </c>
      <c r="F50" s="1207" t="s">
        <v>112</v>
      </c>
      <c r="G50" s="1207" t="s">
        <v>198</v>
      </c>
      <c r="H50" s="1208">
        <v>0</v>
      </c>
      <c r="I50" s="661" t="s">
        <v>55</v>
      </c>
      <c r="J50" s="1208" t="s">
        <v>63</v>
      </c>
      <c r="K50" s="1208"/>
      <c r="L50" s="1206" t="s">
        <v>168</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199</v>
      </c>
      <c r="AF50" s="1271"/>
    </row>
    <row r="51" spans="1:32" ht="24.75" customHeight="1">
      <c r="A51" s="1205" t="s">
        <v>200</v>
      </c>
      <c r="B51" s="1207" t="s">
        <v>111</v>
      </c>
      <c r="C51" s="1206">
        <v>46003</v>
      </c>
      <c r="D51" s="1206" t="s">
        <v>131</v>
      </c>
      <c r="E51" s="1206">
        <v>46002</v>
      </c>
      <c r="F51" s="1207" t="s">
        <v>142</v>
      </c>
      <c r="G51" s="1207"/>
      <c r="H51" s="1208">
        <v>0</v>
      </c>
      <c r="I51" s="1208" t="s">
        <v>55</v>
      </c>
      <c r="J51" s="1208" t="s">
        <v>63</v>
      </c>
      <c r="K51" s="1208"/>
      <c r="L51" s="1206" t="s">
        <v>168</v>
      </c>
      <c r="M51" s="1208" t="s">
        <v>57</v>
      </c>
      <c r="N51" s="1209">
        <v>11500.3</v>
      </c>
      <c r="O51" s="1208" t="s">
        <v>57</v>
      </c>
      <c r="P51" s="1210" t="s">
        <v>84</v>
      </c>
      <c r="Q51" s="1211">
        <v>45994</v>
      </c>
      <c r="R51" s="1211"/>
      <c r="S51" s="1211"/>
      <c r="T51" s="1211"/>
      <c r="U51" s="1211"/>
      <c r="V51" s="788">
        <v>908</v>
      </c>
      <c r="W51" s="1371">
        <v>523</v>
      </c>
      <c r="X51" s="1212">
        <f>SUM(V51-W51)</f>
        <v>385</v>
      </c>
      <c r="Y51" s="662">
        <f t="shared" si="4"/>
        <v>0.57599118942731276</v>
      </c>
      <c r="Z51" s="1231">
        <v>46013</v>
      </c>
      <c r="AA51" s="1214">
        <v>0</v>
      </c>
      <c r="AB51" s="1214">
        <v>0</v>
      </c>
      <c r="AC51" s="645">
        <v>0</v>
      </c>
      <c r="AD51" s="1215" t="s">
        <v>201</v>
      </c>
      <c r="AF51" s="1271"/>
    </row>
    <row r="52" spans="1:32" ht="24.75" customHeight="1">
      <c r="A52" s="1205" t="s">
        <v>202</v>
      </c>
      <c r="B52" s="1207" t="s">
        <v>111</v>
      </c>
      <c r="C52" s="1206">
        <v>45675</v>
      </c>
      <c r="D52" s="1206" t="s">
        <v>131</v>
      </c>
      <c r="E52" s="1206">
        <v>46006</v>
      </c>
      <c r="F52" s="1207" t="s">
        <v>142</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U55" activePane="topRight" state="frozen"/>
      <selection pane="topRight" activeCell="AC62" sqref="AC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9" activePane="topRight" state="frozen"/>
      <selection pane="topRight" activeCell="A9" sqref="A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I1149" sqref="I11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181</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c r="C1144" s="1373"/>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181</v>
      </c>
      <c r="B1149" s="1373">
        <v>380</v>
      </c>
      <c r="C1149" s="1373">
        <v>380</v>
      </c>
    </row>
    <row r="1150" spans="1:3">
      <c r="A1150" t="s">
        <v>200</v>
      </c>
      <c r="B1150" s="1373">
        <v>523</v>
      </c>
      <c r="C1150" s="1373">
        <v>523</v>
      </c>
    </row>
    <row r="1151" spans="1:3">
      <c r="A1151" t="s">
        <v>1027</v>
      </c>
      <c r="B1151" s="1373">
        <v>1245</v>
      </c>
      <c r="C1151" s="1373">
        <v>1245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77" activePane="bottomLeft" state="frozen"/>
      <selection pane="bottomLeft" activeCell="D2398" sqref="D23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181</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181</v>
      </c>
      <c r="B2391" s="315" t="s">
        <v>131</v>
      </c>
      <c r="C2391" s="56">
        <v>46013</v>
      </c>
      <c r="D2391" s="43">
        <v>380</v>
      </c>
      <c r="G2391" t="s">
        <v>1855</v>
      </c>
    </row>
    <row r="2392" spans="1:7">
      <c r="A2392" s="315" t="s">
        <v>200</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185</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179</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179</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5C2575-364C-47E2-97FF-C0FD09D126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2025-12-22T21:41:38Z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