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0" documentId="8_{E14B221E-02E2-46A3-8CEC-C736815F2DD5}" xr6:coauthVersionLast="47" xr6:coauthVersionMax="47" xr10:uidLastSave="{5627EB27-9D8F-4446-84DB-ED45D8C56E3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53" r:id="rId12"/>
    <pivotCache cacheId="3158" r:id="rId13"/>
    <pivotCache cacheId="3165" r:id="rId14"/>
    <pivotCache cacheId="3171" r:id="rId15"/>
    <pivotCache cacheId="31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<sst xmlns="http://schemas.openxmlformats.org/spreadsheetml/2006/main" count="13797" uniqueCount="1678">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</sst>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18" fillId="0" borderId="7"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67" activePane="topRight" state="frozen"/>
      <selection pane="topRight" activeCell="W94" sqref="W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57">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41">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v>463</v>
      </c>
      <c r="C913" s="1154">
        <v>463</v>
      </c>
    </row>
    <row r="914" spans="1:3">
      <c r="A914" t="s">
        <v>220</v>
      </c>
      <c r="B914" s="1154">
        <v>882</v>
      </c>
      <c r="C914" s="1154">
        <v>882</v>
      </c>
    </row>
    <row r="915" spans="1:3">
      <c r="A915" t="s">
        <v>182</v>
      </c>
      <c r="B915" s="1154">
        <v>1420</v>
      </c>
      <c r="C915" s="1154">
        <v>1420</v>
      </c>
    </row>
    <row r="916" spans="1:3">
      <c r="A916" t="s">
        <v>189</v>
      </c>
      <c r="B916" s="1154">
        <v>259</v>
      </c>
      <c r="C916" s="1154">
        <v>259</v>
      </c>
    </row>
    <row r="917" spans="1:3">
      <c r="A917" t="s">
        <v>138</v>
      </c>
      <c r="B917" s="1154">
        <v>579</v>
      </c>
      <c r="C917" s="1154">
        <v>579</v>
      </c>
    </row>
    <row r="918" spans="1:3">
      <c r="A918" t="s">
        <v>870</v>
      </c>
      <c r="B918" s="1154">
        <v>365</v>
      </c>
      <c r="C918" s="1154">
        <v>365</v>
      </c>
    </row>
    <row r="919" spans="1:3">
      <c r="A919" t="s">
        <v>258</v>
      </c>
      <c r="B919" s="1154">
        <v>207</v>
      </c>
      <c r="C919" s="1154">
        <v>207</v>
      </c>
    </row>
    <row r="920" spans="1:3">
      <c r="A920" t="s">
        <v>806</v>
      </c>
      <c r="B920" s="1154">
        <v>4876</v>
      </c>
      <c r="C920" s="1154">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D1929" s="156">
        <v>1420</v>
      </c>
      <c r="F1929" s="43" t="s">
        <v>1247</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D1931" s="43">
        <v>579</v>
      </c>
      <c r="F1931" s="43" t="s">
        <v>1537</v>
      </c>
      <c r="G1931" t="s">
        <v>1536</v>
      </c>
    </row>
    <row r="1932" spans="1:7">
      <c r="A1932" s="1148" t="s">
        <v>870</v>
      </c>
      <c r="B1932" s="1148" t="s">
        <v>1538</v>
      </c>
      <c r="C1932" s="56">
        <v>45964</v>
      </c>
      <c r="D1932" s="43">
        <v>365</v>
      </c>
      <c r="G1932" t="s">
        <v>1536</v>
      </c>
    </row>
    <row r="1933" spans="1:7">
      <c r="A1933" s="1148" t="s">
        <v>189</v>
      </c>
      <c r="B1933" s="1148" t="s">
        <v>815</v>
      </c>
      <c r="C1933" s="56">
        <v>45964</v>
      </c>
      <c r="D1933" s="43">
        <v>259</v>
      </c>
      <c r="G1933" t="s">
        <v>1536</v>
      </c>
    </row>
    <row r="1934" spans="1:7">
      <c r="A1934" s="1147" t="s">
        <v>255</v>
      </c>
      <c r="B1934" s="1150" t="s">
        <v>1461</v>
      </c>
      <c r="C1934" s="56">
        <v>45964</v>
      </c>
      <c r="D1934" s="43">
        <v>463</v>
      </c>
      <c r="G1934" t="s">
        <v>1536</v>
      </c>
    </row>
    <row r="1935" spans="1:7">
      <c r="A1935" s="1152" t="s">
        <v>220</v>
      </c>
      <c r="B1935" s="1148" t="s">
        <v>221</v>
      </c>
      <c r="C1935" s="56">
        <v>45964</v>
      </c>
      <c r="D1935" s="43">
        <v>882</v>
      </c>
      <c r="F1935" s="43" t="s">
        <v>1539</v>
      </c>
      <c r="G1935" t="s">
        <v>1536</v>
      </c>
    </row>
    <row r="1936" spans="1:7">
      <c r="A1936" s="1147" t="s">
        <v>304</v>
      </c>
      <c r="B1936" s="1151" t="s">
        <v>815</v>
      </c>
      <c r="C1936" s="56">
        <v>45964</v>
      </c>
      <c r="F1936" s="43" t="s">
        <v>1271</v>
      </c>
      <c r="G1936" t="s">
        <v>1536</v>
      </c>
    </row>
    <row r="1937" spans="1:7">
      <c r="A1937" s="1147" t="s">
        <v>304</v>
      </c>
      <c r="B1937" s="1151" t="s">
        <v>1540</v>
      </c>
      <c r="C1937" s="56">
        <v>45964</v>
      </c>
      <c r="E1937" s="325">
        <v>3846</v>
      </c>
      <c r="F1937" s="43" t="s">
        <v>1541</v>
      </c>
      <c r="G1937" t="s">
        <v>1536</v>
      </c>
    </row>
    <row r="1938" spans="1:7">
      <c r="A1938" s="1147" t="s">
        <v>304</v>
      </c>
      <c r="B1938" s="1151" t="s">
        <v>305</v>
      </c>
      <c r="C1938" s="56">
        <v>45964</v>
      </c>
      <c r="F1938" s="1159" t="s">
        <v>1542</v>
      </c>
      <c r="G1938" t="s">
        <v>1536</v>
      </c>
    </row>
    <row r="1939" spans="1:7">
      <c r="A1939" s="1147" t="s">
        <v>258</v>
      </c>
      <c r="B1939" s="1153" t="s">
        <v>815</v>
      </c>
      <c r="C1939" s="56">
        <v>45964</v>
      </c>
      <c r="D1939" s="43">
        <v>207</v>
      </c>
      <c r="G1939" t="s">
        <v>1536</v>
      </c>
    </row>
    <row r="1940" spans="1:7">
      <c r="A1940" s="1158"/>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1619</v>
      </c>
      <c r="C1" s="1136"/>
      <c r="D1" s="577"/>
      <c r="E1" s="1136" t="s">
        <v>1620</v>
      </c>
      <c r="F1" s="1136"/>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s="1154">
        <v>122681</v>
      </c>
      <c r="E4" s="44" t="s">
        <v>1621</v>
      </c>
      <c r="F4" t="s">
        <v>809</v>
      </c>
      <c r="W4" t="s">
        <v>1625</v>
      </c>
      <c r="X4">
        <v>22</v>
      </c>
    </row>
    <row r="5" spans="1:25">
      <c r="B5" t="s">
        <v>60</v>
      </c>
      <c r="C5" s="1154">
        <v>44287</v>
      </c>
      <c r="E5" t="s">
        <v>809</v>
      </c>
      <c r="F5" s="1154">
        <v>194931</v>
      </c>
      <c r="K5" s="44" t="s">
        <v>1626</v>
      </c>
      <c r="P5" s="44" t="s">
        <v>1626</v>
      </c>
      <c r="W5" t="s">
        <v>1627</v>
      </c>
      <c r="X5">
        <v>13</v>
      </c>
    </row>
    <row r="6" spans="1:25">
      <c r="B6" t="s">
        <v>101</v>
      </c>
      <c r="C6" s="1154">
        <v>22387</v>
      </c>
      <c r="K6" s="44" t="s">
        <v>27</v>
      </c>
      <c r="L6" s="44" t="s">
        <v>1628</v>
      </c>
      <c r="M6" t="s">
        <v>809</v>
      </c>
      <c r="P6" s="44" t="s">
        <v>1629</v>
      </c>
      <c r="Q6" s="44" t="s">
        <v>1628</v>
      </c>
      <c r="R6" t="s">
        <v>809</v>
      </c>
    </row>
    <row r="7" spans="1:25">
      <c r="B7" t="s">
        <v>835</v>
      </c>
      <c r="C7" s="1154">
        <v>258167</v>
      </c>
      <c r="K7" t="s">
        <v>1622</v>
      </c>
      <c r="L7" t="s">
        <v>472</v>
      </c>
      <c r="M7" s="1154">
        <v>1</v>
      </c>
      <c r="P7" t="s">
        <v>1630</v>
      </c>
      <c r="R7" s="1154">
        <v>1</v>
      </c>
      <c r="X7" t="s">
        <v>1631</v>
      </c>
      <c r="Y7" t="s">
        <v>1632</v>
      </c>
    </row>
    <row r="8" spans="1:25">
      <c r="B8" t="s">
        <v>200</v>
      </c>
      <c r="C8" s="1154">
        <v>5576</v>
      </c>
      <c r="L8" t="s">
        <v>474</v>
      </c>
      <c r="M8" s="1154">
        <v>1</v>
      </c>
      <c r="P8" t="s">
        <v>1633</v>
      </c>
      <c r="R8" s="1154">
        <v>1</v>
      </c>
      <c r="V8" t="s">
        <v>1634</v>
      </c>
      <c r="W8" s="261">
        <v>203521</v>
      </c>
      <c r="X8" s="317">
        <f>X5/X4</f>
        <v>0.59090909090909094</v>
      </c>
      <c r="Y8" s="317">
        <f>W9/W8</f>
        <v>0.31446386367991508</v>
      </c>
    </row>
    <row r="9" spans="1:25">
      <c r="B9" t="s">
        <v>51</v>
      </c>
      <c r="C9" s="1154">
        <v>0</v>
      </c>
      <c r="L9" t="s">
        <v>1635</v>
      </c>
      <c r="M9" s="1154">
        <v>1</v>
      </c>
      <c r="P9" t="s">
        <v>1636</v>
      </c>
      <c r="Q9" t="s">
        <v>1635</v>
      </c>
      <c r="R9" s="1154">
        <v>1</v>
      </c>
      <c r="V9" t="s">
        <v>1637</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1638</v>
      </c>
      <c r="R12" s="1154">
        <v>1</v>
      </c>
    </row>
    <row r="13" spans="1:25">
      <c r="B13" t="s">
        <v>148</v>
      </c>
      <c r="C13" s="1154">
        <v>13862</v>
      </c>
      <c r="L13" t="s">
        <v>1639</v>
      </c>
      <c r="M13" s="1154">
        <v>1</v>
      </c>
      <c r="Q13" t="s">
        <v>756</v>
      </c>
      <c r="R13" s="1154">
        <v>1</v>
      </c>
    </row>
    <row r="14" spans="1:25">
      <c r="B14" t="s">
        <v>197</v>
      </c>
      <c r="C14" s="1154">
        <v>16290</v>
      </c>
      <c r="L14" t="s">
        <v>585</v>
      </c>
      <c r="M14" s="1154">
        <v>1</v>
      </c>
      <c r="P14" t="s">
        <v>1640</v>
      </c>
      <c r="R14" s="1154">
        <v>5</v>
      </c>
    </row>
    <row r="15" spans="1:25">
      <c r="B15" t="s">
        <v>96</v>
      </c>
      <c r="C15" s="1154">
        <v>7655</v>
      </c>
      <c r="L15" t="s">
        <v>1638</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1641</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1642</v>
      </c>
      <c r="M26" s="1154">
        <v>19</v>
      </c>
    </row>
    <row r="27" spans="2:13">
      <c r="K27" t="s">
        <v>1643</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1644</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1645</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1646</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A81D0FA-1C58-43F2-A366-CA77B01B308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2025-11-04T00:13:55Z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