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71" documentId="8_{E14B221E-02E2-46A3-8CEC-C736815F2DD5}" xr6:coauthVersionLast="47" xr6:coauthVersionMax="47" xr10:uidLastSave="{D6C55CB1-9C6A-4F50-809A-152752B0B99E}"/>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<sst xmlns="http://schemas.openxmlformats.org/spreadsheetml/2006/main" count="16889" uniqueCount="2182">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</sst>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93" activePane="topRight" state="frozen"/>
      <selection pane="topRight" activeCell="AD108" sqref="AD10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6"/>
      <c r="K57" s="1456"/>
      <c r="L57" s="1345"/>
      <c r="M57" s="1225" t="s">
        <v>57</v>
      </c>
      <c r="N57" s="1457">
        <v>1035</v>
      </c>
      <c r="O57" s="1225" t="s">
        <v>57</v>
      </c>
      <c r="P57" s="1238" t="s">
        <v>58</v>
      </c>
      <c r="Q57" s="1458"/>
      <c r="R57" s="1458"/>
      <c r="S57" s="1458"/>
      <c r="T57" s="1458"/>
      <c r="U57" s="1458"/>
      <c r="V57" s="1459">
        <v>0</v>
      </c>
      <c r="W57" s="1460"/>
      <c r="X57" s="1460">
        <f>SUM(V57-W57)</f>
        <v>0</v>
      </c>
      <c r="Y57" s="662">
        <f>IFERROR($W57/$V57, 0)</f>
        <v>0</v>
      </c>
      <c r="Z57" s="1461"/>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2"/>
      <c r="I71" s="828" t="s">
        <v>55</v>
      </c>
      <c r="J71" s="831" t="s">
        <v>63</v>
      </c>
      <c r="K71" s="1456"/>
      <c r="L71" s="1347"/>
      <c r="M71" s="828" t="s">
        <v>57</v>
      </c>
      <c r="N71" s="1457">
        <v>36998.550000000003</v>
      </c>
      <c r="O71" s="828" t="s">
        <v>57</v>
      </c>
      <c r="P71" s="1238" t="s">
        <v>58</v>
      </c>
      <c r="Q71" s="1458"/>
      <c r="R71" s="1458"/>
      <c r="S71" s="1458"/>
      <c r="T71" s="1458"/>
      <c r="U71" s="1458"/>
      <c r="V71" s="1459">
        <v>2944</v>
      </c>
      <c r="W71" s="1460"/>
      <c r="X71" s="1460">
        <f>SUM(V71-W71)</f>
        <v>2944</v>
      </c>
      <c r="Y71" s="662">
        <f>IFERROR($W71/$V71, 0)</f>
        <v>0</v>
      </c>
      <c r="Z71" s="1461"/>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6"/>
      <c r="L81" s="1347"/>
      <c r="M81" s="1225" t="s">
        <v>57</v>
      </c>
      <c r="N81" s="1457">
        <v>118710.8</v>
      </c>
      <c r="O81" s="1225" t="s">
        <v>57</v>
      </c>
      <c r="P81" s="1207" t="s">
        <v>58</v>
      </c>
      <c r="Q81" s="1458"/>
      <c r="R81" s="1458"/>
      <c r="S81" s="1458"/>
      <c r="T81" s="1458"/>
      <c r="U81" s="1458"/>
      <c r="V81" s="1459">
        <v>9628</v>
      </c>
      <c r="W81" s="1460"/>
      <c r="X81" s="1460">
        <f>SUM(V81-W81)</f>
        <v>9628</v>
      </c>
      <c r="Y81" s="662">
        <f>IFERROR($W81/$V81, 0)</f>
        <v>0</v>
      </c>
      <c r="Z81" s="1458"/>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2">
        <v>109</v>
      </c>
      <c r="I87" s="828" t="s">
        <v>55</v>
      </c>
      <c r="J87" s="831" t="s">
        <v>63</v>
      </c>
      <c r="K87" s="1456"/>
      <c r="L87" s="1347">
        <v>45663</v>
      </c>
      <c r="M87" s="1462" t="s">
        <v>92</v>
      </c>
      <c r="N87" s="1457"/>
      <c r="O87" s="1462" t="s">
        <v>57</v>
      </c>
      <c r="P87" s="1463" t="s">
        <v>58</v>
      </c>
      <c r="Q87" s="1458">
        <v>46008</v>
      </c>
      <c r="R87" s="1458"/>
      <c r="S87" s="1458"/>
      <c r="T87" s="1458"/>
      <c r="U87" s="1458"/>
      <c r="V87" s="1459">
        <v>6825</v>
      </c>
      <c r="W87" s="1460"/>
      <c r="X87" s="1460">
        <f>SUM(V87-W87)</f>
        <v>6825</v>
      </c>
      <c r="Y87" s="662">
        <f>IFERROR($W87/$V87, 0)</f>
        <v>0</v>
      </c>
      <c r="Z87" s="1458">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2">
        <v>0</v>
      </c>
      <c r="I94" s="828" t="s">
        <v>55</v>
      </c>
      <c r="J94" s="1205" t="s">
        <v>91</v>
      </c>
      <c r="K94" s="1205" t="s">
        <v>76</v>
      </c>
      <c r="L94" s="1347"/>
      <c r="M94" s="1225" t="s">
        <v>92</v>
      </c>
      <c r="N94" s="1236"/>
      <c r="O94" s="1225" t="s">
        <v>92</v>
      </c>
      <c r="P94" s="1238" t="s">
        <v>58</v>
      </c>
      <c r="Q94" s="1458"/>
      <c r="R94" s="1458"/>
      <c r="S94" s="1458"/>
      <c r="T94" s="1458"/>
      <c r="U94" s="1458"/>
      <c r="V94" s="1459">
        <v>6202</v>
      </c>
      <c r="W94" s="1460"/>
      <c r="X94" s="1460">
        <f>SUM(V94-W94)</f>
        <v>6202</v>
      </c>
      <c r="Y94" s="662">
        <f>IFERROR($W94/$V94, 0)</f>
        <v>0</v>
      </c>
      <c r="Z94" s="1461"/>
      <c r="AA94" s="1287">
        <v>0</v>
      </c>
      <c r="AB94" s="1287">
        <v>0</v>
      </c>
      <c r="AC94" s="1286">
        <v>0</v>
      </c>
      <c r="AD94" s="1212" t="s">
        <v>308</v>
      </c>
      <c r="AE94" s="1273"/>
    </row>
    <row r="95" spans="1:31" ht="24.75" customHeight="1">
      <c r="A95" s="1435" t="s">
        <v>309</v>
      </c>
      <c r="B95" s="1016" t="s">
        <v>292</v>
      </c>
      <c r="C95" s="1420">
        <v>46051</v>
      </c>
      <c r="D95" s="1346"/>
      <c r="E95" s="1347"/>
      <c r="F95" s="1346"/>
      <c r="G95" s="1224"/>
      <c r="H95" s="1462">
        <v>0</v>
      </c>
      <c r="I95" s="828" t="s">
        <v>55</v>
      </c>
      <c r="J95" s="1205" t="s">
        <v>91</v>
      </c>
      <c r="K95" s="1205" t="s">
        <v>76</v>
      </c>
      <c r="L95" s="1347"/>
      <c r="M95" s="1225" t="s">
        <v>92</v>
      </c>
      <c r="N95" s="1236"/>
      <c r="O95" s="1225" t="s">
        <v>92</v>
      </c>
      <c r="P95" s="1238" t="s">
        <v>58</v>
      </c>
      <c r="Q95" s="1458"/>
      <c r="R95" s="1458"/>
      <c r="S95" s="1458"/>
      <c r="T95" s="1458"/>
      <c r="U95" s="1458"/>
      <c r="V95" s="1464">
        <v>545</v>
      </c>
      <c r="W95" s="1465"/>
      <c r="X95" s="1465">
        <f>SUM(V95-W95)</f>
        <v>545</v>
      </c>
      <c r="Y95" s="657">
        <f>IFERROR($W95/$V95, 0)</f>
        <v>0</v>
      </c>
      <c r="Z95" s="1466"/>
      <c r="AA95" s="1287">
        <v>0</v>
      </c>
      <c r="AB95" s="1287">
        <v>0</v>
      </c>
      <c r="AC95" s="1286">
        <v>0</v>
      </c>
      <c r="AD95" s="1212" t="s">
        <v>308</v>
      </c>
      <c r="AE95" s="1273"/>
    </row>
    <row r="96" spans="1:31" ht="24.75" customHeight="1">
      <c r="A96" s="1435" t="s">
        <v>310</v>
      </c>
      <c r="B96" s="1016" t="s">
        <v>292</v>
      </c>
      <c r="C96" s="1420">
        <v>46051</v>
      </c>
      <c r="D96" s="1346"/>
      <c r="E96" s="1347"/>
      <c r="F96" s="1346"/>
      <c r="G96" s="1224"/>
      <c r="H96" s="1462">
        <v>0</v>
      </c>
      <c r="I96" s="828" t="s">
        <v>55</v>
      </c>
      <c r="J96" s="1205" t="s">
        <v>91</v>
      </c>
      <c r="K96" s="1205" t="s">
        <v>76</v>
      </c>
      <c r="L96" s="1347"/>
      <c r="M96" s="1225" t="s">
        <v>92</v>
      </c>
      <c r="N96" s="1236"/>
      <c r="O96" s="1225" t="s">
        <v>92</v>
      </c>
      <c r="P96" s="1238" t="s">
        <v>58</v>
      </c>
      <c r="Q96" s="1458"/>
      <c r="R96" s="1458"/>
      <c r="S96" s="1458"/>
      <c r="T96" s="1458"/>
      <c r="U96" s="1458"/>
      <c r="V96" s="1464">
        <v>1172</v>
      </c>
      <c r="W96" s="1465"/>
      <c r="X96" s="1465">
        <f>SUM(V96-W96)</f>
        <v>1172</v>
      </c>
      <c r="Y96" s="657">
        <f>IFERROR($W96/$V96, 0)</f>
        <v>0</v>
      </c>
      <c r="Z96" s="1466"/>
      <c r="AA96" s="1287">
        <v>0</v>
      </c>
      <c r="AB96" s="1287">
        <v>0</v>
      </c>
      <c r="AC96" s="1286">
        <v>0</v>
      </c>
      <c r="AD96" s="1212" t="s">
        <v>308</v>
      </c>
      <c r="AE96" s="1273"/>
    </row>
    <row r="97" spans="1:31" ht="24.75" customHeight="1">
      <c r="A97" s="1435" t="s">
        <v>311</v>
      </c>
      <c r="B97" s="1016" t="s">
        <v>292</v>
      </c>
      <c r="C97" s="1420">
        <v>46051</v>
      </c>
      <c r="D97" s="1346"/>
      <c r="E97" s="1347"/>
      <c r="F97" s="1346"/>
      <c r="G97" s="1224"/>
      <c r="H97" s="1462">
        <v>0</v>
      </c>
      <c r="I97" s="828" t="s">
        <v>55</v>
      </c>
      <c r="J97" s="1205" t="s">
        <v>91</v>
      </c>
      <c r="K97" s="1205" t="s">
        <v>76</v>
      </c>
      <c r="L97" s="1347"/>
      <c r="M97" s="1225" t="s">
        <v>92</v>
      </c>
      <c r="N97" s="1236"/>
      <c r="O97" s="1225" t="s">
        <v>92</v>
      </c>
      <c r="P97" s="1238" t="s">
        <v>58</v>
      </c>
      <c r="Q97" s="1458"/>
      <c r="R97" s="1458"/>
      <c r="S97" s="1458"/>
      <c r="T97" s="1458"/>
      <c r="U97" s="1458"/>
      <c r="V97" s="1464">
        <v>4184</v>
      </c>
      <c r="W97" s="1465"/>
      <c r="X97" s="1465">
        <f>SUM(V97-W97)</f>
        <v>4184</v>
      </c>
      <c r="Y97" s="657">
        <f>IFERROR($W97/$V97, 0)</f>
        <v>0</v>
      </c>
      <c r="Z97" s="1466"/>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5"/>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5"/>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5"/>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5"/>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5"/>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5"/>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5"/>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5"/>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5"/>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7"/>
      <c r="R130" s="1367"/>
      <c r="S130" s="1367"/>
      <c r="T130" s="1367"/>
      <c r="U130" s="1367"/>
      <c r="V130" s="1267">
        <v>8641</v>
      </c>
      <c r="W130" s="1465"/>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8"/>
      <c r="R131" s="1369"/>
      <c r="S131" s="1369"/>
      <c r="T131" s="1369"/>
      <c r="U131" s="1369"/>
      <c r="V131" s="1371">
        <v>7502</v>
      </c>
      <c r="W131" s="1469"/>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69"/>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55"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AA42" activePane="topRight" state="frozen"/>
      <selection pane="topRight" activeCell="AB47" sqref="AB4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58" activePane="topRight" state="frozen"/>
      <selection pane="topRight" activeCell="A69" sqref="A6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8" sqref="E247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c r="C2463" s="56">
        <v>46030</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2027</v>
      </c>
      <c r="G2467" t="s">
        <v>2014</v>
      </c>
    </row>
    <row r="2468" spans="1:7">
      <c r="A2468" s="247" t="s">
        <v>399</v>
      </c>
      <c r="B2468" s="157" t="s">
        <v>2028</v>
      </c>
      <c r="C2468" s="56">
        <v>46030</v>
      </c>
      <c r="D2468" s="155"/>
      <c r="E2468" s="155">
        <v>2706</v>
      </c>
      <c r="F2468" s="43" t="s">
        <v>2029</v>
      </c>
      <c r="G2468" t="s">
        <v>2014</v>
      </c>
    </row>
    <row r="2469" spans="1:7">
      <c r="A2469" s="247" t="s">
        <v>265</v>
      </c>
      <c r="B2469" s="157" t="s">
        <v>229</v>
      </c>
      <c r="C2469" s="56">
        <v>46030</v>
      </c>
      <c r="D2469" s="155">
        <v>1926</v>
      </c>
      <c r="F2469" s="43" t="s">
        <v>2030</v>
      </c>
      <c r="G2469" t="s">
        <v>2014</v>
      </c>
    </row>
    <row r="2470" spans="1:7">
      <c r="A2470" s="247" t="s">
        <v>399</v>
      </c>
      <c r="B2470" s="157" t="s">
        <v>2028</v>
      </c>
      <c r="C2470" s="56">
        <v>46031</v>
      </c>
      <c r="D2470" s="43">
        <v>0</v>
      </c>
      <c r="F2470" s="1448" t="s">
        <v>2031</v>
      </c>
      <c r="G2470" t="s">
        <v>2014</v>
      </c>
    </row>
    <row r="2471" spans="1:7">
      <c r="A2471" s="247" t="s">
        <v>280</v>
      </c>
      <c r="B2471" s="157" t="s">
        <v>2028</v>
      </c>
      <c r="C2471" s="56">
        <v>46031</v>
      </c>
      <c r="D2471" s="43">
        <v>0</v>
      </c>
      <c r="F2471" s="43" t="s">
        <v>2032</v>
      </c>
      <c r="G2471" t="s">
        <v>2014</v>
      </c>
    </row>
    <row r="2472" spans="1:7">
      <c r="A2472" s="247" t="s">
        <v>265</v>
      </c>
      <c r="B2472" s="157" t="s">
        <v>229</v>
      </c>
      <c r="C2472" s="56">
        <v>46031</v>
      </c>
      <c r="D2472" s="155">
        <v>1000</v>
      </c>
      <c r="F2472" s="1444" t="s">
        <v>2033</v>
      </c>
      <c r="G2472" t="s">
        <v>2014</v>
      </c>
    </row>
    <row r="2473" spans="1:7">
      <c r="A2473" s="247" t="s">
        <v>321</v>
      </c>
      <c r="B2473" s="157" t="s">
        <v>128</v>
      </c>
      <c r="C2473" s="56">
        <v>46031</v>
      </c>
      <c r="E2473" s="321">
        <v>1056</v>
      </c>
      <c r="F2473" s="1444" t="s">
        <v>2034</v>
      </c>
      <c r="G2473" t="s">
        <v>2014</v>
      </c>
    </row>
    <row r="2474" spans="1:7">
      <c r="A2474" s="247" t="s">
        <v>487</v>
      </c>
      <c r="B2474" s="157" t="s">
        <v>128</v>
      </c>
      <c r="C2474" s="56">
        <v>46031</v>
      </c>
      <c r="E2474" s="321">
        <v>1090</v>
      </c>
      <c r="F2474" s="43" t="s">
        <v>2035</v>
      </c>
      <c r="G2474" t="s">
        <v>2014</v>
      </c>
    </row>
    <row r="2475" spans="1:7">
      <c r="A2475" s="247" t="s">
        <v>337</v>
      </c>
      <c r="B2475" s="157" t="s">
        <v>128</v>
      </c>
      <c r="C2475" s="56">
        <v>46031</v>
      </c>
      <c r="D2475" s="43">
        <v>447</v>
      </c>
      <c r="F2475" s="1444" t="s">
        <v>2036</v>
      </c>
      <c r="G2475" t="s">
        <v>2014</v>
      </c>
    </row>
    <row r="2476" spans="1:7">
      <c r="A2476" s="247"/>
      <c r="B2476" s="157"/>
      <c r="C2476" s="56"/>
      <c r="F2476" s="1444"/>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2037</v>
      </c>
      <c r="W2" s="3" t="s">
        <v>2038</v>
      </c>
      <c r="X2" s="3" t="s">
        <v>2038</v>
      </c>
      <c r="Y2" s="3" t="s">
        <v>2038</v>
      </c>
      <c r="Z2" s="3" t="s">
        <v>2038</v>
      </c>
      <c r="AA2" s="8" t="s">
        <v>2039</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2040</v>
      </c>
      <c r="T3" s="19" t="s">
        <v>2041</v>
      </c>
      <c r="U3" s="19" t="s">
        <v>2042</v>
      </c>
      <c r="V3" s="5" t="s">
        <v>2043</v>
      </c>
      <c r="W3" s="5" t="s">
        <v>44</v>
      </c>
      <c r="X3" s="5" t="s">
        <v>43</v>
      </c>
      <c r="Y3" s="5" t="s">
        <v>2044</v>
      </c>
      <c r="Z3" s="5" t="s">
        <v>46</v>
      </c>
      <c r="AA3" s="89" t="s">
        <v>676</v>
      </c>
      <c r="AB3" s="68" t="s">
        <v>48</v>
      </c>
    </row>
    <row r="4" spans="1:30" ht="24.75" customHeight="1" thickBot="1">
      <c r="A4" s="440" t="s">
        <v>2045</v>
      </c>
      <c r="B4" s="440" t="s">
        <v>2046</v>
      </c>
      <c r="C4" s="16">
        <v>45717</v>
      </c>
      <c r="D4" s="63" t="s">
        <v>2047</v>
      </c>
      <c r="E4" s="51">
        <v>45707</v>
      </c>
      <c r="F4" s="51" t="s">
        <v>205</v>
      </c>
      <c r="G4" s="382" t="s">
        <v>2048</v>
      </c>
      <c r="H4" s="97">
        <v>0</v>
      </c>
      <c r="I4" s="105"/>
      <c r="J4" s="76" t="s">
        <v>63</v>
      </c>
      <c r="K4" s="76" t="s">
        <v>2049</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2050</v>
      </c>
    </row>
    <row r="5" spans="1:30" ht="24.75" customHeight="1" thickBot="1">
      <c r="A5" s="440" t="s">
        <v>2051</v>
      </c>
      <c r="B5" s="440" t="s">
        <v>2046</v>
      </c>
      <c r="C5" s="16">
        <v>45717</v>
      </c>
      <c r="D5" s="63" t="s">
        <v>2047</v>
      </c>
      <c r="E5" s="51">
        <v>45707</v>
      </c>
      <c r="F5" s="381" t="s">
        <v>205</v>
      </c>
      <c r="G5" s="382" t="s">
        <v>2052</v>
      </c>
      <c r="H5" s="97">
        <v>0</v>
      </c>
      <c r="I5" s="105"/>
      <c r="J5" s="76" t="s">
        <v>63</v>
      </c>
      <c r="K5" s="76" t="s">
        <v>2049</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2053</v>
      </c>
      <c r="B6" s="440" t="s">
        <v>2046</v>
      </c>
      <c r="C6" s="16">
        <v>45717</v>
      </c>
      <c r="D6" s="63" t="s">
        <v>2047</v>
      </c>
      <c r="E6" s="51">
        <v>45707</v>
      </c>
      <c r="F6" s="381" t="s">
        <v>205</v>
      </c>
      <c r="G6" s="382" t="s">
        <v>2054</v>
      </c>
      <c r="H6" s="97">
        <v>0</v>
      </c>
      <c r="I6" s="105"/>
      <c r="J6" s="76" t="s">
        <v>63</v>
      </c>
      <c r="K6" s="76" t="s">
        <v>2049</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2055</v>
      </c>
      <c r="B8" s="440" t="s">
        <v>2056</v>
      </c>
      <c r="C8" s="16">
        <v>45748</v>
      </c>
      <c r="D8" s="16" t="s">
        <v>2047</v>
      </c>
      <c r="E8" s="94" t="s">
        <v>52</v>
      </c>
      <c r="F8" s="95" t="s">
        <v>52</v>
      </c>
      <c r="G8" s="620" t="s">
        <v>2057</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2058</v>
      </c>
      <c r="AC8" s="435"/>
      <c r="AD8" s="70"/>
    </row>
    <row r="9" spans="1:30" ht="24.75" customHeight="1">
      <c r="A9" s="449" t="s">
        <v>2059</v>
      </c>
      <c r="B9" s="449" t="s">
        <v>2060</v>
      </c>
      <c r="C9" s="23">
        <v>45741</v>
      </c>
      <c r="D9" s="16" t="s">
        <v>2047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2061</v>
      </c>
    </row>
    <row r="10" spans="1:30" ht="24.75" customHeight="1" thickBot="1">
      <c r="A10" s="26" t="s">
        <v>2062</v>
      </c>
      <c r="B10" s="26" t="s">
        <v>2060</v>
      </c>
      <c r="C10" s="27">
        <v>45741</v>
      </c>
      <c r="D10" s="16" t="s">
        <v>2047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2063</v>
      </c>
      <c r="B11" s="36" t="s">
        <v>2060</v>
      </c>
      <c r="C11" s="37">
        <v>45747</v>
      </c>
      <c r="D11" s="16" t="s">
        <v>2047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2064</v>
      </c>
      <c r="B12" s="26" t="s">
        <v>2060</v>
      </c>
      <c r="C12" s="27">
        <v>45741</v>
      </c>
      <c r="D12" s="16" t="s">
        <v>2047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2061</v>
      </c>
    </row>
    <row r="13" spans="1:30" ht="24.75" customHeight="1" thickBot="1">
      <c r="A13" s="26" t="s">
        <v>2065</v>
      </c>
      <c r="B13" s="26" t="s">
        <v>2060</v>
      </c>
      <c r="C13" s="27">
        <v>45741</v>
      </c>
      <c r="D13" s="27" t="s">
        <v>2047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2061</v>
      </c>
    </row>
    <row r="14" spans="1:30" ht="24.75" customHeight="1" thickBot="1">
      <c r="A14" s="26" t="s">
        <v>2066</v>
      </c>
      <c r="B14" s="26" t="s">
        <v>2060</v>
      </c>
      <c r="C14" s="27">
        <v>45747</v>
      </c>
      <c r="D14" s="27" t="s">
        <v>2047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2067</v>
      </c>
      <c r="B15" s="26" t="s">
        <v>2060</v>
      </c>
      <c r="C15" s="27">
        <v>45741</v>
      </c>
      <c r="D15" s="27" t="s">
        <v>2047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2061</v>
      </c>
    </row>
    <row r="16" spans="1:30" ht="24.75" customHeight="1" thickBot="1">
      <c r="A16" s="26" t="s">
        <v>2068</v>
      </c>
      <c r="B16" s="26" t="s">
        <v>2060</v>
      </c>
      <c r="C16" s="27">
        <v>45741</v>
      </c>
      <c r="D16" s="27" t="s">
        <v>2047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2061</v>
      </c>
    </row>
    <row r="17" spans="1:30" ht="24.75" customHeight="1" thickBot="1">
      <c r="A17" s="36" t="s">
        <v>2069</v>
      </c>
      <c r="B17" s="36" t="s">
        <v>2060</v>
      </c>
      <c r="C17" s="37">
        <v>45747</v>
      </c>
      <c r="D17" s="37" t="s">
        <v>2047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2070</v>
      </c>
      <c r="B18" s="374" t="s">
        <v>2060</v>
      </c>
      <c r="C18" s="51">
        <v>45717</v>
      </c>
      <c r="D18" s="27" t="s">
        <v>2047</v>
      </c>
      <c r="E18" s="85">
        <v>45700</v>
      </c>
      <c r="F18" s="51"/>
      <c r="G18" s="51" t="s">
        <v>2071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2061</v>
      </c>
    </row>
    <row r="19" spans="1:30" ht="24.75" customHeight="1" thickBot="1">
      <c r="A19" s="50" t="s">
        <v>2072</v>
      </c>
      <c r="B19" s="26" t="s">
        <v>2060</v>
      </c>
      <c r="C19" s="51">
        <v>45747</v>
      </c>
      <c r="D19" s="27" t="s">
        <v>2047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2073</v>
      </c>
    </row>
    <row r="20" spans="1:30" ht="24.75" customHeight="1" thickBot="1">
      <c r="A20" s="374" t="s">
        <v>2074</v>
      </c>
      <c r="B20" s="374" t="s">
        <v>2060</v>
      </c>
      <c r="C20" s="375">
        <v>45717</v>
      </c>
      <c r="D20" s="27" t="s">
        <v>2047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2061</v>
      </c>
    </row>
    <row r="21" spans="1:30" ht="24.75" customHeight="1" thickBot="1">
      <c r="A21" s="374" t="s">
        <v>2075</v>
      </c>
      <c r="B21" s="112" t="s">
        <v>50</v>
      </c>
      <c r="C21" s="51">
        <v>45717</v>
      </c>
      <c r="D21" s="27" t="s">
        <v>2076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2077</v>
      </c>
      <c r="B22" s="378" t="s">
        <v>50</v>
      </c>
      <c r="C22" s="51">
        <v>45717</v>
      </c>
      <c r="D22" s="51" t="s">
        <v>2076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2078</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2079</v>
      </c>
      <c r="B24" s="378" t="s">
        <v>50</v>
      </c>
      <c r="C24" s="381">
        <v>45688</v>
      </c>
      <c r="D24" s="390" t="s">
        <v>2078</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2080</v>
      </c>
      <c r="B25" s="113" t="s">
        <v>50</v>
      </c>
      <c r="C25" s="51">
        <v>45747</v>
      </c>
      <c r="D25" s="51" t="s">
        <v>2076</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2081</v>
      </c>
    </row>
    <row r="26" spans="1:30" ht="24.75" customHeight="1">
      <c r="A26" s="101" t="s">
        <v>2082</v>
      </c>
      <c r="B26" s="102" t="s">
        <v>50</v>
      </c>
      <c r="C26" s="77">
        <v>45716</v>
      </c>
      <c r="D26" s="26" t="s">
        <v>2078</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2083</v>
      </c>
      <c r="B27" s="102" t="s">
        <v>50</v>
      </c>
      <c r="C27" s="77">
        <v>45716</v>
      </c>
      <c r="D27" s="50" t="s">
        <v>2078</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2084</v>
      </c>
      <c r="B28" s="1117" t="s">
        <v>50</v>
      </c>
      <c r="C28" s="1110">
        <v>45991</v>
      </c>
      <c r="D28" s="375" t="s">
        <v>85</v>
      </c>
      <c r="E28" s="77">
        <v>45734</v>
      </c>
      <c r="F28" s="1108" t="s">
        <v>68</v>
      </c>
      <c r="G28" s="1119" t="s">
        <v>2085</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2086</v>
      </c>
      <c r="B29" s="1117" t="s">
        <v>50</v>
      </c>
      <c r="C29" s="1110">
        <v>46021</v>
      </c>
      <c r="D29" s="375" t="s">
        <v>85</v>
      </c>
      <c r="E29" s="77">
        <v>45743</v>
      </c>
      <c r="F29" s="1108" t="s">
        <v>68</v>
      </c>
      <c r="G29" s="1118" t="s">
        <v>2087</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2088</v>
      </c>
      <c r="AC29" s="1114"/>
      <c r="AD29" s="1116"/>
    </row>
    <row r="30" spans="1:30" ht="24.75" customHeight="1">
      <c r="A30" s="374" t="s">
        <v>2089</v>
      </c>
      <c r="B30" s="669" t="s">
        <v>50</v>
      </c>
      <c r="C30" s="375">
        <v>45991</v>
      </c>
      <c r="D30" s="50" t="s">
        <v>85</v>
      </c>
      <c r="E30" s="51">
        <v>45743</v>
      </c>
      <c r="F30" s="50" t="s">
        <v>68</v>
      </c>
      <c r="G30" s="379" t="s">
        <v>2090</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2091</v>
      </c>
      <c r="AC30" s="333"/>
      <c r="AD30" s="115"/>
    </row>
    <row r="31" spans="1:30" ht="24.75" customHeight="1">
      <c r="A31" s="374" t="s">
        <v>1098</v>
      </c>
      <c r="B31" s="669" t="s">
        <v>50</v>
      </c>
      <c r="C31" s="375">
        <v>46021</v>
      </c>
      <c r="D31" s="375" t="s">
        <v>85</v>
      </c>
      <c r="E31" s="51">
        <v>45735</v>
      </c>
      <c r="F31" s="50" t="s">
        <v>68</v>
      </c>
      <c r="G31" s="670" t="s">
        <v>2092</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2093</v>
      </c>
      <c r="W31" s="34">
        <v>0</v>
      </c>
      <c r="X31" s="34">
        <v>0</v>
      </c>
      <c r="Y31" s="31">
        <v>0</v>
      </c>
      <c r="Z31" s="34">
        <v>0</v>
      </c>
      <c r="AA31" s="31">
        <v>0</v>
      </c>
      <c r="AB31" s="353" t="s">
        <v>2088</v>
      </c>
    </row>
    <row r="32" spans="1:30" ht="24.75" customHeight="1">
      <c r="A32" s="905" t="s">
        <v>2094</v>
      </c>
      <c r="B32" s="1109" t="s">
        <v>50</v>
      </c>
      <c r="C32" s="985">
        <v>45717</v>
      </c>
      <c r="D32" s="985" t="s">
        <v>2076</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2095</v>
      </c>
      <c r="B33" s="989" t="s">
        <v>50</v>
      </c>
      <c r="C33" s="907">
        <v>45989</v>
      </c>
      <c r="D33" s="907" t="s">
        <v>2096</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2097</v>
      </c>
    </row>
    <row r="34" spans="1:30" ht="24.75" customHeight="1">
      <c r="A34" s="905" t="s">
        <v>2098</v>
      </c>
      <c r="B34" s="1109" t="s">
        <v>50</v>
      </c>
      <c r="C34" s="985">
        <v>45717</v>
      </c>
      <c r="D34" s="985" t="s">
        <v>2076</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2099</v>
      </c>
      <c r="B35" s="1109" t="s">
        <v>50</v>
      </c>
      <c r="C35" s="985">
        <v>45717</v>
      </c>
      <c r="D35" s="985" t="s">
        <v>2076</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2100</v>
      </c>
      <c r="B36" s="1109" t="s">
        <v>50</v>
      </c>
      <c r="C36" s="985">
        <v>45717</v>
      </c>
      <c r="D36" s="985" t="s">
        <v>2076</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2101</v>
      </c>
      <c r="Q1" s="159" t="s">
        <v>2102</v>
      </c>
      <c r="R1" s="127" t="s">
        <v>2103</v>
      </c>
      <c r="S1" s="127" t="s">
        <v>2104</v>
      </c>
      <c r="T1" s="159" t="s">
        <v>2105</v>
      </c>
      <c r="U1" s="127" t="s">
        <v>1226</v>
      </c>
      <c r="V1" s="160" t="s">
        <v>2106</v>
      </c>
      <c r="W1" s="160" t="s">
        <v>2107</v>
      </c>
      <c r="X1" s="163" t="s">
        <v>2108</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2109</v>
      </c>
      <c r="B4" s="407" t="s">
        <v>204</v>
      </c>
      <c r="C4" s="408">
        <v>45742</v>
      </c>
      <c r="D4" s="696" t="s">
        <v>2110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2111</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2111</v>
      </c>
      <c r="S7" s="43" t="s">
        <v>329</v>
      </c>
      <c r="T7" s="43" t="s">
        <v>329</v>
      </c>
      <c r="U7" s="43" t="s">
        <v>329</v>
      </c>
      <c r="V7" s="69" t="s">
        <v>91</v>
      </c>
      <c r="W7" s="30"/>
      <c r="X7" s="69" t="s">
        <v>91</v>
      </c>
      <c r="Y7" t="e">
        <f>VLOOKUP(A7,#REF!,2,FALSE)</f>
        <v>#REF!</v>
      </c>
    </row>
    <row r="8" spans="1:25">
      <c r="A8" s="175" t="s">
        <v>543</v>
      </c>
      <c r="B8" s="180" t="s">
        <v>204</v>
      </c>
      <c r="C8" s="176">
        <v>45742</v>
      </c>
      <c r="D8" s="185" t="s">
        <v>2112</v>
      </c>
      <c r="E8" s="120"/>
      <c r="F8" s="108"/>
      <c r="G8" s="108"/>
      <c r="H8" s="179">
        <v>84</v>
      </c>
      <c r="I8" s="181"/>
      <c r="J8" s="185" t="s">
        <v>57</v>
      </c>
      <c r="K8" s="185" t="s">
        <v>57</v>
      </c>
      <c r="L8" s="185" t="s">
        <v>63</v>
      </c>
      <c r="M8" s="193">
        <v>45716</v>
      </c>
      <c r="N8" s="30" t="s">
        <v>329</v>
      </c>
      <c r="O8" s="30" t="s">
        <v>329</v>
      </c>
      <c r="P8" s="711" t="s">
        <v>329</v>
      </c>
      <c r="Q8" s="69" t="s">
        <v>329</v>
      </c>
      <c r="R8" s="43" t="s">
        <v>2111</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2111</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2111</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2111</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2111</v>
      </c>
      <c r="S12" s="43" t="s">
        <v>329</v>
      </c>
      <c r="T12" s="43" t="s">
        <v>329</v>
      </c>
      <c r="U12" s="69" t="s">
        <v>91</v>
      </c>
      <c r="V12" s="69" t="s">
        <v>91</v>
      </c>
      <c r="W12" s="30"/>
      <c r="X12" s="69" t="s">
        <v>91</v>
      </c>
      <c r="Y12" t="e">
        <f>VLOOKUP(A12,#REF!,2,FALSE)</f>
        <v>#REF!</v>
      </c>
    </row>
    <row r="13" spans="1:25">
      <c r="A13" s="178" t="s">
        <v>261</v>
      </c>
      <c r="B13" s="180" t="s">
        <v>204</v>
      </c>
      <c r="C13" s="409">
        <v>45960</v>
      </c>
      <c r="D13" s="418" t="s">
        <v>2113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2114</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2115</v>
      </c>
      <c r="N16" s="30" t="s">
        <v>329</v>
      </c>
      <c r="O16" s="54" t="s">
        <v>2115</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2114</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2114</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2114</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2114</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2114</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2114</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2114</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2111</v>
      </c>
      <c r="S31" s="43" t="s">
        <v>329</v>
      </c>
      <c r="T31" s="139" t="s">
        <v>329</v>
      </c>
      <c r="U31" s="115" t="s">
        <v>329</v>
      </c>
      <c r="V31" s="69" t="s">
        <v>329</v>
      </c>
      <c r="W31" s="54">
        <v>45779</v>
      </c>
      <c r="X31" s="69" t="s">
        <v>2114</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2111</v>
      </c>
      <c r="S32" s="43" t="s">
        <v>329</v>
      </c>
      <c r="T32" s="139" t="s">
        <v>329</v>
      </c>
      <c r="U32" s="43" t="s">
        <v>329</v>
      </c>
      <c r="V32" s="69" t="s">
        <v>329</v>
      </c>
      <c r="W32" s="54">
        <v>45792</v>
      </c>
      <c r="X32" s="69" t="s">
        <v>2114</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2111</v>
      </c>
      <c r="S33" s="43" t="s">
        <v>329</v>
      </c>
      <c r="T33" s="139" t="s">
        <v>329</v>
      </c>
      <c r="U33" s="43" t="s">
        <v>329</v>
      </c>
      <c r="V33" s="334" t="s">
        <v>329</v>
      </c>
      <c r="W33" s="54">
        <v>45812</v>
      </c>
      <c r="X33" s="69" t="s">
        <v>2114</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2111</v>
      </c>
      <c r="S34" s="43" t="s">
        <v>329</v>
      </c>
      <c r="T34" s="139" t="s">
        <v>329</v>
      </c>
      <c r="U34" s="43" t="s">
        <v>329</v>
      </c>
      <c r="V34" s="404" t="s">
        <v>329</v>
      </c>
      <c r="W34" s="166">
        <v>45797</v>
      </c>
      <c r="X34" s="69" t="s">
        <v>2114</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2111</v>
      </c>
      <c r="S35" s="43" t="s">
        <v>329</v>
      </c>
      <c r="T35" s="139" t="s">
        <v>329</v>
      </c>
      <c r="U35" s="169" t="s">
        <v>329</v>
      </c>
      <c r="V35" s="69" t="s">
        <v>329</v>
      </c>
      <c r="W35" s="54">
        <v>45789</v>
      </c>
      <c r="X35" s="334" t="s">
        <v>2114</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2111</v>
      </c>
      <c r="S36" s="43" t="s">
        <v>329</v>
      </c>
      <c r="T36" s="139" t="s">
        <v>329</v>
      </c>
      <c r="U36" s="43" t="s">
        <v>329</v>
      </c>
      <c r="V36" s="69" t="s">
        <v>329</v>
      </c>
      <c r="W36" s="54">
        <v>45824</v>
      </c>
      <c r="X36" s="334" t="s">
        <v>2114</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2111</v>
      </c>
      <c r="S37" s="43" t="s">
        <v>329</v>
      </c>
      <c r="T37" s="43" t="s">
        <v>329</v>
      </c>
      <c r="U37" s="169" t="s">
        <v>329</v>
      </c>
      <c r="V37" s="69" t="s">
        <v>329</v>
      </c>
      <c r="W37" s="156">
        <v>45789</v>
      </c>
      <c r="X37" s="69" t="s">
        <v>2114</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2111</v>
      </c>
      <c r="S38" s="43" t="s">
        <v>329</v>
      </c>
      <c r="T38" s="43" t="s">
        <v>329</v>
      </c>
      <c r="U38" s="169" t="s">
        <v>329</v>
      </c>
      <c r="V38" s="69" t="s">
        <v>329</v>
      </c>
      <c r="W38" s="54">
        <v>45789</v>
      </c>
      <c r="X38" s="69" t="s">
        <v>2114</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2111</v>
      </c>
      <c r="S39" s="43" t="s">
        <v>329</v>
      </c>
      <c r="T39" s="43" t="s">
        <v>329</v>
      </c>
      <c r="U39" s="169" t="s">
        <v>329</v>
      </c>
      <c r="V39" s="69" t="s">
        <v>329</v>
      </c>
      <c r="W39" s="54">
        <v>45789</v>
      </c>
      <c r="X39" s="69" t="s">
        <v>2114</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2114</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2114</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2114</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2114</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2114</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2114</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2114</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2114</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2114</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2114</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2114</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2114</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2111</v>
      </c>
      <c r="S57" s="43" t="s">
        <v>329</v>
      </c>
      <c r="T57" s="43" t="s">
        <v>329</v>
      </c>
      <c r="U57" s="43" t="s">
        <v>329</v>
      </c>
      <c r="V57" s="69" t="s">
        <v>329</v>
      </c>
      <c r="W57" s="54">
        <v>45813</v>
      </c>
      <c r="X57" s="69" t="s">
        <v>2114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2111</v>
      </c>
      <c r="S58" s="43" t="s">
        <v>329</v>
      </c>
      <c r="T58" s="43" t="s">
        <v>329</v>
      </c>
      <c r="U58" s="43" t="s">
        <v>329</v>
      </c>
      <c r="V58" s="334" t="s">
        <v>329</v>
      </c>
      <c r="W58" s="54">
        <v>45796</v>
      </c>
      <c r="X58" s="69" t="s">
        <v>2114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2093</v>
      </c>
      <c r="P59" s="328" t="s">
        <v>329</v>
      </c>
      <c r="Q59" s="43" t="s">
        <v>329</v>
      </c>
      <c r="R59" s="43" t="s">
        <v>2111</v>
      </c>
      <c r="S59" s="43" t="s">
        <v>329</v>
      </c>
      <c r="T59" s="43" t="s">
        <v>329</v>
      </c>
      <c r="U59" s="43" t="s">
        <v>329</v>
      </c>
      <c r="V59" s="334" t="s">
        <v>329</v>
      </c>
      <c r="W59" s="54">
        <v>45796</v>
      </c>
      <c r="X59" s="69" t="s">
        <v>2114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2111</v>
      </c>
      <c r="S60" s="43" t="s">
        <v>329</v>
      </c>
      <c r="T60" s="43" t="s">
        <v>329</v>
      </c>
      <c r="U60" s="43" t="s">
        <v>329</v>
      </c>
      <c r="V60" s="334" t="s">
        <v>329</v>
      </c>
      <c r="W60" s="54">
        <v>45824</v>
      </c>
      <c r="X60" s="69" t="s">
        <v>2114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2116</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2111</v>
      </c>
      <c r="S81" s="43" t="s">
        <v>329</v>
      </c>
      <c r="T81" s="43" t="s">
        <v>329</v>
      </c>
      <c r="U81" s="115" t="s">
        <v>329</v>
      </c>
      <c r="V81" s="69" t="s">
        <v>329</v>
      </c>
      <c r="W81" s="54">
        <v>45789</v>
      </c>
      <c r="X81" s="69" t="s">
        <v>2114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2111</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2111</v>
      </c>
      <c r="S84" s="169" t="s">
        <v>329</v>
      </c>
      <c r="T84" s="169" t="s">
        <v>329</v>
      </c>
      <c r="U84" s="91" t="s">
        <v>329</v>
      </c>
      <c r="V84" s="69" t="s">
        <v>329</v>
      </c>
      <c r="W84" s="195">
        <v>45875</v>
      </c>
      <c r="X84" s="69" t="s">
        <v>2114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2111</v>
      </c>
      <c r="S85" s="169" t="s">
        <v>329</v>
      </c>
      <c r="T85" s="169" t="s">
        <v>329</v>
      </c>
      <c r="U85" s="91" t="s">
        <v>329</v>
      </c>
      <c r="V85" s="91" t="s">
        <v>329</v>
      </c>
      <c r="W85" s="195">
        <v>45874</v>
      </c>
      <c r="X85" s="69" t="s">
        <v>2114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2111</v>
      </c>
      <c r="S86" s="43" t="s">
        <v>329</v>
      </c>
      <c r="T86" s="43" t="s">
        <v>329</v>
      </c>
      <c r="U86" s="69" t="s">
        <v>329</v>
      </c>
      <c r="V86" s="69" t="s">
        <v>329</v>
      </c>
      <c r="W86" s="54">
        <v>45824</v>
      </c>
      <c r="X86" s="69" t="s">
        <v>2114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2111</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2111</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2111</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2111</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2111</v>
      </c>
      <c r="S91" s="69" t="s">
        <v>329</v>
      </c>
      <c r="T91" s="69" t="s">
        <v>329</v>
      </c>
      <c r="U91" s="69" t="s">
        <v>329</v>
      </c>
      <c r="V91" s="69" t="s">
        <v>329</v>
      </c>
      <c r="W91" s="54">
        <v>45831</v>
      </c>
      <c r="X91" s="69" t="s">
        <v>2114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2111</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2111</v>
      </c>
      <c r="S93" s="43" t="s">
        <v>329</v>
      </c>
      <c r="T93" s="43" t="s">
        <v>329</v>
      </c>
      <c r="U93" s="334" t="s">
        <v>329</v>
      </c>
      <c r="V93" s="69" t="s">
        <v>329</v>
      </c>
      <c r="W93" s="54">
        <v>45789</v>
      </c>
      <c r="X93" s="69" t="s">
        <v>2114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2111</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2111</v>
      </c>
      <c r="S95" s="69" t="s">
        <v>329</v>
      </c>
      <c r="T95" s="43" t="s">
        <v>329</v>
      </c>
      <c r="U95" s="69" t="s">
        <v>329</v>
      </c>
      <c r="V95" s="69" t="s">
        <v>329</v>
      </c>
      <c r="W95" s="54">
        <v>45814</v>
      </c>
      <c r="X95" s="69" t="s">
        <v>2114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2111</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2111</v>
      </c>
      <c r="S97" s="69" t="s">
        <v>329</v>
      </c>
      <c r="T97" s="69" t="s">
        <v>329</v>
      </c>
      <c r="U97" s="69" t="s">
        <v>329</v>
      </c>
      <c r="V97" s="43" t="s">
        <v>329</v>
      </c>
      <c r="W97" s="54">
        <v>45824</v>
      </c>
      <c r="X97" s="69" t="s">
        <v>2114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2111</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2111</v>
      </c>
      <c r="S99" s="43" t="s">
        <v>329</v>
      </c>
      <c r="T99" s="115" t="s">
        <v>329</v>
      </c>
      <c r="U99" s="148" t="s">
        <v>329</v>
      </c>
      <c r="V99" s="69" t="s">
        <v>329</v>
      </c>
      <c r="W99" s="54">
        <v>45814</v>
      </c>
      <c r="X99" s="69" t="s">
        <v>2114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2111</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2111</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2111</v>
      </c>
      <c r="S102" s="43" t="s">
        <v>329</v>
      </c>
      <c r="T102" s="43" t="s">
        <v>329</v>
      </c>
      <c r="U102" s="43" t="s">
        <v>329</v>
      </c>
      <c r="V102" s="165" t="s">
        <v>329</v>
      </c>
      <c r="W102" s="54">
        <v>45835</v>
      </c>
      <c r="X102" s="69" t="s">
        <v>2114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2111</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2111</v>
      </c>
      <c r="S104" s="43" t="s">
        <v>329</v>
      </c>
      <c r="T104" s="43" t="s">
        <v>329</v>
      </c>
      <c r="U104" s="43" t="s">
        <v>329</v>
      </c>
      <c r="V104" s="139" t="s">
        <v>329</v>
      </c>
      <c r="W104" s="54">
        <v>45820</v>
      </c>
      <c r="X104" s="69" t="s">
        <v>2114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2111</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2111</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2111</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2111</v>
      </c>
      <c r="S108" s="43" t="s">
        <v>329</v>
      </c>
      <c r="T108" s="43" t="s">
        <v>329</v>
      </c>
      <c r="U108" s="88" t="s">
        <v>329</v>
      </c>
      <c r="V108" s="481" t="s">
        <v>329</v>
      </c>
      <c r="W108" s="356">
        <v>45798</v>
      </c>
      <c r="X108" s="69" t="s">
        <v>2114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2111</v>
      </c>
      <c r="S109" s="43" t="s">
        <v>329</v>
      </c>
      <c r="T109" s="43" t="s">
        <v>329</v>
      </c>
      <c r="U109" s="43" t="s">
        <v>2117</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2111</v>
      </c>
      <c r="S110" s="43" t="s">
        <v>329</v>
      </c>
      <c r="T110" s="43" t="s">
        <v>329</v>
      </c>
      <c r="U110" s="88" t="s">
        <v>329</v>
      </c>
      <c r="V110" s="481" t="s">
        <v>329</v>
      </c>
      <c r="W110" s="356">
        <v>45902</v>
      </c>
      <c r="X110" s="69" t="s">
        <v>2114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2111</v>
      </c>
      <c r="S111" s="43" t="s">
        <v>329</v>
      </c>
      <c r="T111" s="43" t="s">
        <v>329</v>
      </c>
      <c r="U111" s="43" t="s">
        <v>329</v>
      </c>
      <c r="V111" s="201" t="s">
        <v>329</v>
      </c>
      <c r="W111" s="166">
        <v>45790</v>
      </c>
      <c r="X111" s="69" t="s">
        <v>2114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2111</v>
      </c>
      <c r="S112" s="43" t="s">
        <v>329</v>
      </c>
      <c r="T112" s="43" t="s">
        <v>329</v>
      </c>
      <c r="U112" s="43" t="s">
        <v>329</v>
      </c>
      <c r="V112" s="201" t="s">
        <v>329</v>
      </c>
      <c r="W112" s="479">
        <v>45791</v>
      </c>
      <c r="X112" s="69" t="s">
        <v>2114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2111</v>
      </c>
      <c r="S113" s="115" t="s">
        <v>329</v>
      </c>
      <c r="T113" s="43" t="s">
        <v>329</v>
      </c>
      <c r="U113" s="43" t="s">
        <v>329</v>
      </c>
      <c r="V113" s="201" t="s">
        <v>329</v>
      </c>
      <c r="W113" s="479">
        <v>45791</v>
      </c>
      <c r="X113" s="148" t="s">
        <v>2114</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2111</v>
      </c>
      <c r="S114" s="115" t="s">
        <v>329</v>
      </c>
      <c r="T114" s="43" t="s">
        <v>329</v>
      </c>
      <c r="U114" s="157" t="s">
        <v>329</v>
      </c>
      <c r="V114" s="201" t="s">
        <v>329</v>
      </c>
      <c r="W114" s="54">
        <v>45798</v>
      </c>
      <c r="X114" s="69" t="s">
        <v>2114</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2111</v>
      </c>
      <c r="S115" s="43" t="s">
        <v>329</v>
      </c>
      <c r="T115" s="43" t="s">
        <v>329</v>
      </c>
      <c r="U115" s="43" t="s">
        <v>329</v>
      </c>
      <c r="V115" s="88" t="s">
        <v>329</v>
      </c>
      <c r="W115" s="54">
        <v>45814</v>
      </c>
      <c r="X115" s="69" t="s">
        <v>2114</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2111</v>
      </c>
      <c r="S116" s="43" t="s">
        <v>329</v>
      </c>
      <c r="T116" s="43" t="s">
        <v>329</v>
      </c>
      <c r="U116" s="43" t="s">
        <v>329</v>
      </c>
      <c r="V116" s="481" t="s">
        <v>329</v>
      </c>
      <c r="W116" s="54">
        <v>45807</v>
      </c>
      <c r="X116" s="69" t="s">
        <v>2114</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2111</v>
      </c>
      <c r="S117" s="43" t="s">
        <v>329</v>
      </c>
      <c r="T117" s="43" t="s">
        <v>329</v>
      </c>
      <c r="U117" s="43" t="s">
        <v>329</v>
      </c>
      <c r="V117" s="88" t="s">
        <v>329</v>
      </c>
      <c r="W117" s="54">
        <v>45811</v>
      </c>
      <c r="X117" s="69" t="s">
        <v>2114</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2111</v>
      </c>
      <c r="S118" s="43" t="s">
        <v>329</v>
      </c>
      <c r="T118" s="43" t="s">
        <v>329</v>
      </c>
      <c r="U118" s="157" t="s">
        <v>329</v>
      </c>
      <c r="V118" s="88" t="s">
        <v>329</v>
      </c>
      <c r="W118" s="54">
        <v>45810</v>
      </c>
      <c r="X118" s="69" t="s">
        <v>2114</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2111</v>
      </c>
      <c r="S119" s="43" t="s">
        <v>329</v>
      </c>
      <c r="T119" s="43" t="s">
        <v>329</v>
      </c>
      <c r="U119" s="157" t="s">
        <v>329</v>
      </c>
      <c r="V119" s="88" t="s">
        <v>329</v>
      </c>
      <c r="W119" s="54">
        <v>45813</v>
      </c>
      <c r="X119" s="69" t="s">
        <v>2114</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2111</v>
      </c>
      <c r="S120" s="43" t="s">
        <v>329</v>
      </c>
      <c r="T120" s="43" t="s">
        <v>329</v>
      </c>
      <c r="U120" s="43" t="s">
        <v>329</v>
      </c>
      <c r="V120" s="88" t="s">
        <v>329</v>
      </c>
      <c r="W120" s="54">
        <v>45811</v>
      </c>
      <c r="X120" s="69" t="s">
        <v>2114</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2111</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2111</v>
      </c>
      <c r="S122" s="43" t="s">
        <v>329</v>
      </c>
      <c r="T122" s="43" t="s">
        <v>329</v>
      </c>
      <c r="U122" s="157" t="s">
        <v>329</v>
      </c>
      <c r="V122" s="157" t="s">
        <v>329</v>
      </c>
      <c r="W122" s="54">
        <v>45789</v>
      </c>
      <c r="X122" s="69" t="s">
        <v>2114</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2111</v>
      </c>
      <c r="S123" s="43" t="s">
        <v>329</v>
      </c>
      <c r="T123" s="43" t="s">
        <v>329</v>
      </c>
      <c r="U123" s="43" t="s">
        <v>329</v>
      </c>
      <c r="V123" s="69" t="s">
        <v>329</v>
      </c>
      <c r="W123" s="54">
        <v>45811</v>
      </c>
      <c r="X123" s="69" t="s">
        <v>2114</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2111</v>
      </c>
      <c r="S124" s="43" t="s">
        <v>329</v>
      </c>
      <c r="T124" s="43" t="s">
        <v>329</v>
      </c>
      <c r="U124" s="43" t="s">
        <v>2117</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2111</v>
      </c>
      <c r="S125" s="43" t="s">
        <v>329</v>
      </c>
      <c r="T125" s="43" t="s">
        <v>329</v>
      </c>
      <c r="U125" s="43" t="s">
        <v>329</v>
      </c>
      <c r="V125" s="43" t="s">
        <v>329</v>
      </c>
      <c r="W125" s="54">
        <v>45814</v>
      </c>
      <c r="X125" s="69" t="s">
        <v>2114</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2111</v>
      </c>
      <c r="S126" s="43" t="s">
        <v>329</v>
      </c>
      <c r="T126" s="43" t="s">
        <v>329</v>
      </c>
      <c r="U126" s="43" t="s">
        <v>329</v>
      </c>
      <c r="V126" s="88" t="s">
        <v>329</v>
      </c>
      <c r="W126" s="54">
        <v>45819</v>
      </c>
      <c r="X126" s="69" t="s">
        <v>2114</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2111</v>
      </c>
      <c r="S127" s="43" t="s">
        <v>329</v>
      </c>
      <c r="T127" s="43" t="s">
        <v>329</v>
      </c>
      <c r="U127" s="43" t="s">
        <v>329</v>
      </c>
      <c r="V127" s="88" t="s">
        <v>329</v>
      </c>
      <c r="W127" s="54">
        <v>45812</v>
      </c>
      <c r="X127" s="69" t="s">
        <v>2114</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2111</v>
      </c>
      <c r="S128" s="43" t="s">
        <v>329</v>
      </c>
      <c r="T128" s="43" t="s">
        <v>329</v>
      </c>
      <c r="U128" s="43" t="s">
        <v>329</v>
      </c>
      <c r="V128" s="88" t="s">
        <v>329</v>
      </c>
      <c r="W128" s="166">
        <v>45883</v>
      </c>
      <c r="X128" s="69" t="s">
        <v>2114</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2111</v>
      </c>
      <c r="S129" s="43" t="s">
        <v>329</v>
      </c>
      <c r="T129" s="115" t="s">
        <v>329</v>
      </c>
      <c r="U129" s="115" t="s">
        <v>329</v>
      </c>
      <c r="V129" s="88" t="s">
        <v>329</v>
      </c>
      <c r="W129" s="166">
        <v>45814</v>
      </c>
      <c r="X129" s="69" t="s">
        <v>2114</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2111</v>
      </c>
      <c r="S130" s="43" t="s">
        <v>329</v>
      </c>
      <c r="T130" s="43" t="s">
        <v>329</v>
      </c>
      <c r="U130" s="43" t="s">
        <v>329</v>
      </c>
      <c r="V130" s="88" t="s">
        <v>329</v>
      </c>
      <c r="W130" s="54">
        <v>45798</v>
      </c>
      <c r="X130" s="69" t="s">
        <v>2114</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2111</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2111</v>
      </c>
      <c r="S132" s="43" t="s">
        <v>329</v>
      </c>
      <c r="T132" s="43" t="s">
        <v>329</v>
      </c>
      <c r="U132" s="43" t="s">
        <v>329</v>
      </c>
      <c r="V132" s="43" t="s">
        <v>329</v>
      </c>
      <c r="W132" s="54">
        <v>45820</v>
      </c>
      <c r="X132" s="69" t="s">
        <v>2114</v>
      </c>
      <c r="Y132" t="e">
        <f>VLOOKUP(A132,#REF!,2,FALSE)</f>
        <v>#REF!</v>
      </c>
    </row>
    <row r="133" spans="1:25" ht="15" customHeight="1">
      <c r="A133" s="358" t="s">
        <v>901</v>
      </c>
      <c r="B133" s="406" t="s">
        <v>50</v>
      </c>
      <c r="C133" s="367">
        <v>45742</v>
      </c>
      <c r="D133" s="419" t="s">
        <v>2118</v>
      </c>
      <c r="E133" s="361"/>
      <c r="F133" s="361"/>
      <c r="G133" s="361"/>
      <c r="H133" s="361">
        <v>38</v>
      </c>
      <c r="I133" s="360"/>
      <c r="J133" s="361" t="s">
        <v>57</v>
      </c>
      <c r="K133" s="361" t="s">
        <v>57</v>
      </c>
      <c r="L133" s="361" t="s">
        <v>63</v>
      </c>
      <c r="M133" s="49" t="s">
        <v>329</v>
      </c>
      <c r="N133" s="49" t="s">
        <v>329</v>
      </c>
      <c r="O133" s="54">
        <v>45701</v>
      </c>
      <c r="P133" s="30" t="s">
        <v>329</v>
      </c>
      <c r="Q133" s="69" t="s">
        <v>329</v>
      </c>
      <c r="R133" s="43" t="s">
        <v>2111</v>
      </c>
      <c r="S133" s="43" t="s">
        <v>329</v>
      </c>
      <c r="T133" s="43" t="s">
        <v>329</v>
      </c>
      <c r="U133" s="43" t="s">
        <v>329</v>
      </c>
      <c r="V133" s="69" t="s">
        <v>329</v>
      </c>
      <c r="W133" s="54">
        <v>45821</v>
      </c>
      <c r="X133" s="69" t="s">
        <v>2114</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2111</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2111</v>
      </c>
      <c r="S135" s="43" t="s">
        <v>329</v>
      </c>
      <c r="T135" s="43" t="s">
        <v>329</v>
      </c>
      <c r="U135" s="157" t="s">
        <v>329</v>
      </c>
      <c r="V135" s="43" t="s">
        <v>329</v>
      </c>
      <c r="W135" s="54">
        <v>45819</v>
      </c>
      <c r="X135" s="69" t="s">
        <v>2114</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2111</v>
      </c>
      <c r="S136" s="43" t="s">
        <v>329</v>
      </c>
      <c r="T136" s="43" t="s">
        <v>329</v>
      </c>
      <c r="U136" s="43" t="s">
        <v>329</v>
      </c>
      <c r="V136" s="43" t="s">
        <v>329</v>
      </c>
      <c r="W136" s="54">
        <v>45791</v>
      </c>
      <c r="X136" s="69" t="s">
        <v>2114</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2111</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2111</v>
      </c>
      <c r="S138" s="43" t="s">
        <v>329</v>
      </c>
      <c r="T138" s="43" t="s">
        <v>329</v>
      </c>
      <c r="U138" s="43" t="s">
        <v>329</v>
      </c>
      <c r="V138" s="43" t="s">
        <v>329</v>
      </c>
      <c r="W138" s="54">
        <v>45790</v>
      </c>
      <c r="X138" s="69" t="s">
        <v>2114</v>
      </c>
      <c r="Y138" t="e">
        <f>VLOOKUP(A138,#REF!,2,FALSE)</f>
        <v>#REF!</v>
      </c>
    </row>
    <row r="139" spans="1:25" ht="15" customHeight="1">
      <c r="A139" s="358" t="s">
        <v>2119</v>
      </c>
      <c r="B139" s="182" t="s">
        <v>50</v>
      </c>
      <c r="C139" s="408">
        <v>45742</v>
      </c>
      <c r="D139" s="361" t="s">
        <v>2120</v>
      </c>
      <c r="E139" s="521"/>
      <c r="F139" s="361"/>
      <c r="G139" s="361"/>
      <c r="H139" s="361">
        <v>87</v>
      </c>
      <c r="I139" s="360"/>
      <c r="J139" s="361" t="s">
        <v>57</v>
      </c>
      <c r="K139" s="361" t="s">
        <v>57</v>
      </c>
      <c r="L139" s="361" t="s">
        <v>63</v>
      </c>
      <c r="M139" s="49" t="s">
        <v>329</v>
      </c>
      <c r="N139" s="30" t="s">
        <v>329</v>
      </c>
      <c r="O139" s="30" t="s">
        <v>329</v>
      </c>
      <c r="P139" s="30" t="s">
        <v>329</v>
      </c>
      <c r="Q139" s="43" t="s">
        <v>329</v>
      </c>
      <c r="R139" s="43" t="s">
        <v>2111</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2111</v>
      </c>
      <c r="S140" s="43" t="s">
        <v>329</v>
      </c>
      <c r="T140" s="43" t="s">
        <v>329</v>
      </c>
      <c r="U140" s="88" t="s">
        <v>329</v>
      </c>
      <c r="V140" s="69" t="s">
        <v>329</v>
      </c>
      <c r="W140" s="54">
        <v>45819</v>
      </c>
      <c r="X140" s="69" t="s">
        <v>2114</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2111</v>
      </c>
      <c r="S141" s="43" t="s">
        <v>329</v>
      </c>
      <c r="T141" s="43" t="s">
        <v>329</v>
      </c>
      <c r="U141" s="88" t="s">
        <v>329</v>
      </c>
      <c r="V141" s="88" t="s">
        <v>329</v>
      </c>
      <c r="W141" s="54">
        <v>45811</v>
      </c>
      <c r="X141" s="69" t="s">
        <v>2114</v>
      </c>
      <c r="Y141" t="e">
        <f>VLOOKUP(A141,#REF!,2,FALSE)</f>
        <v>#REF!</v>
      </c>
    </row>
    <row r="142" spans="1:25" ht="15" customHeight="1">
      <c r="A142" s="358" t="s">
        <v>2121</v>
      </c>
      <c r="B142" s="406" t="s">
        <v>50</v>
      </c>
      <c r="C142" s="408">
        <v>45742</v>
      </c>
      <c r="D142" s="361" t="s">
        <v>2122</v>
      </c>
      <c r="E142" s="521"/>
      <c r="F142" s="361"/>
      <c r="G142" s="361"/>
      <c r="H142" s="361">
        <v>87</v>
      </c>
      <c r="I142" s="360"/>
      <c r="J142" s="361" t="s">
        <v>57</v>
      </c>
      <c r="K142" s="361" t="s">
        <v>57</v>
      </c>
      <c r="L142" s="361" t="s">
        <v>63</v>
      </c>
      <c r="M142" s="49" t="s">
        <v>329</v>
      </c>
      <c r="N142" s="49" t="s">
        <v>329</v>
      </c>
      <c r="O142" s="195">
        <v>45691</v>
      </c>
      <c r="P142" s="30" t="s">
        <v>329</v>
      </c>
      <c r="Q142" s="69" t="s">
        <v>329</v>
      </c>
      <c r="R142" s="43" t="s">
        <v>2111</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2111</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2114</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2084</v>
      </c>
      <c r="B146" s="406" t="s">
        <v>50</v>
      </c>
      <c r="C146" s="359">
        <v>45991</v>
      </c>
      <c r="D146" s="418" t="s">
        <v>2085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2111</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2111</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2111</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2111</v>
      </c>
      <c r="S153" s="43" t="s">
        <v>329</v>
      </c>
      <c r="T153" s="157" t="s">
        <v>329</v>
      </c>
      <c r="U153" s="157" t="s">
        <v>329</v>
      </c>
      <c r="V153" s="43" t="s">
        <v>329</v>
      </c>
      <c r="W153" s="54">
        <v>45807</v>
      </c>
      <c r="X153" s="69" t="s">
        <v>2114</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2111</v>
      </c>
      <c r="S154" s="43" t="s">
        <v>329</v>
      </c>
      <c r="T154" s="157" t="s">
        <v>329</v>
      </c>
      <c r="U154" s="157" t="s">
        <v>329</v>
      </c>
      <c r="V154" s="43" t="s">
        <v>329</v>
      </c>
      <c r="W154" s="166">
        <v>45792</v>
      </c>
      <c r="X154" s="148" t="s">
        <v>2114</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2111</v>
      </c>
      <c r="S155" s="43" t="s">
        <v>329</v>
      </c>
      <c r="T155" s="43" t="s">
        <v>329</v>
      </c>
      <c r="U155" s="157" t="s">
        <v>329</v>
      </c>
      <c r="V155" s="43" t="s">
        <v>329</v>
      </c>
      <c r="W155" s="356">
        <v>45821</v>
      </c>
      <c r="X155" s="69" t="s">
        <v>2114</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2111</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2092</v>
      </c>
      <c r="E157" s="704"/>
      <c r="F157" s="419"/>
      <c r="G157" s="419"/>
      <c r="H157" s="419">
        <v>79</v>
      </c>
      <c r="I157" s="360"/>
      <c r="J157" s="361" t="s">
        <v>57</v>
      </c>
      <c r="K157" s="553" t="s">
        <v>57</v>
      </c>
      <c r="L157" s="361" t="s">
        <v>63</v>
      </c>
      <c r="M157" s="195">
        <v>45735</v>
      </c>
      <c r="N157" s="30" t="s">
        <v>64</v>
      </c>
      <c r="O157" s="54">
        <v>45737</v>
      </c>
      <c r="P157" s="49" t="s">
        <v>64</v>
      </c>
      <c r="Q157" s="69" t="s">
        <v>64</v>
      </c>
      <c r="R157" s="69" t="s">
        <v>2111</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2111</v>
      </c>
      <c r="S158" s="43" t="s">
        <v>329</v>
      </c>
      <c r="T158" s="43" t="s">
        <v>329</v>
      </c>
      <c r="U158" s="157" t="s">
        <v>329</v>
      </c>
      <c r="V158" s="157" t="s">
        <v>329</v>
      </c>
      <c r="W158" s="356">
        <v>45817</v>
      </c>
      <c r="X158" s="69" t="s">
        <v>2114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2114</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2114</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2114</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2114</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2114</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2124</v>
      </c>
      <c r="C1" s="1451"/>
      <c r="D1" s="558"/>
      <c r="E1" s="1451" t="s">
        <v>2125</v>
      </c>
      <c r="F1" s="1451"/>
    </row>
    <row r="2" spans="1:25">
      <c r="B2" s="44" t="s">
        <v>2126</v>
      </c>
      <c r="E2" s="44" t="s">
        <v>22</v>
      </c>
      <c r="F2" t="s">
        <v>1069</v>
      </c>
      <c r="P2" s="44" t="s">
        <v>27</v>
      </c>
      <c r="Q2" t="s">
        <v>2127</v>
      </c>
    </row>
    <row r="3" spans="1:25">
      <c r="B3" s="44" t="s">
        <v>22</v>
      </c>
      <c r="C3" t="s">
        <v>1075</v>
      </c>
      <c r="K3" s="44" t="s">
        <v>2128</v>
      </c>
      <c r="L3" t="s">
        <v>2129</v>
      </c>
      <c r="P3" s="44" t="s">
        <v>2128</v>
      </c>
      <c r="Q3" t="s">
        <v>2129</v>
      </c>
    </row>
    <row r="4" spans="1:25">
      <c r="B4" t="s">
        <v>128</v>
      </c>
      <c r="C4">
        <v>69424</v>
      </c>
      <c r="E4" s="44" t="s">
        <v>2126</v>
      </c>
      <c r="F4" t="s">
        <v>1075</v>
      </c>
      <c r="W4" t="s">
        <v>2130</v>
      </c>
      <c r="X4">
        <v>22</v>
      </c>
    </row>
    <row r="5" spans="1:25">
      <c r="B5" t="s">
        <v>85</v>
      </c>
      <c r="C5">
        <v>28636</v>
      </c>
      <c r="E5" t="s">
        <v>1075</v>
      </c>
      <c r="F5">
        <v>160466</v>
      </c>
      <c r="K5" s="44" t="s">
        <v>2131</v>
      </c>
      <c r="P5" s="44" t="s">
        <v>2131</v>
      </c>
      <c r="W5" t="s">
        <v>2132</v>
      </c>
      <c r="X5">
        <v>13</v>
      </c>
    </row>
    <row r="6" spans="1:25">
      <c r="B6" t="s">
        <v>1102</v>
      </c>
      <c r="C6">
        <v>208773</v>
      </c>
      <c r="K6" s="44" t="s">
        <v>27</v>
      </c>
      <c r="L6" s="44" t="s">
        <v>2133</v>
      </c>
      <c r="M6" t="s">
        <v>1075</v>
      </c>
      <c r="P6" s="44" t="s">
        <v>2134</v>
      </c>
      <c r="Q6" s="44" t="s">
        <v>2133</v>
      </c>
      <c r="R6" t="s">
        <v>1075</v>
      </c>
    </row>
    <row r="7" spans="1:25">
      <c r="B7" t="s">
        <v>51</v>
      </c>
      <c r="C7">
        <v>446</v>
      </c>
      <c r="K7" t="s">
        <v>2127</v>
      </c>
      <c r="L7" t="s">
        <v>685</v>
      </c>
      <c r="M7">
        <v>1</v>
      </c>
      <c r="P7" t="s">
        <v>2135</v>
      </c>
      <c r="R7">
        <v>1</v>
      </c>
      <c r="X7" t="s">
        <v>2136</v>
      </c>
      <c r="Y7" t="s">
        <v>2137</v>
      </c>
    </row>
    <row r="8" spans="1:25">
      <c r="B8" t="s">
        <v>22</v>
      </c>
      <c r="C8">
        <v>0</v>
      </c>
      <c r="L8" t="s">
        <v>687</v>
      </c>
      <c r="M8">
        <v>1</v>
      </c>
      <c r="P8" t="s">
        <v>2138</v>
      </c>
      <c r="R8">
        <v>1</v>
      </c>
      <c r="V8" t="s">
        <v>2139</v>
      </c>
      <c r="W8" s="257">
        <v>203521</v>
      </c>
      <c r="X8" s="313">
        <f>X5/X4</f>
        <v>0.59090909090909094</v>
      </c>
      <c r="Y8" s="313">
        <f>W9/W8</f>
        <v>0.31446386367991508</v>
      </c>
    </row>
    <row r="9" spans="1:25">
      <c r="B9" t="s">
        <v>218</v>
      </c>
      <c r="C9">
        <v>7128</v>
      </c>
      <c r="L9" t="s">
        <v>2140</v>
      </c>
      <c r="M9">
        <v>1</v>
      </c>
      <c r="P9" t="s">
        <v>2141</v>
      </c>
      <c r="Q9" t="s">
        <v>2140</v>
      </c>
      <c r="R9">
        <v>1</v>
      </c>
      <c r="V9" t="s">
        <v>2142</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2143</v>
      </c>
      <c r="R12">
        <v>1</v>
      </c>
    </row>
    <row r="13" spans="1:25">
      <c r="B13" t="s">
        <v>175</v>
      </c>
      <c r="C13">
        <v>3</v>
      </c>
      <c r="L13" t="s">
        <v>2144</v>
      </c>
      <c r="M13">
        <v>1</v>
      </c>
      <c r="Q13" t="s">
        <v>1026</v>
      </c>
      <c r="R13">
        <v>1</v>
      </c>
    </row>
    <row r="14" spans="1:25">
      <c r="B14" t="s">
        <v>67</v>
      </c>
      <c r="C14">
        <v>3796</v>
      </c>
      <c r="L14" t="s">
        <v>866</v>
      </c>
      <c r="M14">
        <v>1</v>
      </c>
      <c r="P14" t="s">
        <v>2145</v>
      </c>
      <c r="R14">
        <v>5</v>
      </c>
    </row>
    <row r="15" spans="1:25">
      <c r="B15" t="s">
        <v>60</v>
      </c>
      <c r="C15">
        <v>10847</v>
      </c>
      <c r="L15" t="s">
        <v>2143</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2146</v>
      </c>
      <c r="M21">
        <v>1</v>
      </c>
    </row>
    <row r="22" spans="2:13">
      <c r="L22" t="s">
        <v>1026</v>
      </c>
      <c r="M22">
        <v>1</v>
      </c>
    </row>
    <row r="23" spans="2:13">
      <c r="L23" t="s">
        <v>914</v>
      </c>
      <c r="M23">
        <v>1</v>
      </c>
    </row>
    <row r="24" spans="2:13">
      <c r="L24" t="s">
        <v>937</v>
      </c>
      <c r="M24">
        <v>1</v>
      </c>
    </row>
    <row r="25" spans="2:13">
      <c r="L25" t="s">
        <v>171</v>
      </c>
      <c r="M25">
        <v>1</v>
      </c>
    </row>
    <row r="26" spans="2:13">
      <c r="K26" t="s">
        <v>2147</v>
      </c>
      <c r="M26">
        <v>19</v>
      </c>
    </row>
    <row r="27" spans="2:13">
      <c r="K27" t="s">
        <v>2148</v>
      </c>
      <c r="L27" t="s">
        <v>860</v>
      </c>
      <c r="M27">
        <v>1</v>
      </c>
    </row>
    <row r="28" spans="2:13">
      <c r="L28" t="s">
        <v>862</v>
      </c>
      <c r="M28">
        <v>1</v>
      </c>
    </row>
    <row r="29" spans="2:13">
      <c r="L29" t="s">
        <v>864</v>
      </c>
      <c r="M29">
        <v>1</v>
      </c>
    </row>
    <row r="30" spans="2:13">
      <c r="L30" t="s">
        <v>880</v>
      </c>
      <c r="M30">
        <v>1</v>
      </c>
    </row>
    <row r="31" spans="2:13">
      <c r="L31" t="s">
        <v>884</v>
      </c>
      <c r="M31">
        <v>1</v>
      </c>
    </row>
    <row r="32" spans="2:13">
      <c r="L32" t="s">
        <v>2149</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2150</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2151</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2152</v>
      </c>
      <c r="S2" s="3" t="s">
        <v>2037</v>
      </c>
      <c r="T2" s="264" t="s">
        <v>2038</v>
      </c>
      <c r="U2" s="264" t="s">
        <v>2038</v>
      </c>
      <c r="V2" s="264" t="s">
        <v>2038</v>
      </c>
      <c r="W2" s="264" t="s">
        <v>2038</v>
      </c>
      <c r="X2" s="264" t="s">
        <v>2039</v>
      </c>
      <c r="Y2" s="264" t="s">
        <v>2153</v>
      </c>
    </row>
    <row r="3" spans="1:26" ht="15.75" thickBot="1">
      <c r="A3" s="263" t="s">
        <v>2133</v>
      </c>
      <c r="B3" s="259" t="s">
        <v>20</v>
      </c>
      <c r="C3" s="259" t="s">
        <v>2154</v>
      </c>
      <c r="D3" s="259" t="s">
        <v>26</v>
      </c>
      <c r="E3" s="259" t="s">
        <v>2128</v>
      </c>
      <c r="F3" s="259" t="s">
        <v>2155</v>
      </c>
      <c r="G3" s="259" t="s">
        <v>27</v>
      </c>
      <c r="H3" s="207" t="s">
        <v>28</v>
      </c>
      <c r="I3" s="207" t="s">
        <v>2156</v>
      </c>
      <c r="J3" s="207" t="s">
        <v>2157</v>
      </c>
      <c r="K3" s="207" t="s">
        <v>2158</v>
      </c>
      <c r="L3" s="207" t="s">
        <v>2114</v>
      </c>
      <c r="M3" s="207" t="s">
        <v>2159</v>
      </c>
      <c r="N3" s="207" t="s">
        <v>2160</v>
      </c>
      <c r="O3" s="206" t="s">
        <v>2042</v>
      </c>
      <c r="P3" s="260" t="s">
        <v>2134</v>
      </c>
      <c r="Q3" s="261" t="s">
        <v>34</v>
      </c>
      <c r="R3" s="261" t="s">
        <v>2156</v>
      </c>
      <c r="S3" s="5" t="s">
        <v>2043</v>
      </c>
      <c r="T3" s="261" t="s">
        <v>2161</v>
      </c>
      <c r="U3" s="261" t="s">
        <v>43</v>
      </c>
      <c r="V3" s="261" t="s">
        <v>2044</v>
      </c>
      <c r="W3" s="261" t="s">
        <v>46</v>
      </c>
      <c r="X3" s="261" t="s">
        <v>676</v>
      </c>
      <c r="Y3" s="261" t="s">
        <v>2162</v>
      </c>
      <c r="Z3" s="312" t="s">
        <v>2163</v>
      </c>
    </row>
    <row r="4" spans="1:26" ht="15.75" thickBot="1">
      <c r="A4" s="121" t="s">
        <v>77</v>
      </c>
      <c r="B4" s="102" t="s">
        <v>50</v>
      </c>
      <c r="C4" s="77">
        <v>45807</v>
      </c>
      <c r="D4" s="268"/>
      <c r="E4" s="269" t="s">
        <v>2164</v>
      </c>
      <c r="F4" s="268"/>
      <c r="G4" s="270" t="s">
        <v>2127</v>
      </c>
      <c r="H4" s="268"/>
      <c r="I4" s="268"/>
      <c r="J4" s="271"/>
      <c r="K4" s="205"/>
      <c r="L4" s="205"/>
      <c r="M4" s="205"/>
      <c r="N4" s="272"/>
      <c r="O4" s="273"/>
      <c r="P4" s="274" t="s">
        <v>2165</v>
      </c>
      <c r="Q4" s="275" t="s">
        <v>82</v>
      </c>
      <c r="R4" s="131" t="s">
        <v>2166</v>
      </c>
      <c r="S4" s="131"/>
      <c r="T4" s="276"/>
      <c r="U4" s="277"/>
      <c r="V4" s="277"/>
      <c r="W4" s="277"/>
      <c r="X4" s="277"/>
      <c r="Y4" s="277"/>
      <c r="Z4" t="e">
        <f>VLOOKUP(A4,#REF!,9,FALSE)</f>
        <v>#REF!</v>
      </c>
    </row>
    <row r="5" spans="1:26" ht="15.75" thickBot="1">
      <c r="A5" s="278" t="s">
        <v>2084</v>
      </c>
      <c r="B5" s="102" t="s">
        <v>50</v>
      </c>
      <c r="C5" s="215">
        <v>45807</v>
      </c>
      <c r="D5" s="268"/>
      <c r="E5" s="269" t="s">
        <v>2164</v>
      </c>
      <c r="F5" s="268"/>
      <c r="G5" s="270" t="s">
        <v>2127</v>
      </c>
      <c r="H5" s="268"/>
      <c r="I5" s="268"/>
      <c r="J5" s="279"/>
      <c r="K5" s="205"/>
      <c r="L5" s="205"/>
      <c r="M5" s="205"/>
      <c r="N5" s="272"/>
      <c r="O5" s="273"/>
      <c r="P5" s="274" t="s">
        <v>2165</v>
      </c>
      <c r="Q5" s="275" t="s">
        <v>82</v>
      </c>
      <c r="R5" s="131" t="s">
        <v>2166</v>
      </c>
      <c r="S5" s="131"/>
      <c r="T5" s="276"/>
      <c r="U5" s="277"/>
      <c r="V5" s="277"/>
      <c r="W5" s="277"/>
      <c r="X5" s="277"/>
      <c r="Y5" s="277"/>
      <c r="Z5" t="e">
        <f>VLOOKUP(A5,#REF!,9,FALSE)</f>
        <v>#REF!</v>
      </c>
    </row>
    <row r="6" spans="1:26" ht="15.75" thickBot="1">
      <c r="A6" s="121" t="s">
        <v>1099</v>
      </c>
      <c r="B6" s="102" t="s">
        <v>50</v>
      </c>
      <c r="C6" s="215">
        <v>45807</v>
      </c>
      <c r="D6" s="268"/>
      <c r="E6" s="269" t="s">
        <v>2164</v>
      </c>
      <c r="F6" s="268"/>
      <c r="G6" s="270" t="s">
        <v>2127</v>
      </c>
      <c r="H6" s="268"/>
      <c r="I6" s="268"/>
      <c r="J6" s="279"/>
      <c r="K6" s="205"/>
      <c r="L6" s="205"/>
      <c r="M6" s="205"/>
      <c r="N6" s="272"/>
      <c r="O6" s="273"/>
      <c r="P6" s="274" t="s">
        <v>2165</v>
      </c>
      <c r="Q6" s="275" t="s">
        <v>82</v>
      </c>
      <c r="R6" s="131" t="s">
        <v>2166</v>
      </c>
      <c r="S6" s="131"/>
      <c r="T6" s="276"/>
      <c r="U6" s="277"/>
      <c r="V6" s="277"/>
      <c r="W6" s="277"/>
      <c r="X6" s="277"/>
      <c r="Y6" s="277"/>
      <c r="Z6" t="e">
        <f>VLOOKUP(A6,#REF!,9,FALSE)</f>
        <v>#REF!</v>
      </c>
    </row>
    <row r="7" spans="1:26" ht="15.75" thickBot="1">
      <c r="A7" s="121" t="s">
        <v>1116</v>
      </c>
      <c r="B7" s="102" t="s">
        <v>50</v>
      </c>
      <c r="C7" s="215">
        <v>45807</v>
      </c>
      <c r="D7" s="268"/>
      <c r="E7" s="269" t="s">
        <v>2164</v>
      </c>
      <c r="F7" s="268"/>
      <c r="G7" s="270" t="s">
        <v>2127</v>
      </c>
      <c r="H7" s="268"/>
      <c r="I7" s="268"/>
      <c r="J7" s="279"/>
      <c r="K7" s="205"/>
      <c r="L7" s="205"/>
      <c r="M7" s="205"/>
      <c r="N7" s="272"/>
      <c r="O7" s="273"/>
      <c r="P7" s="274" t="s">
        <v>2165</v>
      </c>
      <c r="Q7" s="275" t="s">
        <v>82</v>
      </c>
      <c r="R7" s="131" t="s">
        <v>2166</v>
      </c>
      <c r="S7" s="131"/>
      <c r="T7" s="276"/>
      <c r="U7" s="277"/>
      <c r="V7" s="277"/>
      <c r="W7" s="277"/>
      <c r="X7" s="277"/>
      <c r="Y7" s="277"/>
      <c r="Z7" t="e">
        <f>VLOOKUP(A7,#REF!,9,FALSE)</f>
        <v>#REF!</v>
      </c>
    </row>
    <row r="8" spans="1:26" ht="15.75" thickBot="1">
      <c r="A8" s="278" t="s">
        <v>2167</v>
      </c>
      <c r="B8" s="102" t="s">
        <v>50</v>
      </c>
      <c r="C8" s="215">
        <v>45807</v>
      </c>
      <c r="D8" s="268"/>
      <c r="E8" s="269" t="s">
        <v>2164</v>
      </c>
      <c r="F8" s="268"/>
      <c r="G8" s="270" t="s">
        <v>2127</v>
      </c>
      <c r="H8" s="268"/>
      <c r="I8" s="268"/>
      <c r="J8" s="279"/>
      <c r="K8" s="205"/>
      <c r="L8" s="205"/>
      <c r="M8" s="205"/>
      <c r="N8" s="272"/>
      <c r="O8" s="273"/>
      <c r="P8" s="274" t="s">
        <v>2138</v>
      </c>
      <c r="Q8" s="275" t="s">
        <v>2168</v>
      </c>
      <c r="R8" s="131" t="s">
        <v>2169</v>
      </c>
      <c r="S8" s="131"/>
      <c r="T8" s="276"/>
      <c r="U8" s="277"/>
      <c r="V8" s="277"/>
      <c r="W8" s="277"/>
      <c r="X8" s="277"/>
      <c r="Y8" s="277"/>
      <c r="Z8" t="e">
        <f>VLOOKUP(A8,#REF!,9,FALSE)</f>
        <v>#REF!</v>
      </c>
    </row>
    <row r="9" spans="1:26" ht="15.75" thickBot="1">
      <c r="A9" s="121" t="s">
        <v>1124</v>
      </c>
      <c r="B9" s="102" t="s">
        <v>50</v>
      </c>
      <c r="C9" s="215">
        <v>45807</v>
      </c>
      <c r="D9" s="280"/>
      <c r="E9" s="269" t="s">
        <v>2164</v>
      </c>
      <c r="F9" s="280"/>
      <c r="G9" s="281" t="s">
        <v>2127</v>
      </c>
      <c r="H9" s="268"/>
      <c r="I9" s="268"/>
      <c r="J9" s="279"/>
      <c r="K9" s="205"/>
      <c r="L9" s="205"/>
      <c r="M9" s="205"/>
      <c r="N9" s="272"/>
      <c r="O9" s="273"/>
      <c r="P9" s="274" t="s">
        <v>2165</v>
      </c>
      <c r="Q9" s="275" t="s">
        <v>82</v>
      </c>
      <c r="R9" s="131" t="s">
        <v>2166</v>
      </c>
      <c r="S9" s="131"/>
      <c r="T9" s="276"/>
      <c r="U9" s="277"/>
      <c r="V9" s="277"/>
      <c r="W9" s="277"/>
      <c r="X9" s="277"/>
      <c r="Y9" s="277"/>
      <c r="Z9" t="e">
        <f>VLOOKUP(A9,#REF!,9,FALSE)</f>
        <v>#REF!</v>
      </c>
    </row>
    <row r="10" spans="1:26" ht="15.75" thickBot="1">
      <c r="A10" s="121" t="s">
        <v>1101</v>
      </c>
      <c r="B10" s="102" t="s">
        <v>50</v>
      </c>
      <c r="C10" s="215" t="e">
        <v>#N/A</v>
      </c>
      <c r="D10" s="282"/>
      <c r="E10" s="269" t="s">
        <v>2164</v>
      </c>
      <c r="F10" s="282"/>
      <c r="G10" s="283" t="s">
        <v>2127</v>
      </c>
      <c r="H10" s="230"/>
      <c r="I10" s="230"/>
      <c r="J10" s="45"/>
      <c r="K10" s="204"/>
      <c r="L10" s="204"/>
      <c r="M10" s="204"/>
      <c r="N10" s="284"/>
      <c r="O10" s="285"/>
      <c r="P10" s="274" t="s">
        <v>2165</v>
      </c>
      <c r="Q10" s="275" t="s">
        <v>58</v>
      </c>
      <c r="R10" s="131" t="s">
        <v>2166</v>
      </c>
      <c r="S10" s="131"/>
      <c r="T10" s="276"/>
      <c r="U10" s="277"/>
      <c r="V10" s="277"/>
      <c r="W10" s="277"/>
      <c r="X10" s="277"/>
      <c r="Y10" s="277"/>
      <c r="Z10" t="e">
        <f>VLOOKUP(A10,#REF!,9,FALSE)</f>
        <v>#REF!</v>
      </c>
    </row>
    <row r="11" spans="1:26" ht="15.75" thickBot="1">
      <c r="A11" s="121" t="s">
        <v>516</v>
      </c>
      <c r="B11" s="102" t="s">
        <v>50</v>
      </c>
      <c r="C11" s="215">
        <v>45807</v>
      </c>
      <c r="D11" s="282"/>
      <c r="E11" s="269" t="s">
        <v>2164</v>
      </c>
      <c r="F11" s="282"/>
      <c r="G11" s="283" t="s">
        <v>2127</v>
      </c>
      <c r="H11" s="230"/>
      <c r="I11" s="230"/>
      <c r="J11" s="45"/>
      <c r="K11" s="204"/>
      <c r="L11" s="204"/>
      <c r="M11" s="204"/>
      <c r="N11" s="284"/>
      <c r="O11" s="285"/>
      <c r="P11" s="274" t="s">
        <v>2165</v>
      </c>
      <c r="Q11" s="275" t="s">
        <v>82</v>
      </c>
      <c r="R11" s="131" t="s">
        <v>2166</v>
      </c>
      <c r="S11" s="131"/>
      <c r="T11" s="276"/>
      <c r="U11" s="277"/>
      <c r="V11" s="277"/>
      <c r="W11" s="277"/>
      <c r="X11" s="277"/>
      <c r="Y11" s="277"/>
      <c r="Z11" t="e">
        <f>VLOOKUP(A11,#REF!,9,FALSE)</f>
        <v>#REF!</v>
      </c>
    </row>
    <row r="12" spans="1:26" ht="15.75" thickBot="1">
      <c r="A12" s="121" t="s">
        <v>1096</v>
      </c>
      <c r="B12" s="102" t="s">
        <v>50</v>
      </c>
      <c r="C12" s="215" t="e">
        <v>#N/A</v>
      </c>
      <c r="D12" s="282"/>
      <c r="E12" s="269" t="s">
        <v>2164</v>
      </c>
      <c r="F12" s="282"/>
      <c r="G12" s="283" t="s">
        <v>2127</v>
      </c>
      <c r="H12" s="230"/>
      <c r="I12" s="230"/>
      <c r="J12" s="45"/>
      <c r="K12" s="204"/>
      <c r="L12" s="204"/>
      <c r="M12" s="204"/>
      <c r="N12" s="284"/>
      <c r="O12" s="285"/>
      <c r="P12" s="274" t="s">
        <v>2165</v>
      </c>
      <c r="Q12" s="275" t="s">
        <v>82</v>
      </c>
      <c r="R12" s="131" t="s">
        <v>2166</v>
      </c>
      <c r="S12" s="131"/>
      <c r="T12" s="276"/>
      <c r="U12" s="277"/>
      <c r="V12" s="277"/>
      <c r="W12" s="277"/>
      <c r="X12" s="277"/>
      <c r="Y12" s="277"/>
      <c r="Z12" t="e">
        <f>VLOOKUP(A12,#REF!,9,FALSE)</f>
        <v>#REF!</v>
      </c>
    </row>
    <row r="13" spans="1:26" ht="15.75" thickBot="1">
      <c r="A13" s="121" t="s">
        <v>1122</v>
      </c>
      <c r="B13" s="102" t="s">
        <v>50</v>
      </c>
      <c r="C13" s="215" t="e">
        <v>#N/A</v>
      </c>
      <c r="D13" s="282"/>
      <c r="E13" s="269" t="s">
        <v>2164</v>
      </c>
      <c r="F13" s="282"/>
      <c r="G13" s="283" t="s">
        <v>2127</v>
      </c>
      <c r="H13" s="230"/>
      <c r="I13" s="230"/>
      <c r="J13" s="45"/>
      <c r="K13" s="204"/>
      <c r="L13" s="204"/>
      <c r="M13" s="204"/>
      <c r="N13" s="284"/>
      <c r="O13" s="285"/>
      <c r="P13" s="274" t="s">
        <v>2165</v>
      </c>
      <c r="Q13" s="275" t="s">
        <v>82</v>
      </c>
      <c r="R13" s="131" t="s">
        <v>2166</v>
      </c>
      <c r="S13" s="131"/>
      <c r="T13" s="276"/>
      <c r="U13" s="277"/>
      <c r="V13" s="277"/>
      <c r="W13" s="277"/>
      <c r="X13" s="277"/>
      <c r="Y13" s="277"/>
      <c r="Z13" t="e">
        <f>VLOOKUP(A13,#REF!,9,FALSE)</f>
        <v>#REF!</v>
      </c>
    </row>
    <row r="14" spans="1:26" ht="15.75" thickBot="1">
      <c r="A14" s="278" t="s">
        <v>512</v>
      </c>
      <c r="B14" s="102" t="s">
        <v>50</v>
      </c>
      <c r="C14" s="215">
        <v>45807</v>
      </c>
      <c r="D14" s="282"/>
      <c r="E14" s="269" t="s">
        <v>2164</v>
      </c>
      <c r="F14" s="282"/>
      <c r="G14" s="283" t="s">
        <v>2127</v>
      </c>
      <c r="H14" s="230"/>
      <c r="I14" s="230"/>
      <c r="J14" s="45"/>
      <c r="K14" s="204"/>
      <c r="L14" s="204"/>
      <c r="M14" s="204"/>
      <c r="N14" s="284"/>
      <c r="O14" s="285"/>
      <c r="P14" s="274" t="s">
        <v>2165</v>
      </c>
      <c r="Q14" s="275" t="s">
        <v>82</v>
      </c>
      <c r="R14" s="131" t="s">
        <v>2166</v>
      </c>
      <c r="S14" s="131"/>
      <c r="T14" s="276"/>
      <c r="U14" s="277"/>
      <c r="V14" s="277"/>
      <c r="W14" s="277"/>
      <c r="X14" s="277"/>
      <c r="Y14" s="277"/>
      <c r="Z14" t="e">
        <f>VLOOKUP(A14,#REF!,9,FALSE)</f>
        <v>#REF!</v>
      </c>
    </row>
    <row r="15" spans="1:26" ht="15.75" thickBot="1">
      <c r="A15" s="121" t="s">
        <v>1100</v>
      </c>
      <c r="B15" s="102" t="s">
        <v>50</v>
      </c>
      <c r="C15" s="215" t="e">
        <v>#N/A</v>
      </c>
      <c r="D15" s="282"/>
      <c r="E15" s="269" t="s">
        <v>2164</v>
      </c>
      <c r="F15" s="282"/>
      <c r="G15" s="283" t="s">
        <v>2127</v>
      </c>
      <c r="H15" s="230"/>
      <c r="I15" s="230"/>
      <c r="J15" s="45"/>
      <c r="K15" s="204"/>
      <c r="L15" s="204"/>
      <c r="M15" s="204"/>
      <c r="N15" s="284"/>
      <c r="O15" s="285"/>
      <c r="P15" s="274" t="s">
        <v>2165</v>
      </c>
      <c r="Q15" s="275" t="s">
        <v>82</v>
      </c>
      <c r="R15" s="131" t="s">
        <v>2166</v>
      </c>
      <c r="S15" s="131"/>
      <c r="T15" s="276"/>
      <c r="U15" s="277"/>
      <c r="V15" s="277"/>
      <c r="W15" s="277"/>
      <c r="X15" s="277"/>
      <c r="Y15" s="277"/>
      <c r="Z15" t="e">
        <f>VLOOKUP(A15,#REF!,9,FALSE)</f>
        <v>#REF!</v>
      </c>
    </row>
    <row r="16" spans="1:26" ht="15.75" thickBot="1">
      <c r="A16" s="286" t="s">
        <v>2170</v>
      </c>
      <c r="B16" s="102" t="s">
        <v>50</v>
      </c>
      <c r="C16" s="215" t="e">
        <v>#N/A</v>
      </c>
      <c r="D16" s="282"/>
      <c r="E16" s="269" t="s">
        <v>2164</v>
      </c>
      <c r="F16" s="282"/>
      <c r="G16" s="283" t="s">
        <v>2127</v>
      </c>
      <c r="H16" s="230"/>
      <c r="I16" s="230"/>
      <c r="J16" s="45"/>
      <c r="K16" s="204"/>
      <c r="L16" s="204"/>
      <c r="M16" s="204"/>
      <c r="N16" s="284"/>
      <c r="O16" s="285"/>
      <c r="P16" s="274" t="s">
        <v>2165</v>
      </c>
      <c r="Q16" s="275" t="s">
        <v>82</v>
      </c>
      <c r="R16" s="131" t="s">
        <v>2166</v>
      </c>
      <c r="S16" s="131"/>
      <c r="T16" s="276"/>
      <c r="U16" s="277"/>
      <c r="V16" s="277"/>
      <c r="W16" s="277"/>
      <c r="X16" s="277"/>
      <c r="Y16" s="277"/>
      <c r="Z16" t="e">
        <f>VLOOKUP(A16,#REF!,9,FALSE)</f>
        <v>#REF!</v>
      </c>
    </row>
    <row r="17" spans="1:26" ht="15.75" thickBot="1">
      <c r="A17" s="275" t="s">
        <v>937</v>
      </c>
      <c r="B17" s="102" t="s">
        <v>50</v>
      </c>
      <c r="C17" s="215" t="e">
        <v>#N/A</v>
      </c>
      <c r="D17" s="282"/>
      <c r="E17" s="269" t="s">
        <v>2129</v>
      </c>
      <c r="F17" s="282"/>
      <c r="G17" s="283" t="s">
        <v>2127</v>
      </c>
      <c r="H17" s="230"/>
      <c r="I17" s="230"/>
      <c r="J17" s="45"/>
      <c r="K17" s="204"/>
      <c r="L17" s="204"/>
      <c r="M17" s="204"/>
      <c r="N17" s="284"/>
      <c r="O17" s="285"/>
      <c r="P17" s="274"/>
      <c r="Q17" s="275" t="s">
        <v>82</v>
      </c>
      <c r="R17" s="131" t="s">
        <v>2166</v>
      </c>
      <c r="S17" s="131"/>
      <c r="T17" s="276"/>
      <c r="U17" s="277"/>
      <c r="V17" s="277"/>
      <c r="W17" s="277"/>
      <c r="X17" s="277"/>
      <c r="Y17" s="277"/>
      <c r="Z17" t="e">
        <f>VLOOKUP(A17,#REF!,9,FALSE)</f>
        <v>#REF!</v>
      </c>
    </row>
    <row r="18" spans="1:26" ht="15.75" thickBot="1">
      <c r="A18" s="275" t="s">
        <v>914</v>
      </c>
      <c r="B18" s="102" t="s">
        <v>50</v>
      </c>
      <c r="C18" s="215">
        <v>45807</v>
      </c>
      <c r="D18" s="282"/>
      <c r="E18" s="269" t="s">
        <v>2129</v>
      </c>
      <c r="F18" s="282"/>
      <c r="G18" s="283" t="s">
        <v>2127</v>
      </c>
      <c r="H18" s="230"/>
      <c r="I18" s="230"/>
      <c r="J18" s="45"/>
      <c r="K18" s="204"/>
      <c r="L18" s="204"/>
      <c r="M18" s="204"/>
      <c r="N18" s="284"/>
      <c r="O18" s="285"/>
      <c r="P18" s="274" t="s">
        <v>2135</v>
      </c>
      <c r="Q18" s="275"/>
      <c r="R18" s="131" t="s">
        <v>2166</v>
      </c>
      <c r="S18" s="131"/>
      <c r="T18" s="276"/>
      <c r="U18" s="277"/>
      <c r="V18" s="277"/>
      <c r="W18" s="277"/>
      <c r="X18" s="277"/>
      <c r="Y18" s="277"/>
      <c r="Z18" t="e">
        <f>VLOOKUP(A18,#REF!,9,FALSE)</f>
        <v>#REF!</v>
      </c>
    </row>
    <row r="19" spans="1:26" ht="15.75" thickBot="1">
      <c r="A19" s="275" t="s">
        <v>917</v>
      </c>
      <c r="B19" s="102" t="s">
        <v>50</v>
      </c>
      <c r="C19" s="215" t="e">
        <v>#N/A</v>
      </c>
      <c r="D19" s="282"/>
      <c r="E19" s="269" t="s">
        <v>2129</v>
      </c>
      <c r="F19" s="282"/>
      <c r="G19" s="283" t="s">
        <v>2148</v>
      </c>
      <c r="H19" s="230"/>
      <c r="I19" s="230"/>
      <c r="J19" s="45"/>
      <c r="K19" s="204"/>
      <c r="L19" s="204"/>
      <c r="M19" s="204"/>
      <c r="N19" s="284"/>
      <c r="O19" s="285"/>
      <c r="P19" s="274"/>
      <c r="Q19" s="275" t="s">
        <v>2148</v>
      </c>
      <c r="R19" s="131" t="s">
        <v>2166</v>
      </c>
      <c r="S19" s="131"/>
      <c r="T19" s="276"/>
      <c r="U19" s="277"/>
      <c r="V19" s="277"/>
      <c r="W19" s="277"/>
      <c r="X19" s="277"/>
      <c r="Y19" s="277"/>
      <c r="Z19" t="e">
        <f>VLOOKUP(A19,#REF!,9,FALSE)</f>
        <v>#REF!</v>
      </c>
    </row>
    <row r="20" spans="1:26" ht="15.75" thickBot="1">
      <c r="A20" s="275" t="s">
        <v>860</v>
      </c>
      <c r="B20" s="102" t="s">
        <v>50</v>
      </c>
      <c r="C20" s="215" t="e">
        <v>#N/A</v>
      </c>
      <c r="D20" s="282"/>
      <c r="E20" s="269" t="s">
        <v>2129</v>
      </c>
      <c r="F20" s="282"/>
      <c r="G20" s="283" t="s">
        <v>2148</v>
      </c>
      <c r="H20" s="230"/>
      <c r="I20" s="230"/>
      <c r="J20" s="45"/>
      <c r="K20" s="204"/>
      <c r="L20" s="204"/>
      <c r="M20" s="204"/>
      <c r="N20" s="284"/>
      <c r="O20" s="285"/>
      <c r="P20" s="274"/>
      <c r="Q20" s="275" t="s">
        <v>2148</v>
      </c>
      <c r="R20" s="131" t="s">
        <v>2166</v>
      </c>
      <c r="S20" s="131"/>
      <c r="T20" s="276"/>
      <c r="U20" s="277"/>
      <c r="V20" s="277"/>
      <c r="W20" s="277"/>
      <c r="X20" s="277"/>
      <c r="Y20" s="277"/>
      <c r="Z20" t="e">
        <f>VLOOKUP(A20,#REF!,9,FALSE)</f>
        <v>#REF!</v>
      </c>
    </row>
    <row r="21" spans="1:26" s="214" customFormat="1" ht="15.75" thickBot="1">
      <c r="A21" s="262" t="s">
        <v>2144</v>
      </c>
      <c r="B21" s="102" t="e">
        <v>#N/A</v>
      </c>
      <c r="C21" s="231">
        <v>45807</v>
      </c>
      <c r="D21" s="282"/>
      <c r="E21" s="269" t="s">
        <v>2129</v>
      </c>
      <c r="F21" s="282"/>
      <c r="G21" s="283" t="s">
        <v>2127</v>
      </c>
      <c r="H21" s="230"/>
      <c r="I21" s="230"/>
      <c r="J21" s="230"/>
      <c r="K21" s="229"/>
      <c r="L21" s="229"/>
      <c r="M21" s="229"/>
      <c r="N21" s="284"/>
      <c r="O21" s="285"/>
      <c r="P21" s="274"/>
      <c r="Q21" s="225" t="s">
        <v>64</v>
      </c>
      <c r="R21" s="131" t="s">
        <v>2166</v>
      </c>
      <c r="S21" s="228"/>
      <c r="T21" s="227"/>
      <c r="U21" s="226"/>
      <c r="V21" s="226"/>
      <c r="W21" s="226"/>
      <c r="X21" s="226"/>
      <c r="Y21" s="226" t="s">
        <v>2171</v>
      </c>
      <c r="Z21" t="e">
        <f>VLOOKUP(A21,#REF!,9,FALSE)</f>
        <v>#REF!</v>
      </c>
    </row>
    <row r="22" spans="1:26" ht="15.75" thickBot="1">
      <c r="A22" s="275" t="s">
        <v>862</v>
      </c>
      <c r="B22" s="102" t="s">
        <v>50</v>
      </c>
      <c r="C22" s="215" t="e">
        <v>#N/A</v>
      </c>
      <c r="D22" s="282"/>
      <c r="E22" s="269" t="s">
        <v>2129</v>
      </c>
      <c r="F22" s="282"/>
      <c r="G22" s="283" t="s">
        <v>2148</v>
      </c>
      <c r="H22" s="230"/>
      <c r="I22" s="230"/>
      <c r="J22" s="45"/>
      <c r="K22" s="204"/>
      <c r="L22" s="204"/>
      <c r="M22" s="204"/>
      <c r="N22" s="284"/>
      <c r="O22" s="285"/>
      <c r="P22" s="274"/>
      <c r="Q22" s="275" t="s">
        <v>2148</v>
      </c>
      <c r="R22" s="131" t="s">
        <v>2166</v>
      </c>
      <c r="S22" s="131"/>
      <c r="T22" s="276"/>
      <c r="U22" s="277"/>
      <c r="V22" s="277"/>
      <c r="W22" s="277"/>
      <c r="X22" s="277"/>
      <c r="Y22" s="277"/>
      <c r="Z22" t="e">
        <f>VLOOKUP(A22,#REF!,9,FALSE)</f>
        <v>#REF!</v>
      </c>
    </row>
    <row r="23" spans="1:26" ht="15.75" thickBot="1">
      <c r="A23" s="275" t="s">
        <v>845</v>
      </c>
      <c r="B23" s="102" t="s">
        <v>50</v>
      </c>
      <c r="C23" s="215" t="e">
        <v>#N/A</v>
      </c>
      <c r="D23" s="282"/>
      <c r="E23" s="269" t="s">
        <v>2129</v>
      </c>
      <c r="F23" s="282"/>
      <c r="G23" s="283" t="s">
        <v>2127</v>
      </c>
      <c r="H23" s="230"/>
      <c r="I23" s="230"/>
      <c r="J23" s="45"/>
      <c r="K23" s="204"/>
      <c r="L23" s="204"/>
      <c r="M23" s="204"/>
      <c r="N23" s="284"/>
      <c r="O23" s="285"/>
      <c r="P23" s="274"/>
      <c r="Q23" s="275" t="s">
        <v>64</v>
      </c>
      <c r="R23" s="131" t="s">
        <v>2166</v>
      </c>
      <c r="S23" s="131"/>
      <c r="T23" s="276"/>
      <c r="U23" s="277"/>
      <c r="V23" s="277"/>
      <c r="W23" s="277"/>
      <c r="X23" s="277"/>
      <c r="Y23" s="277" t="s">
        <v>2172</v>
      </c>
      <c r="Z23" t="e">
        <f>VLOOKUP(A23,#REF!,9,FALSE)</f>
        <v>#REF!</v>
      </c>
    </row>
    <row r="24" spans="1:26" s="214" customFormat="1" ht="69.599999999999994" customHeight="1" thickBot="1">
      <c r="A24" s="225" t="s">
        <v>2140</v>
      </c>
      <c r="B24" s="232" t="e">
        <v>#N/A</v>
      </c>
      <c r="C24" s="231">
        <v>45716</v>
      </c>
      <c r="D24" s="282"/>
      <c r="E24" s="269" t="s">
        <v>2129</v>
      </c>
      <c r="F24" s="282"/>
      <c r="G24" s="283" t="s">
        <v>2127</v>
      </c>
      <c r="H24" s="230"/>
      <c r="I24" s="230"/>
      <c r="J24" s="230"/>
      <c r="K24" s="229"/>
      <c r="L24" s="229"/>
      <c r="M24" s="229"/>
      <c r="N24" s="284"/>
      <c r="O24" s="285"/>
      <c r="P24" s="274" t="s">
        <v>2141</v>
      </c>
      <c r="Q24" s="225" t="s">
        <v>64</v>
      </c>
      <c r="R24" s="131" t="s">
        <v>2166</v>
      </c>
      <c r="S24" s="228"/>
      <c r="T24" s="227"/>
      <c r="U24" s="226"/>
      <c r="V24" s="226"/>
      <c r="W24" s="226"/>
      <c r="X24" s="226"/>
      <c r="Y24" s="226" t="s">
        <v>2172</v>
      </c>
      <c r="Z24" t="e">
        <f>VLOOKUP(A24,#REF!,9,FALSE)</f>
        <v>#REF!</v>
      </c>
    </row>
    <row r="25" spans="1:26" ht="15.75" thickBot="1">
      <c r="A25" s="275" t="s">
        <v>849</v>
      </c>
      <c r="B25" s="102" t="s">
        <v>50</v>
      </c>
      <c r="C25" s="215">
        <v>45772</v>
      </c>
      <c r="D25" s="282"/>
      <c r="E25" s="269" t="s">
        <v>2129</v>
      </c>
      <c r="F25" s="282"/>
      <c r="G25" s="283" t="s">
        <v>2127</v>
      </c>
      <c r="H25" s="230"/>
      <c r="I25" s="230"/>
      <c r="J25" s="45"/>
      <c r="K25" s="204"/>
      <c r="L25" s="204"/>
      <c r="M25" s="204"/>
      <c r="N25" s="284"/>
      <c r="O25" s="285"/>
      <c r="P25" s="274" t="s">
        <v>2141</v>
      </c>
      <c r="Q25" s="275" t="s">
        <v>64</v>
      </c>
      <c r="R25" s="131" t="s">
        <v>2166</v>
      </c>
      <c r="S25" s="131"/>
      <c r="T25" s="276"/>
      <c r="U25" s="277"/>
      <c r="V25" s="277"/>
      <c r="W25" s="277"/>
      <c r="X25" s="277"/>
      <c r="Y25" s="277"/>
      <c r="Z25" t="e">
        <f>VLOOKUP(A25,#REF!,9,FALSE)</f>
        <v>#REF!</v>
      </c>
    </row>
    <row r="26" spans="1:26" ht="15.75" thickBot="1">
      <c r="A26" s="275" t="s">
        <v>852</v>
      </c>
      <c r="B26" s="102" t="s">
        <v>50</v>
      </c>
      <c r="C26" s="215">
        <v>45772</v>
      </c>
      <c r="D26" s="282"/>
      <c r="E26" s="269" t="s">
        <v>2129</v>
      </c>
      <c r="F26" s="282"/>
      <c r="G26" s="283" t="s">
        <v>2127</v>
      </c>
      <c r="H26" s="230"/>
      <c r="I26" s="230"/>
      <c r="J26" s="45"/>
      <c r="K26" s="204"/>
      <c r="L26" s="204"/>
      <c r="M26" s="204"/>
      <c r="N26" s="284"/>
      <c r="O26" s="285"/>
      <c r="P26" s="274" t="s">
        <v>2141</v>
      </c>
      <c r="Q26" s="275" t="s">
        <v>64</v>
      </c>
      <c r="R26" s="131" t="s">
        <v>2166</v>
      </c>
      <c r="S26" s="131"/>
      <c r="T26" s="276"/>
      <c r="U26" s="277"/>
      <c r="V26" s="277"/>
      <c r="W26" s="277"/>
      <c r="X26" s="277"/>
      <c r="Y26" s="277"/>
      <c r="Z26" t="e">
        <f>VLOOKUP(A26,#REF!,9,FALSE)</f>
        <v>#REF!</v>
      </c>
    </row>
    <row r="27" spans="1:26" ht="15.75" thickBot="1">
      <c r="A27" s="275" t="s">
        <v>1026</v>
      </c>
      <c r="B27" s="102" t="s">
        <v>50</v>
      </c>
      <c r="C27" s="215">
        <v>45772</v>
      </c>
      <c r="D27" s="282"/>
      <c r="E27" s="269" t="s">
        <v>2129</v>
      </c>
      <c r="F27" s="282"/>
      <c r="G27" s="283" t="s">
        <v>2127</v>
      </c>
      <c r="H27" s="230"/>
      <c r="I27" s="230"/>
      <c r="J27" s="45"/>
      <c r="K27" s="204"/>
      <c r="L27" s="204"/>
      <c r="M27" s="204"/>
      <c r="N27" s="284"/>
      <c r="O27" s="285"/>
      <c r="P27" s="274" t="s">
        <v>2141</v>
      </c>
      <c r="Q27" s="275" t="s">
        <v>64</v>
      </c>
      <c r="R27" s="131" t="s">
        <v>2166</v>
      </c>
      <c r="S27" s="131"/>
      <c r="T27" s="276"/>
      <c r="U27" s="277"/>
      <c r="V27" s="277"/>
      <c r="W27" s="277"/>
      <c r="X27" s="277"/>
      <c r="Y27" s="277"/>
      <c r="Z27" t="e">
        <f>VLOOKUP(A27,#REF!,9,FALSE)</f>
        <v>#REF!</v>
      </c>
    </row>
    <row r="28" spans="1:26" ht="70.150000000000006" customHeight="1" thickBot="1">
      <c r="A28" s="225" t="s">
        <v>2143</v>
      </c>
      <c r="B28" s="232"/>
      <c r="C28" s="231"/>
      <c r="D28" s="282"/>
      <c r="E28" s="269" t="s">
        <v>2129</v>
      </c>
      <c r="F28" s="282"/>
      <c r="G28" s="283" t="s">
        <v>2127</v>
      </c>
      <c r="H28" s="230"/>
      <c r="I28" s="230"/>
      <c r="J28" s="230"/>
      <c r="K28" s="229"/>
      <c r="L28" s="229"/>
      <c r="M28" s="229"/>
      <c r="N28" s="284"/>
      <c r="O28" s="285"/>
      <c r="P28" s="274" t="s">
        <v>2141</v>
      </c>
      <c r="Q28" s="225" t="s">
        <v>64</v>
      </c>
      <c r="R28" s="131" t="s">
        <v>2166</v>
      </c>
      <c r="S28" s="228"/>
      <c r="T28" s="227"/>
      <c r="U28" s="226"/>
      <c r="V28" s="226"/>
      <c r="W28" s="226"/>
      <c r="X28" s="226"/>
      <c r="Y28" s="288" t="s">
        <v>2173</v>
      </c>
      <c r="Z28" t="e">
        <f>VLOOKUP(A28,#REF!,9,FALSE)</f>
        <v>#REF!</v>
      </c>
    </row>
    <row r="29" spans="1:26" s="214" customFormat="1" ht="69.599999999999994" customHeight="1" thickBot="1">
      <c r="A29" s="225" t="s">
        <v>2146</v>
      </c>
      <c r="B29" s="232" t="e">
        <v>#N/A</v>
      </c>
      <c r="C29" s="231" t="e">
        <v>#N/A</v>
      </c>
      <c r="D29" s="282"/>
      <c r="E29" s="269" t="s">
        <v>2129</v>
      </c>
      <c r="F29" s="282"/>
      <c r="G29" s="283" t="s">
        <v>2127</v>
      </c>
      <c r="H29" s="230"/>
      <c r="I29" s="230"/>
      <c r="J29" s="230"/>
      <c r="K29" s="229"/>
      <c r="L29" s="229"/>
      <c r="M29" s="229"/>
      <c r="N29" s="284"/>
      <c r="O29" s="285"/>
      <c r="P29" s="274"/>
      <c r="Q29" s="220" t="s">
        <v>64</v>
      </c>
      <c r="R29" s="131" t="s">
        <v>2166</v>
      </c>
      <c r="S29" s="228"/>
      <c r="T29" s="227"/>
      <c r="U29" s="226"/>
      <c r="V29" s="226"/>
      <c r="W29" s="226"/>
      <c r="X29" s="226"/>
      <c r="Y29" s="226" t="s">
        <v>2173</v>
      </c>
      <c r="Z29" t="e">
        <f>VLOOKUP(A29,#REF!,9,FALSE)</f>
        <v>#REF!</v>
      </c>
    </row>
    <row r="30" spans="1:26" ht="15.75" thickBot="1">
      <c r="A30" s="275" t="s">
        <v>880</v>
      </c>
      <c r="B30" s="102" t="s">
        <v>50</v>
      </c>
      <c r="C30" s="215">
        <v>45772</v>
      </c>
      <c r="D30" s="282"/>
      <c r="E30" s="269" t="s">
        <v>2129</v>
      </c>
      <c r="F30" s="282"/>
      <c r="G30" s="283" t="s">
        <v>2148</v>
      </c>
      <c r="H30" s="230"/>
      <c r="I30" s="230"/>
      <c r="J30" s="45"/>
      <c r="K30" s="204"/>
      <c r="L30" s="204"/>
      <c r="M30" s="204"/>
      <c r="N30" s="284"/>
      <c r="O30" s="285"/>
      <c r="P30" s="274"/>
      <c r="Q30" s="275" t="s">
        <v>2148</v>
      </c>
      <c r="R30" s="131" t="s">
        <v>2166</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2129</v>
      </c>
      <c r="F31" s="289"/>
      <c r="G31" s="290" t="s">
        <v>2148</v>
      </c>
      <c r="H31" s="222"/>
      <c r="I31" s="222"/>
      <c r="J31" s="236"/>
      <c r="K31" s="237"/>
      <c r="L31" s="237"/>
      <c r="M31" s="237"/>
      <c r="N31" s="222"/>
      <c r="O31" s="291"/>
      <c r="P31" s="274"/>
      <c r="Q31" s="233" t="s">
        <v>2148</v>
      </c>
      <c r="R31" s="131" t="s">
        <v>2166</v>
      </c>
      <c r="S31" s="238"/>
      <c r="T31" s="239"/>
      <c r="U31" s="240"/>
      <c r="V31" s="240"/>
      <c r="W31" s="240"/>
      <c r="X31" s="240"/>
      <c r="Y31" s="240" t="s">
        <v>2174</v>
      </c>
      <c r="Z31" t="e">
        <f>VLOOKUP(A31,#REF!,9,FALSE)</f>
        <v>#REF!</v>
      </c>
    </row>
    <row r="32" spans="1:26" ht="15.75" thickBot="1">
      <c r="A32" s="275" t="s">
        <v>884</v>
      </c>
      <c r="B32" s="102" t="s">
        <v>50</v>
      </c>
      <c r="C32" s="215">
        <v>45772</v>
      </c>
      <c r="D32" s="282"/>
      <c r="E32" s="269" t="s">
        <v>2129</v>
      </c>
      <c r="F32" s="282"/>
      <c r="G32" s="283" t="s">
        <v>2148</v>
      </c>
      <c r="H32" s="230"/>
      <c r="I32" s="230"/>
      <c r="J32" s="45"/>
      <c r="K32" s="204"/>
      <c r="L32" s="204"/>
      <c r="M32" s="204"/>
      <c r="N32" s="284"/>
      <c r="O32" s="285"/>
      <c r="P32" s="274"/>
      <c r="Q32" s="275" t="s">
        <v>2148</v>
      </c>
      <c r="R32" s="131" t="s">
        <v>2166</v>
      </c>
      <c r="S32" s="131"/>
      <c r="T32" s="276"/>
      <c r="U32" s="277"/>
      <c r="V32" s="277"/>
      <c r="W32" s="277"/>
      <c r="X32" s="277"/>
      <c r="Y32" s="277"/>
      <c r="Z32" t="e">
        <f>VLOOKUP(A32,#REF!,9,FALSE)</f>
        <v>#REF!</v>
      </c>
    </row>
    <row r="33" spans="1:26" ht="15.75" thickBot="1">
      <c r="A33" s="275" t="s">
        <v>872</v>
      </c>
      <c r="B33" s="102" t="s">
        <v>50</v>
      </c>
      <c r="C33" s="215">
        <v>45831</v>
      </c>
      <c r="D33" s="282"/>
      <c r="E33" s="269" t="s">
        <v>2129</v>
      </c>
      <c r="F33" s="282"/>
      <c r="G33" s="283" t="s">
        <v>2127</v>
      </c>
      <c r="H33" s="230"/>
      <c r="I33" s="230"/>
      <c r="J33" s="45"/>
      <c r="K33" s="204"/>
      <c r="L33" s="204"/>
      <c r="M33" s="204"/>
      <c r="N33" s="284"/>
      <c r="O33" s="285"/>
      <c r="P33" s="274"/>
      <c r="Q33" s="225" t="s">
        <v>64</v>
      </c>
      <c r="R33" s="131" t="s">
        <v>2166</v>
      </c>
      <c r="S33" s="131"/>
      <c r="T33" s="276"/>
      <c r="U33" s="277"/>
      <c r="V33" s="277"/>
      <c r="W33" s="277"/>
      <c r="X33" s="277"/>
      <c r="Y33" s="277"/>
      <c r="Z33" t="e">
        <f>VLOOKUP(A33,#REF!,9,FALSE)</f>
        <v>#REF!</v>
      </c>
    </row>
    <row r="34" spans="1:26" ht="15.75" thickBot="1">
      <c r="A34" s="275" t="s">
        <v>866</v>
      </c>
      <c r="B34" s="102" t="s">
        <v>50</v>
      </c>
      <c r="C34" s="215">
        <v>45831</v>
      </c>
      <c r="D34" s="282"/>
      <c r="E34" s="269" t="s">
        <v>2129</v>
      </c>
      <c r="F34" s="282"/>
      <c r="G34" s="283" t="s">
        <v>2127</v>
      </c>
      <c r="H34" s="230"/>
      <c r="I34" s="230"/>
      <c r="J34" s="45"/>
      <c r="K34" s="204"/>
      <c r="L34" s="204"/>
      <c r="M34" s="204"/>
      <c r="N34" s="284"/>
      <c r="O34" s="285"/>
      <c r="P34" s="274"/>
      <c r="Q34" s="275" t="s">
        <v>64</v>
      </c>
      <c r="R34" s="131" t="s">
        <v>2166</v>
      </c>
      <c r="S34" s="131"/>
      <c r="T34" s="276"/>
      <c r="U34" s="277"/>
      <c r="V34" s="277"/>
      <c r="W34" s="277"/>
      <c r="X34" s="277"/>
      <c r="Y34" s="277"/>
      <c r="Z34" t="e">
        <f>VLOOKUP(A34,#REF!,9,FALSE)</f>
        <v>#REF!</v>
      </c>
    </row>
    <row r="35" spans="1:26" ht="15.75" thickBot="1">
      <c r="A35" s="275" t="s">
        <v>868</v>
      </c>
      <c r="B35" s="102" t="s">
        <v>50</v>
      </c>
      <c r="C35" s="215">
        <v>45831</v>
      </c>
      <c r="D35" s="282"/>
      <c r="E35" s="269" t="s">
        <v>2129</v>
      </c>
      <c r="F35" s="282"/>
      <c r="G35" s="283" t="s">
        <v>2127</v>
      </c>
      <c r="H35" s="230"/>
      <c r="I35" s="230"/>
      <c r="J35" s="45"/>
      <c r="K35" s="204"/>
      <c r="L35" s="204"/>
      <c r="M35" s="204"/>
      <c r="N35" s="284"/>
      <c r="O35" s="285"/>
      <c r="P35" s="274"/>
      <c r="Q35" s="275" t="s">
        <v>64</v>
      </c>
      <c r="R35" s="131" t="s">
        <v>2166</v>
      </c>
      <c r="S35" s="131"/>
      <c r="T35" s="276"/>
      <c r="U35" s="277"/>
      <c r="V35" s="277"/>
      <c r="W35" s="277"/>
      <c r="X35" s="277"/>
      <c r="Y35" s="277"/>
      <c r="Z35" t="e">
        <f>VLOOKUP(A35,#REF!,9,FALSE)</f>
        <v>#REF!</v>
      </c>
    </row>
    <row r="36" spans="1:26" ht="15.75" thickBot="1">
      <c r="A36" s="275" t="s">
        <v>864</v>
      </c>
      <c r="B36" s="102" t="s">
        <v>50</v>
      </c>
      <c r="C36" s="215">
        <v>45772</v>
      </c>
      <c r="D36" s="282"/>
      <c r="E36" s="269" t="s">
        <v>2129</v>
      </c>
      <c r="F36" s="282"/>
      <c r="G36" s="283" t="s">
        <v>2148</v>
      </c>
      <c r="H36" s="230"/>
      <c r="I36" s="230"/>
      <c r="J36" s="45"/>
      <c r="K36" s="204"/>
      <c r="L36" s="204"/>
      <c r="M36" s="204"/>
      <c r="N36" s="284"/>
      <c r="O36" s="285"/>
      <c r="P36" s="274"/>
      <c r="Q36" s="275" t="s">
        <v>2148</v>
      </c>
      <c r="R36" s="131" t="s">
        <v>2166</v>
      </c>
      <c r="S36" s="131"/>
      <c r="T36" s="276"/>
      <c r="U36" s="277"/>
      <c r="V36" s="277"/>
      <c r="W36" s="277"/>
      <c r="X36" s="277"/>
      <c r="Y36" s="277"/>
      <c r="Z36" t="e">
        <f>VLOOKUP(A36,#REF!,9,FALSE)</f>
        <v>#REF!</v>
      </c>
    </row>
    <row r="37" spans="1:26" ht="15.75" thickBot="1">
      <c r="A37" s="275" t="s">
        <v>874</v>
      </c>
      <c r="B37" s="102" t="s">
        <v>50</v>
      </c>
      <c r="C37" s="215">
        <v>45831</v>
      </c>
      <c r="D37" s="282"/>
      <c r="E37" s="269" t="s">
        <v>2129</v>
      </c>
      <c r="F37" s="282"/>
      <c r="G37" s="283" t="s">
        <v>2127</v>
      </c>
      <c r="H37" s="230"/>
      <c r="I37" s="230"/>
      <c r="J37" s="45"/>
      <c r="K37" s="204"/>
      <c r="L37" s="204"/>
      <c r="M37" s="204"/>
      <c r="N37" s="284"/>
      <c r="O37" s="285"/>
      <c r="P37" s="274"/>
      <c r="Q37" s="275" t="s">
        <v>64</v>
      </c>
      <c r="R37" s="131" t="s">
        <v>2166</v>
      </c>
      <c r="S37" s="131"/>
      <c r="T37" s="276"/>
      <c r="U37" s="277"/>
      <c r="V37" s="277"/>
      <c r="W37" s="277"/>
      <c r="X37" s="277"/>
      <c r="Y37" s="277"/>
      <c r="Z37" t="e">
        <f>VLOOKUP(A37,#REF!,9,FALSE)</f>
        <v>#REF!</v>
      </c>
    </row>
    <row r="38" spans="1:26" ht="15.75" thickBot="1">
      <c r="A38" s="275" t="s">
        <v>878</v>
      </c>
      <c r="B38" s="102" t="s">
        <v>50</v>
      </c>
      <c r="C38" s="215">
        <v>45831</v>
      </c>
      <c r="D38" s="282"/>
      <c r="E38" s="269" t="s">
        <v>2129</v>
      </c>
      <c r="F38" s="282"/>
      <c r="G38" s="283" t="s">
        <v>2127</v>
      </c>
      <c r="H38" s="230"/>
      <c r="I38" s="230"/>
      <c r="J38" s="45"/>
      <c r="K38" s="204"/>
      <c r="L38" s="204"/>
      <c r="M38" s="204"/>
      <c r="N38" s="284"/>
      <c r="O38" s="285"/>
      <c r="P38" s="274"/>
      <c r="Q38" s="275" t="s">
        <v>64</v>
      </c>
      <c r="R38" s="131" t="s">
        <v>2166</v>
      </c>
      <c r="S38" s="131"/>
      <c r="T38" s="276"/>
      <c r="U38" s="277"/>
      <c r="V38" s="277"/>
      <c r="W38" s="277"/>
      <c r="X38" s="277"/>
      <c r="Y38" s="277"/>
      <c r="Z38" t="e">
        <f>VLOOKUP(A38,#REF!,9,FALSE)</f>
        <v>#REF!</v>
      </c>
    </row>
    <row r="39" spans="1:26" s="216" customFormat="1" ht="70.150000000000006" customHeight="1" thickBot="1">
      <c r="A39" s="220" t="s">
        <v>2149</v>
      </c>
      <c r="B39" s="224" t="e">
        <v>#N/A</v>
      </c>
      <c r="C39" s="223" t="e">
        <v>#N/A</v>
      </c>
      <c r="D39" s="289"/>
      <c r="E39" s="269" t="s">
        <v>2129</v>
      </c>
      <c r="F39" s="289"/>
      <c r="G39" s="290" t="s">
        <v>2148</v>
      </c>
      <c r="H39" s="222"/>
      <c r="I39" s="222"/>
      <c r="J39" s="222"/>
      <c r="K39" s="221"/>
      <c r="L39" s="221"/>
      <c r="M39" s="221"/>
      <c r="N39" s="222"/>
      <c r="O39" s="291"/>
      <c r="P39" s="274"/>
      <c r="Q39" s="220" t="s">
        <v>2148</v>
      </c>
      <c r="R39" s="131" t="s">
        <v>2166</v>
      </c>
      <c r="S39" s="219"/>
      <c r="T39" s="218"/>
      <c r="U39" s="217"/>
      <c r="V39" s="217"/>
      <c r="W39" s="217"/>
      <c r="X39" s="217"/>
      <c r="Y39" s="217" t="s">
        <v>2173</v>
      </c>
      <c r="Z39" t="e">
        <f>VLOOKUP(A39,#REF!,9,FALSE)</f>
        <v>#REF!</v>
      </c>
    </row>
    <row r="40" spans="1:26" ht="15.75" thickBot="1">
      <c r="A40" s="275" t="s">
        <v>882</v>
      </c>
      <c r="B40" s="102" t="s">
        <v>50</v>
      </c>
      <c r="C40" s="215">
        <v>45831</v>
      </c>
      <c r="D40" s="282"/>
      <c r="E40" s="269" t="s">
        <v>2129</v>
      </c>
      <c r="F40" s="282"/>
      <c r="G40" s="283" t="s">
        <v>2127</v>
      </c>
      <c r="H40" s="230"/>
      <c r="I40" s="230"/>
      <c r="J40" s="45"/>
      <c r="K40" s="204"/>
      <c r="L40" s="204"/>
      <c r="M40" s="204"/>
      <c r="N40" s="284"/>
      <c r="O40" s="285"/>
      <c r="P40" s="274"/>
      <c r="Q40" s="275" t="s">
        <v>64</v>
      </c>
      <c r="R40" s="131" t="s">
        <v>2166</v>
      </c>
      <c r="S40" s="131"/>
      <c r="T40" s="276"/>
      <c r="U40" s="277"/>
      <c r="V40" s="277"/>
      <c r="W40" s="277"/>
      <c r="X40" s="277"/>
      <c r="Y40" s="277"/>
      <c r="Z40" t="e">
        <f>VLOOKUP(A40,#REF!,9,FALSE)</f>
        <v>#REF!</v>
      </c>
    </row>
    <row r="41" spans="1:26" ht="15.75" thickBot="1">
      <c r="A41" s="275" t="s">
        <v>88</v>
      </c>
      <c r="B41" s="102" t="s">
        <v>50</v>
      </c>
      <c r="C41" s="215">
        <v>45807</v>
      </c>
      <c r="D41" s="282"/>
      <c r="E41" s="269" t="s">
        <v>2164</v>
      </c>
      <c r="F41" s="282"/>
      <c r="G41" s="283" t="s">
        <v>2127</v>
      </c>
      <c r="H41" s="230"/>
      <c r="I41" s="230"/>
      <c r="J41" s="45"/>
      <c r="K41" s="204"/>
      <c r="L41" s="204"/>
      <c r="M41" s="204"/>
      <c r="N41" s="284"/>
      <c r="O41" s="285"/>
      <c r="P41" s="274" t="s">
        <v>2165</v>
      </c>
      <c r="Q41" s="275" t="s">
        <v>58</v>
      </c>
      <c r="R41" s="131" t="s">
        <v>2166</v>
      </c>
      <c r="S41" s="131"/>
      <c r="T41" s="276"/>
      <c r="U41" s="277"/>
      <c r="V41" s="277"/>
      <c r="W41" s="277"/>
      <c r="X41" s="277"/>
      <c r="Y41" s="277"/>
      <c r="Z41" t="e">
        <f>VLOOKUP(A41,#REF!,9,FALSE)</f>
        <v>#REF!</v>
      </c>
    </row>
    <row r="42" spans="1:26" ht="15.75" thickBot="1">
      <c r="A42" s="275" t="s">
        <v>84</v>
      </c>
      <c r="B42" s="102" t="s">
        <v>50</v>
      </c>
      <c r="C42" s="215">
        <v>45807</v>
      </c>
      <c r="D42" s="282"/>
      <c r="E42" s="269" t="s">
        <v>2164</v>
      </c>
      <c r="F42" s="282"/>
      <c r="G42" s="283" t="s">
        <v>2127</v>
      </c>
      <c r="H42" s="230"/>
      <c r="I42" s="230"/>
      <c r="J42" s="45"/>
      <c r="K42" s="204"/>
      <c r="L42" s="204"/>
      <c r="M42" s="204"/>
      <c r="N42" s="284"/>
      <c r="O42" s="285"/>
      <c r="P42" s="274" t="s">
        <v>2165</v>
      </c>
      <c r="Q42" s="275" t="s">
        <v>64</v>
      </c>
      <c r="R42" s="131" t="s">
        <v>2166</v>
      </c>
      <c r="S42" s="131"/>
      <c r="T42" s="276"/>
      <c r="U42" s="277"/>
      <c r="V42" s="277"/>
      <c r="W42" s="277"/>
      <c r="X42" s="277"/>
      <c r="Y42" s="277"/>
      <c r="Z42" t="e">
        <f>VLOOKUP(A42,#REF!,9,FALSE)</f>
        <v>#REF!</v>
      </c>
    </row>
    <row r="43" spans="1:26" ht="15.75" thickBot="1">
      <c r="A43" s="275" t="s">
        <v>519</v>
      </c>
      <c r="B43" s="102" t="s">
        <v>50</v>
      </c>
      <c r="C43" s="215">
        <v>45807</v>
      </c>
      <c r="D43" s="282"/>
      <c r="E43" s="269" t="s">
        <v>2164</v>
      </c>
      <c r="F43" s="282"/>
      <c r="G43" s="283" t="s">
        <v>2127</v>
      </c>
      <c r="H43" s="230"/>
      <c r="I43" s="230"/>
      <c r="J43" s="45"/>
      <c r="K43" s="204"/>
      <c r="L43" s="204"/>
      <c r="M43" s="204"/>
      <c r="N43" s="284"/>
      <c r="O43" s="285"/>
      <c r="P43" s="274" t="s">
        <v>2165</v>
      </c>
      <c r="Q43" s="275" t="s">
        <v>58</v>
      </c>
      <c r="R43" s="131" t="s">
        <v>2166</v>
      </c>
      <c r="S43" s="131"/>
      <c r="T43" s="276"/>
      <c r="U43" s="277"/>
      <c r="V43" s="277"/>
      <c r="W43" s="277"/>
      <c r="X43" s="277"/>
      <c r="Y43" s="277"/>
      <c r="Z43" t="e">
        <f>VLOOKUP(A43,#REF!,9,FALSE)</f>
        <v>#REF!</v>
      </c>
    </row>
    <row r="44" spans="1:26" ht="15.75" thickBot="1">
      <c r="A44" s="275" t="s">
        <v>80</v>
      </c>
      <c r="B44" s="102" t="s">
        <v>50</v>
      </c>
      <c r="C44" s="215">
        <v>45807</v>
      </c>
      <c r="D44" s="282"/>
      <c r="E44" s="269" t="s">
        <v>2164</v>
      </c>
      <c r="F44" s="282"/>
      <c r="G44" s="283" t="s">
        <v>2127</v>
      </c>
      <c r="H44" s="230"/>
      <c r="I44" s="230"/>
      <c r="J44" s="45"/>
      <c r="K44" s="204"/>
      <c r="L44" s="204"/>
      <c r="M44" s="204"/>
      <c r="N44" s="284"/>
      <c r="O44" s="285"/>
      <c r="P44" s="274" t="s">
        <v>2135</v>
      </c>
      <c r="Q44" s="275" t="s">
        <v>64</v>
      </c>
      <c r="R44" s="131" t="s">
        <v>2166</v>
      </c>
      <c r="S44" s="131"/>
      <c r="T44" s="276"/>
      <c r="U44" s="277"/>
      <c r="V44" s="277"/>
      <c r="W44" s="277"/>
      <c r="X44" s="277"/>
      <c r="Y44" s="277"/>
      <c r="Z44" t="e">
        <f>VLOOKUP(A44,#REF!,9,FALSE)</f>
        <v>#REF!</v>
      </c>
    </row>
    <row r="45" spans="1:26" ht="15.75" thickBot="1">
      <c r="A45" s="335" t="s">
        <v>685</v>
      </c>
      <c r="B45" s="102" t="s">
        <v>50</v>
      </c>
      <c r="C45" s="215">
        <v>45807</v>
      </c>
      <c r="D45" s="282"/>
      <c r="E45" s="269" t="s">
        <v>2129</v>
      </c>
      <c r="F45" s="282"/>
      <c r="G45" s="283" t="s">
        <v>2127</v>
      </c>
      <c r="H45" s="230"/>
      <c r="I45" s="230"/>
      <c r="J45" s="45"/>
      <c r="K45" s="204"/>
      <c r="L45" s="204"/>
      <c r="M45" s="204"/>
      <c r="N45" s="284"/>
      <c r="O45" s="285"/>
      <c r="P45" s="274"/>
      <c r="Q45" s="275" t="s">
        <v>58</v>
      </c>
      <c r="R45" s="131" t="s">
        <v>2166</v>
      </c>
      <c r="S45" s="131"/>
      <c r="T45" s="276"/>
      <c r="U45" s="277"/>
      <c r="V45" s="277"/>
      <c r="W45" s="277"/>
      <c r="X45" s="277"/>
      <c r="Y45" s="277"/>
      <c r="Z45" t="e">
        <f>VLOOKUP(A45,#REF!,9,FALSE)</f>
        <v>#REF!</v>
      </c>
    </row>
    <row r="46" spans="1:26" ht="15.75" thickBot="1">
      <c r="A46" s="292" t="s">
        <v>687</v>
      </c>
      <c r="B46" s="102" t="s">
        <v>50</v>
      </c>
      <c r="C46" s="215">
        <v>45807</v>
      </c>
      <c r="D46" s="282"/>
      <c r="E46" s="269" t="s">
        <v>2129</v>
      </c>
      <c r="F46" s="282"/>
      <c r="G46" s="290" t="s">
        <v>2127</v>
      </c>
      <c r="H46" s="230"/>
      <c r="I46" s="230"/>
      <c r="J46" s="45"/>
      <c r="K46" s="204"/>
      <c r="L46" s="204"/>
      <c r="M46" s="204"/>
      <c r="N46" s="284"/>
      <c r="O46" s="285"/>
      <c r="P46" s="274"/>
      <c r="Q46" s="275" t="s">
        <v>58</v>
      </c>
      <c r="R46" s="131" t="s">
        <v>2166</v>
      </c>
      <c r="S46" s="131"/>
      <c r="T46" s="276"/>
      <c r="U46" s="277"/>
      <c r="V46" s="277"/>
      <c r="W46" s="277"/>
      <c r="X46" s="277"/>
      <c r="Y46" s="277"/>
      <c r="Z46" t="e">
        <f>VLOOKUP(A46,#REF!,9,FALSE)</f>
        <v>#REF!</v>
      </c>
    </row>
    <row r="47" spans="1:26" ht="15.75" thickBot="1">
      <c r="A47" s="293" t="s">
        <v>171</v>
      </c>
      <c r="B47" s="102" t="s">
        <v>50</v>
      </c>
      <c r="C47" s="215">
        <v>45807</v>
      </c>
      <c r="D47" s="282"/>
      <c r="E47" s="269" t="s">
        <v>2129</v>
      </c>
      <c r="F47" s="282"/>
      <c r="G47" s="283" t="s">
        <v>2127</v>
      </c>
      <c r="H47" s="230"/>
      <c r="I47" s="230"/>
      <c r="J47" s="45"/>
      <c r="K47" s="204"/>
      <c r="L47" s="204"/>
      <c r="M47" s="204"/>
      <c r="N47" s="284"/>
      <c r="O47" s="285"/>
      <c r="P47" s="274" t="s">
        <v>2138</v>
      </c>
      <c r="Q47" s="275" t="s">
        <v>58</v>
      </c>
      <c r="R47" s="131" t="s">
        <v>2169</v>
      </c>
      <c r="S47" s="131"/>
      <c r="T47" s="276"/>
      <c r="U47" s="277"/>
      <c r="V47" s="277"/>
      <c r="W47" s="277"/>
      <c r="X47" s="277"/>
      <c r="Y47" s="277"/>
      <c r="Z47" t="e">
        <f>VLOOKUP(A47,#REF!,9,FALSE)</f>
        <v>#REF!</v>
      </c>
    </row>
    <row r="48" spans="1:26" ht="15.75" thickBot="1">
      <c r="A48" s="292" t="s">
        <v>736</v>
      </c>
      <c r="B48" s="102" t="s">
        <v>50</v>
      </c>
      <c r="C48" s="215">
        <v>45807</v>
      </c>
      <c r="D48" s="282"/>
      <c r="E48" s="269" t="s">
        <v>2129</v>
      </c>
      <c r="F48" s="282"/>
      <c r="G48" s="290" t="s">
        <v>2148</v>
      </c>
      <c r="H48" s="230"/>
      <c r="I48" s="230"/>
      <c r="J48" s="45"/>
      <c r="K48" s="204"/>
      <c r="L48" s="204"/>
      <c r="M48" s="204"/>
      <c r="N48" s="284"/>
      <c r="O48" s="285"/>
      <c r="P48" s="274" t="s">
        <v>2175</v>
      </c>
      <c r="Q48" s="275" t="s">
        <v>2148</v>
      </c>
      <c r="R48" s="131" t="s">
        <v>2166</v>
      </c>
      <c r="S48" s="131"/>
      <c r="T48" s="276"/>
      <c r="U48" s="277"/>
      <c r="V48" s="277"/>
      <c r="W48" s="277"/>
      <c r="X48" s="277"/>
      <c r="Y48" s="277"/>
      <c r="Z48" t="e">
        <f>VLOOKUP(A48,#REF!,9,FALSE)</f>
        <v>#REF!</v>
      </c>
    </row>
    <row r="49" spans="1:26" ht="15.75" thickBot="1">
      <c r="A49" s="292" t="s">
        <v>730</v>
      </c>
      <c r="B49" s="102" t="s">
        <v>108</v>
      </c>
      <c r="C49" s="215">
        <v>45772</v>
      </c>
      <c r="D49" s="282"/>
      <c r="E49" s="269" t="s">
        <v>2129</v>
      </c>
      <c r="F49" s="282"/>
      <c r="G49" s="290" t="s">
        <v>2148</v>
      </c>
      <c r="H49" s="230"/>
      <c r="I49" s="230"/>
      <c r="J49" s="45"/>
      <c r="K49" s="204"/>
      <c r="L49" s="204"/>
      <c r="M49" s="204"/>
      <c r="N49" s="284"/>
      <c r="O49" s="285"/>
      <c r="P49" s="274" t="s">
        <v>2175</v>
      </c>
      <c r="Q49" s="275" t="s">
        <v>2148</v>
      </c>
      <c r="R49" s="131" t="s">
        <v>2166</v>
      </c>
      <c r="S49" s="131"/>
      <c r="T49" s="276"/>
      <c r="U49" s="277"/>
      <c r="V49" s="277"/>
      <c r="W49" s="277"/>
      <c r="X49" s="277"/>
      <c r="Y49" s="277"/>
      <c r="Z49" t="e">
        <f>VLOOKUP(A49,#REF!,9,FALSE)</f>
        <v>#REF!</v>
      </c>
    </row>
    <row r="50" spans="1:26" ht="15.75" thickBot="1">
      <c r="A50" s="292" t="s">
        <v>728</v>
      </c>
      <c r="B50" s="102" t="s">
        <v>108</v>
      </c>
      <c r="C50" s="215">
        <v>45772</v>
      </c>
      <c r="D50" s="282"/>
      <c r="E50" s="269" t="s">
        <v>2129</v>
      </c>
      <c r="F50" s="282"/>
      <c r="G50" s="290" t="s">
        <v>2148</v>
      </c>
      <c r="H50" s="230"/>
      <c r="I50" s="230"/>
      <c r="J50" s="45"/>
      <c r="K50" s="204"/>
      <c r="L50" s="204"/>
      <c r="M50" s="204"/>
      <c r="N50" s="284"/>
      <c r="O50" s="285"/>
      <c r="P50" s="274" t="s">
        <v>2175</v>
      </c>
      <c r="Q50" s="275" t="s">
        <v>2148</v>
      </c>
      <c r="R50" s="131" t="s">
        <v>2166</v>
      </c>
      <c r="S50" s="131"/>
      <c r="T50" s="276"/>
      <c r="U50" s="277"/>
      <c r="V50" s="277"/>
      <c r="W50" s="277"/>
      <c r="X50" s="277"/>
      <c r="Y50" s="277"/>
      <c r="Z50" t="e">
        <f>VLOOKUP(A50,#REF!,9,FALSE)</f>
        <v>#REF!</v>
      </c>
    </row>
    <row r="51" spans="1:26" ht="15.75" thickBot="1">
      <c r="A51" s="292" t="s">
        <v>734</v>
      </c>
      <c r="B51" s="102" t="e">
        <v>#N/A</v>
      </c>
      <c r="C51" s="215" t="e">
        <v>#N/A</v>
      </c>
      <c r="D51" s="282"/>
      <c r="E51" s="269" t="s">
        <v>2129</v>
      </c>
      <c r="F51" s="282"/>
      <c r="G51" s="290" t="s">
        <v>2148</v>
      </c>
      <c r="H51" s="230"/>
      <c r="I51" s="230"/>
      <c r="J51" s="45"/>
      <c r="K51" s="204"/>
      <c r="L51" s="204"/>
      <c r="M51" s="204"/>
      <c r="N51" s="284"/>
      <c r="O51" s="285"/>
      <c r="P51" s="274" t="s">
        <v>2175</v>
      </c>
      <c r="Q51" s="275" t="s">
        <v>2148</v>
      </c>
      <c r="R51" s="131" t="s">
        <v>2166</v>
      </c>
      <c r="S51" s="131"/>
      <c r="T51" s="276"/>
      <c r="U51" s="277"/>
      <c r="V51" s="277"/>
      <c r="W51" s="277"/>
      <c r="X51" s="277"/>
      <c r="Y51" s="277"/>
      <c r="Z51" t="e">
        <f>VLOOKUP(A51,#REF!,9,FALSE)</f>
        <v>#REF!</v>
      </c>
    </row>
    <row r="52" spans="1:26" ht="13.9" customHeight="1" thickBot="1">
      <c r="A52" s="292" t="s">
        <v>710</v>
      </c>
      <c r="B52" s="102" t="s">
        <v>108</v>
      </c>
      <c r="C52" s="215">
        <v>45925</v>
      </c>
      <c r="D52" s="282"/>
      <c r="E52" s="269" t="s">
        <v>2164</v>
      </c>
      <c r="F52" s="282"/>
      <c r="G52" s="283" t="s">
        <v>2127</v>
      </c>
      <c r="H52" s="230"/>
      <c r="I52" s="230"/>
      <c r="J52" s="45"/>
      <c r="K52" s="204"/>
      <c r="L52" s="204"/>
      <c r="M52" s="204"/>
      <c r="N52" s="284"/>
      <c r="O52" s="285"/>
      <c r="P52" s="274" t="s">
        <v>2165</v>
      </c>
      <c r="Q52" s="275" t="s">
        <v>64</v>
      </c>
      <c r="R52" s="131" t="s">
        <v>2166</v>
      </c>
      <c r="S52" s="131"/>
      <c r="T52" s="276"/>
      <c r="U52" s="277"/>
      <c r="V52" s="277"/>
      <c r="W52" s="277"/>
      <c r="X52" s="277"/>
      <c r="Y52" s="277"/>
      <c r="Z52" t="e">
        <f>VLOOKUP(A52,#REF!,9,FALSE)</f>
        <v>#REF!</v>
      </c>
    </row>
    <row r="53" spans="1:26" ht="15.75" thickBot="1">
      <c r="A53" s="292" t="s">
        <v>712</v>
      </c>
      <c r="B53" s="102" t="s">
        <v>108</v>
      </c>
      <c r="C53" s="215">
        <v>45925</v>
      </c>
      <c r="D53" s="282"/>
      <c r="E53" s="269" t="s">
        <v>2164</v>
      </c>
      <c r="F53" s="282"/>
      <c r="G53" s="283" t="s">
        <v>2127</v>
      </c>
      <c r="H53" s="230"/>
      <c r="I53" s="230"/>
      <c r="J53" s="45"/>
      <c r="K53" s="204"/>
      <c r="L53" s="204"/>
      <c r="M53" s="204"/>
      <c r="N53" s="284"/>
      <c r="O53" s="285"/>
      <c r="P53" s="274" t="s">
        <v>2165</v>
      </c>
      <c r="Q53" s="275" t="s">
        <v>64</v>
      </c>
      <c r="R53" s="131" t="s">
        <v>2166</v>
      </c>
      <c r="S53" s="131"/>
      <c r="T53" s="276"/>
      <c r="U53" s="277"/>
      <c r="V53" s="277"/>
      <c r="W53" s="277"/>
      <c r="X53" s="277"/>
      <c r="Y53" s="277"/>
      <c r="Z53" t="e">
        <f>VLOOKUP(A53,#REF!,9,FALSE)</f>
        <v>#REF!</v>
      </c>
    </row>
    <row r="54" spans="1:26" ht="15.75" thickBot="1">
      <c r="A54" s="292" t="s">
        <v>708</v>
      </c>
      <c r="B54" s="102" t="s">
        <v>108</v>
      </c>
      <c r="C54" s="215">
        <v>45925</v>
      </c>
      <c r="D54" s="282"/>
      <c r="E54" s="269" t="s">
        <v>2164</v>
      </c>
      <c r="F54" s="282"/>
      <c r="G54" s="283" t="s">
        <v>2127</v>
      </c>
      <c r="H54" s="230"/>
      <c r="I54" s="230"/>
      <c r="J54" s="45"/>
      <c r="K54" s="204"/>
      <c r="L54" s="204"/>
      <c r="M54" s="204"/>
      <c r="N54" s="284"/>
      <c r="O54" s="285"/>
      <c r="P54" s="274" t="s">
        <v>2165</v>
      </c>
      <c r="Q54" s="275" t="s">
        <v>64</v>
      </c>
      <c r="R54" s="131" t="s">
        <v>2166</v>
      </c>
      <c r="S54" s="131"/>
      <c r="T54" s="276"/>
      <c r="U54" s="277"/>
      <c r="V54" s="277"/>
      <c r="W54" s="277"/>
      <c r="X54" s="277"/>
      <c r="Y54" s="277"/>
      <c r="Z54" t="e">
        <f>VLOOKUP(A54,#REF!,9,FALSE)</f>
        <v>#REF!</v>
      </c>
    </row>
    <row r="55" spans="1:26" ht="15.75" thickBot="1">
      <c r="A55" s="292" t="s">
        <v>760</v>
      </c>
      <c r="B55" s="102" t="s">
        <v>108</v>
      </c>
      <c r="C55" s="215">
        <v>45862</v>
      </c>
      <c r="D55" s="282"/>
      <c r="E55" s="269" t="s">
        <v>2164</v>
      </c>
      <c r="F55" s="282"/>
      <c r="G55" s="283" t="s">
        <v>2127</v>
      </c>
      <c r="H55" s="230"/>
      <c r="I55" s="230"/>
      <c r="J55" s="45"/>
      <c r="K55" s="204"/>
      <c r="L55" s="204"/>
      <c r="M55" s="204"/>
      <c r="N55" s="284"/>
      <c r="O55" s="285"/>
      <c r="P55" s="274" t="s">
        <v>2138</v>
      </c>
      <c r="Q55" s="275" t="s">
        <v>58</v>
      </c>
      <c r="R55" s="131" t="s">
        <v>2169</v>
      </c>
      <c r="S55" s="131"/>
      <c r="T55" s="276"/>
      <c r="U55" s="277"/>
      <c r="V55" s="277"/>
      <c r="W55" s="277"/>
      <c r="X55" s="277"/>
      <c r="Y55" s="277"/>
      <c r="Z55" t="e">
        <f>VLOOKUP(A55,#REF!,9,FALSE)</f>
        <v>#REF!</v>
      </c>
    </row>
    <row r="56" spans="1:26" ht="15.75" thickBot="1">
      <c r="A56" s="292" t="s">
        <v>125</v>
      </c>
      <c r="B56" s="102"/>
      <c r="C56" s="215" t="e">
        <v>#N/A</v>
      </c>
      <c r="D56" s="282"/>
      <c r="E56" s="269" t="s">
        <v>2164</v>
      </c>
      <c r="F56" s="282"/>
      <c r="G56" s="283" t="s">
        <v>2127</v>
      </c>
      <c r="H56" s="230"/>
      <c r="I56" s="230"/>
      <c r="J56" s="45"/>
      <c r="K56" s="204"/>
      <c r="L56" s="204"/>
      <c r="M56" s="204"/>
      <c r="N56" s="284"/>
      <c r="O56" s="285"/>
      <c r="P56" s="274" t="s">
        <v>2176</v>
      </c>
      <c r="Q56" s="275" t="s">
        <v>58</v>
      </c>
      <c r="R56" s="131" t="s">
        <v>2169</v>
      </c>
      <c r="S56" s="131"/>
      <c r="T56" s="276"/>
      <c r="U56" s="277"/>
      <c r="V56" s="277"/>
      <c r="W56" s="277"/>
      <c r="X56" s="277"/>
      <c r="Y56" s="277"/>
      <c r="Z56" t="e">
        <f>VLOOKUP(A56,#REF!,9,FALSE)</f>
        <v>#REF!</v>
      </c>
    </row>
    <row r="57" spans="1:26" ht="15.75" thickBot="1">
      <c r="A57" s="162" t="s">
        <v>2177</v>
      </c>
      <c r="B57" s="102" t="s">
        <v>108</v>
      </c>
      <c r="C57" s="294">
        <v>45787</v>
      </c>
      <c r="D57" s="282"/>
      <c r="E57" s="269" t="s">
        <v>2164</v>
      </c>
      <c r="F57" s="282"/>
      <c r="G57" s="283" t="s">
        <v>2127</v>
      </c>
      <c r="H57" s="230"/>
      <c r="I57" s="230"/>
      <c r="J57" s="45"/>
      <c r="K57" s="204"/>
      <c r="L57" s="204"/>
      <c r="M57" s="204"/>
      <c r="N57" s="284"/>
      <c r="O57" s="285"/>
      <c r="P57" s="274" t="s">
        <v>2138</v>
      </c>
      <c r="Q57" s="275" t="s">
        <v>2178</v>
      </c>
      <c r="R57" s="131" t="s">
        <v>2169</v>
      </c>
      <c r="S57" s="131"/>
      <c r="T57" s="276"/>
      <c r="U57" s="277"/>
      <c r="V57" s="277"/>
      <c r="W57" s="277"/>
      <c r="X57" s="277"/>
      <c r="Y57" s="277"/>
      <c r="Z57" t="e">
        <f>VLOOKUP(A57,#REF!,9,FALSE)</f>
        <v>#REF!</v>
      </c>
    </row>
    <row r="58" spans="1:26" ht="15.75" thickBot="1">
      <c r="A58" s="622" t="s">
        <v>708</v>
      </c>
      <c r="B58" s="102" t="s">
        <v>50</v>
      </c>
      <c r="C58" s="296">
        <v>45807</v>
      </c>
      <c r="D58" s="282"/>
      <c r="E58" s="269" t="s">
        <v>2129</v>
      </c>
      <c r="F58" s="282"/>
      <c r="G58" s="283" t="s">
        <v>2127</v>
      </c>
      <c r="H58" s="230"/>
      <c r="I58" s="230"/>
      <c r="J58" s="45"/>
      <c r="K58" s="204"/>
      <c r="L58" s="204"/>
      <c r="M58" s="204"/>
      <c r="N58" s="284"/>
      <c r="O58" s="285"/>
      <c r="P58" s="287"/>
      <c r="Q58" s="275" t="s">
        <v>64</v>
      </c>
      <c r="R58" s="131" t="s">
        <v>2166</v>
      </c>
      <c r="S58" s="131"/>
      <c r="T58" s="276"/>
      <c r="U58" s="277"/>
      <c r="V58" s="277"/>
      <c r="W58" s="277"/>
      <c r="X58" s="277"/>
      <c r="Y58" s="277"/>
    </row>
    <row r="59" spans="1:26" ht="15.75" thickBot="1">
      <c r="A59" s="622" t="s">
        <v>710</v>
      </c>
      <c r="B59" s="102" t="s">
        <v>108</v>
      </c>
      <c r="C59" s="296">
        <v>45772</v>
      </c>
      <c r="D59" s="282"/>
      <c r="E59" s="269" t="s">
        <v>2129</v>
      </c>
      <c r="F59" s="282"/>
      <c r="G59" s="283" t="s">
        <v>2127</v>
      </c>
      <c r="H59" s="230"/>
      <c r="I59" s="230"/>
      <c r="J59" s="45"/>
      <c r="K59" s="204"/>
      <c r="L59" s="204"/>
      <c r="M59" s="204"/>
      <c r="N59" s="284"/>
      <c r="O59" s="285"/>
      <c r="P59" s="287"/>
      <c r="Q59" s="275" t="s">
        <v>64</v>
      </c>
      <c r="R59" s="131" t="s">
        <v>2166</v>
      </c>
      <c r="S59" s="131"/>
      <c r="T59" s="276"/>
      <c r="U59" s="277"/>
      <c r="V59" s="277"/>
      <c r="W59" s="277"/>
      <c r="X59" s="277"/>
      <c r="Y59" s="277"/>
    </row>
    <row r="60" spans="1:26" ht="15.75" thickBot="1">
      <c r="A60" s="623" t="s">
        <v>712</v>
      </c>
      <c r="B60" s="102" t="s">
        <v>108</v>
      </c>
      <c r="C60" s="296">
        <v>45772</v>
      </c>
      <c r="D60" s="282"/>
      <c r="E60" s="269" t="s">
        <v>2129</v>
      </c>
      <c r="F60" s="282"/>
      <c r="G60" s="283" t="s">
        <v>2127</v>
      </c>
      <c r="H60" s="230"/>
      <c r="I60" s="230"/>
      <c r="J60" s="45"/>
      <c r="K60" s="204"/>
      <c r="L60" s="204"/>
      <c r="M60" s="204"/>
      <c r="N60" s="284"/>
      <c r="O60" s="285"/>
      <c r="P60" s="287"/>
      <c r="Q60" s="275" t="s">
        <v>64</v>
      </c>
      <c r="R60" s="131" t="s">
        <v>2166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2158</v>
      </c>
      <c r="B70" s="301">
        <f>SUM(K4:K9)</f>
        <v>0</v>
      </c>
      <c r="C70" s="302" t="e">
        <f>B70/B73</f>
        <v>#DIV/0!</v>
      </c>
    </row>
    <row r="71" spans="1:25">
      <c r="A71" s="300" t="s">
        <v>2114</v>
      </c>
      <c r="B71" s="301">
        <f>SUM(L4:L9)</f>
        <v>0</v>
      </c>
      <c r="C71" s="302" t="e">
        <f>B71/B73</f>
        <v>#DIV/0!</v>
      </c>
    </row>
    <row r="72" spans="1:25">
      <c r="A72" s="300" t="s">
        <v>2159</v>
      </c>
      <c r="B72" s="301">
        <f>SUM(M4:M9)</f>
        <v>0</v>
      </c>
      <c r="C72" s="302" t="e">
        <f>B72/B73</f>
        <v>#DIV/0!</v>
      </c>
    </row>
    <row r="73" spans="1:25">
      <c r="A73" s="300" t="s">
        <v>1075</v>
      </c>
      <c r="B73" s="301">
        <f>SUM(B70:B72)</f>
        <v>0</v>
      </c>
      <c r="C73" s="279"/>
    </row>
    <row r="80" spans="1:25">
      <c r="A80" t="s">
        <v>2179</v>
      </c>
    </row>
    <row r="81" spans="1:1">
      <c r="A81" t="s">
        <v>2180</v>
      </c>
    </row>
    <row r="82" spans="1:1">
      <c r="A82" t="s">
        <v>2165</v>
      </c>
    </row>
    <row r="83" spans="1:1">
      <c r="A83" t="s">
        <v>2181</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1F40E43-B8AB-4504-AF03-EA0C855EED5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2026-01-09T21:52:23Z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