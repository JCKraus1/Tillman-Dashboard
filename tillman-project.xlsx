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3" documentId="8_{E14B221E-02E2-46A3-8CEC-C736815F2DD5}" xr6:coauthVersionLast="47" xr6:coauthVersionMax="47" xr10:uidLastSave="{C619D9E8-AED1-47B5-93A1-CDD33F2FC3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847" r:id="rId12"/>
    <pivotCache cacheId="4848" r:id="rId13"/>
    <pivotCache cacheId="4849" r:id="rId14"/>
    <pivotCache cacheId="4850" r:id="rId15"/>
    <pivotCache cacheId="48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<sst xmlns="http://schemas.openxmlformats.org/spreadsheetml/2006/main" count="13798" uniqueCount="1678">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</sst>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2"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J46" activePane="topRight" state="frozen"/>
      <selection pane="topRight" activeCell="Q50" sqref="Q50:Q5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5">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47"/>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3"/>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37">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38">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39">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35">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c r="B913">
        <v>463</v>
      </c>
      <c r="C913">
        <v>463</v>
      </c>
    </row>
    <row r="914" spans="1:3">
      <c r="A914" t="s">
        <v>220</v>
      </c>
      <c r="B914">
        <v>882</v>
      </c>
      <c r="C914">
        <v>882</v>
      </c>
    </row>
    <row r="915" spans="1:3">
      <c r="A915" t="s">
        <v>182</v>
      </c>
      <c r="B915">
        <v>1420</v>
      </c>
      <c r="C915">
        <v>1420</v>
      </c>
    </row>
    <row r="916" spans="1:3">
      <c r="A916" t="s">
        <v>189</v>
      </c>
      <c r="B916">
        <v>259</v>
      </c>
      <c r="C916">
        <v>259</v>
      </c>
    </row>
    <row r="917" spans="1:3">
      <c r="A917" t="s">
        <v>138</v>
      </c>
      <c r="B917">
        <v>579</v>
      </c>
      <c r="C917">
        <v>579</v>
      </c>
    </row>
    <row r="918" spans="1:3">
      <c r="A918" t="s">
        <v>870</v>
      </c>
      <c r="B918">
        <v>365</v>
      </c>
      <c r="C918">
        <v>365</v>
      </c>
    </row>
    <row r="919" spans="1:3">
      <c r="A919" t="s">
        <v>258</v>
      </c>
      <c r="B919">
        <v>207</v>
      </c>
      <c r="C919">
        <v>207</v>
      </c>
    </row>
    <row r="920" spans="1:3">
      <c r="A920" t="s">
        <v>806</v>
      </c>
      <c r="B920">
        <v>4876</v>
      </c>
      <c r="C920">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D1929" s="156">
        <v>1420</v>
      </c>
      <c r="F1929" s="43" t="s">
        <v>1247</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D1931" s="43">
        <v>579</v>
      </c>
      <c r="F1931" s="43" t="s">
        <v>1537</v>
      </c>
      <c r="G1931" t="s">
        <v>1536</v>
      </c>
    </row>
    <row r="1932" spans="1:7">
      <c r="A1932" s="308" t="s">
        <v>870</v>
      </c>
      <c r="B1932" s="308" t="s">
        <v>1538</v>
      </c>
      <c r="C1932" s="56">
        <v>45964</v>
      </c>
      <c r="D1932" s="43">
        <v>365</v>
      </c>
      <c r="G1932" t="s">
        <v>1536</v>
      </c>
    </row>
    <row r="1933" spans="1:7">
      <c r="A1933" s="308" t="s">
        <v>189</v>
      </c>
      <c r="B1933" s="308" t="s">
        <v>815</v>
      </c>
      <c r="C1933" s="56">
        <v>45964</v>
      </c>
      <c r="D1933" s="43">
        <v>259</v>
      </c>
      <c r="G1933" t="s">
        <v>1536</v>
      </c>
    </row>
    <row r="1934" spans="1:7">
      <c r="A1934" s="142" t="s">
        <v>255</v>
      </c>
      <c r="B1934" s="322" t="s">
        <v>1461</v>
      </c>
      <c r="C1934" s="56">
        <v>45964</v>
      </c>
      <c r="D1934" s="43">
        <v>463</v>
      </c>
      <c r="G1934" t="s">
        <v>1536</v>
      </c>
    </row>
    <row r="1935" spans="1:7">
      <c r="A1935" s="309" t="s">
        <v>220</v>
      </c>
      <c r="B1935" s="308" t="s">
        <v>221</v>
      </c>
      <c r="C1935" s="56">
        <v>45964</v>
      </c>
      <c r="D1935" s="43">
        <v>882</v>
      </c>
      <c r="F1935" s="43" t="s">
        <v>1539</v>
      </c>
      <c r="G1935" t="s">
        <v>1536</v>
      </c>
    </row>
    <row r="1936" spans="1:7">
      <c r="A1936" s="142" t="s">
        <v>304</v>
      </c>
      <c r="B1936" s="360" t="s">
        <v>815</v>
      </c>
      <c r="C1936" s="56">
        <v>45964</v>
      </c>
      <c r="F1936" s="43" t="s">
        <v>1271</v>
      </c>
      <c r="G1936" t="s">
        <v>1536</v>
      </c>
    </row>
    <row r="1937" spans="1:7">
      <c r="A1937" s="142" t="s">
        <v>304</v>
      </c>
      <c r="B1937" s="360" t="s">
        <v>1540</v>
      </c>
      <c r="C1937" s="56">
        <v>45964</v>
      </c>
      <c r="E1937" s="325">
        <v>3846</v>
      </c>
      <c r="F1937" s="43" t="s">
        <v>1541</v>
      </c>
      <c r="G1937" t="s">
        <v>1536</v>
      </c>
    </row>
    <row r="1938" spans="1:7">
      <c r="A1938" s="142" t="s">
        <v>304</v>
      </c>
      <c r="B1938" s="360" t="s">
        <v>305</v>
      </c>
      <c r="C1938" s="56">
        <v>45964</v>
      </c>
      <c r="F1938" s="1009" t="s">
        <v>1542</v>
      </c>
      <c r="G1938" t="s">
        <v>1536</v>
      </c>
    </row>
    <row r="1939" spans="1:7">
      <c r="A1939" s="142" t="s">
        <v>258</v>
      </c>
      <c r="B1939" s="1136" t="s">
        <v>815</v>
      </c>
      <c r="C1939" s="56">
        <v>45964</v>
      </c>
      <c r="D1939" s="43">
        <v>207</v>
      </c>
      <c r="G1939" t="s">
        <v>1536</v>
      </c>
    </row>
    <row r="1940" spans="1:7">
      <c r="A1940" s="1140"/>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1619</v>
      </c>
      <c r="C1" s="1143"/>
      <c r="D1" s="577"/>
      <c r="E1" s="1143" t="s">
        <v>1620</v>
      </c>
      <c r="F1" s="1143"/>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v>122681</v>
      </c>
      <c r="E4" s="44" t="s">
        <v>1621</v>
      </c>
      <c r="F4" t="s">
        <v>809</v>
      </c>
      <c r="W4" t="s">
        <v>1625</v>
      </c>
      <c r="X4">
        <v>22</v>
      </c>
    </row>
    <row r="5" spans="1:25">
      <c r="B5" t="s">
        <v>60</v>
      </c>
      <c r="C5">
        <v>44287</v>
      </c>
      <c r="E5" t="s">
        <v>809</v>
      </c>
      <c r="F5">
        <v>194931</v>
      </c>
      <c r="K5" s="44" t="s">
        <v>1626</v>
      </c>
      <c r="P5" s="44" t="s">
        <v>1626</v>
      </c>
      <c r="W5" t="s">
        <v>1627</v>
      </c>
      <c r="X5">
        <v>13</v>
      </c>
    </row>
    <row r="6" spans="1:25">
      <c r="B6" t="s">
        <v>101</v>
      </c>
      <c r="C6">
        <v>22387</v>
      </c>
      <c r="K6" s="44" t="s">
        <v>27</v>
      </c>
      <c r="L6" s="44" t="s">
        <v>1628</v>
      </c>
      <c r="M6" t="s">
        <v>809</v>
      </c>
      <c r="P6" s="44" t="s">
        <v>1629</v>
      </c>
      <c r="Q6" s="44" t="s">
        <v>1628</v>
      </c>
      <c r="R6" t="s">
        <v>809</v>
      </c>
    </row>
    <row r="7" spans="1:25">
      <c r="B7" t="s">
        <v>835</v>
      </c>
      <c r="C7">
        <v>258167</v>
      </c>
      <c r="K7" t="s">
        <v>1622</v>
      </c>
      <c r="L7" t="s">
        <v>472</v>
      </c>
      <c r="M7">
        <v>1</v>
      </c>
      <c r="P7" t="s">
        <v>1630</v>
      </c>
      <c r="R7">
        <v>1</v>
      </c>
      <c r="X7" t="s">
        <v>1631</v>
      </c>
      <c r="Y7" t="s">
        <v>1632</v>
      </c>
    </row>
    <row r="8" spans="1:25">
      <c r="B8" t="s">
        <v>200</v>
      </c>
      <c r="C8">
        <v>5576</v>
      </c>
      <c r="L8" t="s">
        <v>474</v>
      </c>
      <c r="M8">
        <v>1</v>
      </c>
      <c r="P8" t="s">
        <v>1633</v>
      </c>
      <c r="R8">
        <v>1</v>
      </c>
      <c r="V8" t="s">
        <v>1634</v>
      </c>
      <c r="W8" s="261">
        <v>203521</v>
      </c>
      <c r="X8" s="317">
        <f>X5/X4</f>
        <v>0.59090909090909094</v>
      </c>
      <c r="Y8" s="317">
        <f>W9/W8</f>
        <v>0.31446386367991508</v>
      </c>
    </row>
    <row r="9" spans="1:25">
      <c r="B9" t="s">
        <v>51</v>
      </c>
      <c r="C9">
        <v>0</v>
      </c>
      <c r="L9" t="s">
        <v>1635</v>
      </c>
      <c r="M9">
        <v>1</v>
      </c>
      <c r="P9" t="s">
        <v>1636</v>
      </c>
      <c r="Q9" t="s">
        <v>1635</v>
      </c>
      <c r="R9">
        <v>1</v>
      </c>
      <c r="V9" t="s">
        <v>1637</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1638</v>
      </c>
      <c r="R12">
        <v>1</v>
      </c>
    </row>
    <row r="13" spans="1:25">
      <c r="B13" t="s">
        <v>148</v>
      </c>
      <c r="C13">
        <v>13862</v>
      </c>
      <c r="L13" t="s">
        <v>1639</v>
      </c>
      <c r="M13">
        <v>1</v>
      </c>
      <c r="Q13" t="s">
        <v>756</v>
      </c>
      <c r="R13">
        <v>1</v>
      </c>
    </row>
    <row r="14" spans="1:25">
      <c r="B14" t="s">
        <v>197</v>
      </c>
      <c r="C14">
        <v>16290</v>
      </c>
      <c r="L14" t="s">
        <v>585</v>
      </c>
      <c r="M14">
        <v>1</v>
      </c>
      <c r="P14" t="s">
        <v>1640</v>
      </c>
      <c r="R14">
        <v>5</v>
      </c>
    </row>
    <row r="15" spans="1:25">
      <c r="B15" t="s">
        <v>96</v>
      </c>
      <c r="C15">
        <v>7655</v>
      </c>
      <c r="L15" t="s">
        <v>1638</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1641</v>
      </c>
      <c r="M21">
        <v>1</v>
      </c>
    </row>
    <row r="22" spans="2:13">
      <c r="L22" t="s">
        <v>756</v>
      </c>
      <c r="M22">
        <v>1</v>
      </c>
    </row>
    <row r="23" spans="2:13">
      <c r="L23" t="s">
        <v>625</v>
      </c>
      <c r="M23">
        <v>1</v>
      </c>
    </row>
    <row r="24" spans="2:13">
      <c r="L24" t="s">
        <v>653</v>
      </c>
      <c r="M24">
        <v>1</v>
      </c>
    </row>
    <row r="25" spans="2:13">
      <c r="L25" t="s">
        <v>172</v>
      </c>
      <c r="M25">
        <v>1</v>
      </c>
    </row>
    <row r="26" spans="2:13">
      <c r="K26" t="s">
        <v>1642</v>
      </c>
      <c r="M26">
        <v>19</v>
      </c>
    </row>
    <row r="27" spans="2:13">
      <c r="K27" t="s">
        <v>1643</v>
      </c>
      <c r="L27" t="s">
        <v>579</v>
      </c>
      <c r="M27">
        <v>1</v>
      </c>
    </row>
    <row r="28" spans="2:13">
      <c r="L28" t="s">
        <v>581</v>
      </c>
      <c r="M28">
        <v>1</v>
      </c>
    </row>
    <row r="29" spans="2:13">
      <c r="L29" t="s">
        <v>583</v>
      </c>
      <c r="M29">
        <v>1</v>
      </c>
    </row>
    <row r="30" spans="2:13">
      <c r="L30" t="s">
        <v>599</v>
      </c>
      <c r="M30">
        <v>1</v>
      </c>
    </row>
    <row r="31" spans="2:13">
      <c r="L31" t="s">
        <v>601</v>
      </c>
      <c r="M31">
        <v>1</v>
      </c>
    </row>
    <row r="32" spans="2:13">
      <c r="L32" t="s">
        <v>1644</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1645</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1646</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41B229-A944-4BD7-8466-0C7F89C871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2025-11-04T12:54:26Z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