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36" documentId="8_{E14B221E-02E2-46A3-8CEC-C736815F2DD5}" xr6:coauthVersionLast="47" xr6:coauthVersionMax="47" xr10:uidLastSave="{8798C111-48B5-4744-A980-70B6231AA962}"/>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5104" r:id="rId12"/>
    <pivotCache cacheId="5105" r:id="rId13"/>
    <pivotCache cacheId="5106" r:id="rId14"/>
    <pivotCache cacheId="5107" r:id="rId15"/>
    <pivotCache cacheId="51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<sst xmlns="http://schemas.openxmlformats.org/spreadsheetml/2006/main" count="14340" uniqueCount="1769">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</sst>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037036"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1527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597537384259" createdVersion="8" refreshedVersion="8" minRefreshableVersion="3" recordCount="152"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1">
        <s v="Splice Only"/>
        <s v="Lightspeed In-House"/>
        <m/>
        <s v="Multiple"/>
        <s v="Removed By Tillman"/>
        <s v="Vendor Assignment"/>
        <s v="Longo"/>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m/>
    <m/>
    <m/>
  </r>
  <r>
    <x v="253"/>
    <x v="5"/>
    <x v="197"/>
    <m/>
    <m/>
    <m/>
  </r>
  <r>
    <x v="259"/>
    <x v="36"/>
    <x v="197"/>
    <m/>
    <m/>
    <m/>
  </r>
  <r>
    <x v="255"/>
    <x v="27"/>
    <x v="197"/>
    <m/>
    <m/>
    <m/>
  </r>
  <r>
    <x v="255"/>
    <x v="27"/>
    <x v="197"/>
    <m/>
    <m/>
    <m/>
  </r>
  <r>
    <x v="238"/>
    <x v="57"/>
    <x v="197"/>
    <m/>
    <m/>
    <m/>
  </r>
  <r>
    <x v="251"/>
    <x v="35"/>
    <x v="197"/>
    <m/>
    <m/>
    <m/>
  </r>
  <r>
    <x v="256"/>
    <x v="45"/>
    <x v="197"/>
    <m/>
    <m/>
    <m/>
  </r>
  <r>
    <x v="258"/>
    <x v="5"/>
    <x v="197"/>
    <m/>
    <m/>
    <m/>
  </r>
  <r>
    <x v="257"/>
    <x v="5"/>
    <x v="197"/>
    <m/>
    <m/>
    <m/>
  </r>
  <r>
    <x v="125"/>
    <x v="16"/>
    <x v="1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m/>
    <m/>
    <m/>
    <x v="10"/>
  </r>
  <r>
    <s v="D-HWP916"/>
    <x v="5"/>
    <d v="2025-11-13T00:00:00"/>
    <m/>
    <m/>
    <m/>
    <x v="10"/>
  </r>
  <r>
    <s v="Sherwood"/>
    <x v="36"/>
    <d v="2025-11-13T00:00:00"/>
    <m/>
    <m/>
    <m/>
    <x v="10"/>
  </r>
  <r>
    <s v="BHZD-FLX-04-W"/>
    <x v="27"/>
    <d v="2025-11-13T00:00:00"/>
    <m/>
    <m/>
    <m/>
    <x v="10"/>
  </r>
  <r>
    <s v="BHZD-FLX-04-W"/>
    <x v="27"/>
    <d v="2025-11-13T00:00:00"/>
    <m/>
    <m/>
    <m/>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Pending"/>
    <s v="Permits"/>
    <d v="2025-10-06T00:00:00"/>
    <s v="Yes"/>
    <n v="38192"/>
    <s v="Yes"/>
    <s v="Not Started"/>
    <d v="2025-10-06T00:00:00"/>
    <m/>
    <m/>
    <m/>
    <m/>
    <n v="2845"/>
    <m/>
    <n v="2845"/>
    <n v="0"/>
    <m/>
    <n v="0"/>
    <n v="0"/>
    <n v="0"/>
    <s v="8/28 Pending Permit./ Locates called 10-6"/>
  </r>
  <r>
    <s v="D-HWP819"/>
    <s v="Lakeland"/>
    <d v="2025-11-15T00:00:00"/>
    <x v="6"/>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6"/>
    <m/>
    <s v="Travis"/>
    <m/>
    <n v="28"/>
    <s v="On Track"/>
    <s v="Pending"/>
    <s v="Permits"/>
    <d v="2025-11-11T00:00:00"/>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877"/>
    <n v="1650"/>
    <n v="0.34705184012663237"/>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1870"/>
    <n v="981"/>
    <n v="0.65591020694493163"/>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8"/>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7"/>
    <d v="2025-11-05T00:00:00"/>
    <s v="Travis"/>
    <m/>
    <n v="69"/>
    <s v="On Track"/>
    <s v="Pending"/>
    <s v="Permits"/>
    <d v="2025-11-08T00:00:00"/>
    <s v="Yes"/>
    <n v="75672.100000000006"/>
    <s v="Yes"/>
    <s v="Not Started"/>
    <d v="2025-11-08T00:00:00"/>
    <m/>
    <m/>
    <m/>
    <m/>
    <n v="5917"/>
    <m/>
    <n v="5917"/>
    <n v="0"/>
    <m/>
    <n v="0"/>
    <n v="0"/>
    <n v="0"/>
    <s v="10/15 Pending Permit./LC 11/8/2025/LC cleared 11-13-2025/"/>
  </r>
  <r>
    <s v="D-HWP1313"/>
    <s v="Lakeland"/>
    <d v="2025-11-30T00:00:00"/>
    <x v="7"/>
    <d v="2025-11-05T00:00:00"/>
    <s v="Travis"/>
    <m/>
    <n v="83"/>
    <s v="On Track"/>
    <s v="Pending"/>
    <s v="Permits"/>
    <d v="2025-11-08T00:00:00"/>
    <s v="Yes"/>
    <n v="66402"/>
    <s v="Yes"/>
    <s v="Not Started"/>
    <d v="2025-11-08T00:00:00"/>
    <m/>
    <m/>
    <m/>
    <m/>
    <n v="5324"/>
    <m/>
    <n v="5324"/>
    <n v="0"/>
    <m/>
    <n v="0"/>
    <n v="0"/>
    <n v="0"/>
    <s v="8/26 Pending Permit./LC 11/8/2025/"/>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1"/>
    <s v="Lakeland"/>
    <d v="2025-11-30T00:00:00"/>
    <x v="8"/>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9"/>
    <d v="2025-10-06T00:00:00"/>
    <s v="Travis"/>
    <m/>
    <n v="0"/>
    <s v="Completed on Track"/>
    <s v="Received"/>
    <m/>
    <s v="N/A"/>
    <s v="Yes"/>
    <n v="74164.05"/>
    <s v="Yes"/>
    <s v="Completed"/>
    <d v="2025-10-09T00:00:00"/>
    <m/>
    <m/>
    <m/>
    <m/>
    <n v="5613"/>
    <n v="5647"/>
    <n v="-34"/>
    <n v="1.0060573668270087"/>
    <d v="2025-10-30T00:00:00"/>
    <n v="0"/>
    <n v="0"/>
    <n v="0"/>
    <s v="10/8 FDOT Permit Received--Pending City Of Lakeland Permit. Locates called 10-9/ 10/21 pending water locates. Feeds Skyview/ Locates cleared .Cx starts 10-30-2025/11-10 Path Complete/11-13 Pulling Fiber"/>
  </r>
  <r>
    <s v="FB-HWP1379"/>
    <s v="Lakeland"/>
    <d v="2025-11-30T00:00:00"/>
    <x v="8"/>
    <d v="2025-10-31T00:00:00"/>
    <s v="Travis"/>
    <m/>
    <n v="0"/>
    <s v="Completed on Track"/>
    <s v="Received"/>
    <m/>
    <s v="N/A"/>
    <s v="Yes"/>
    <n v="39221.800000000003"/>
    <s v="Yes"/>
    <s v="Completed"/>
    <d v="2025-10-20T00:00:00"/>
    <m/>
    <m/>
    <m/>
    <m/>
    <n v="3078"/>
    <n v="3272"/>
    <n v="-194"/>
    <n v="1.0630279402209226"/>
    <d v="2025-11-05T00:00:00"/>
    <n v="0"/>
    <n v="0"/>
    <n v="0"/>
    <s v="10/8 Pending Permit./ Locates called, White lined 10-20-2025/ Feeds Citrus Wood and is fed by FB1377. 10/23-pending usic/water/pwr/ Locates cleared 10-29-2025/CX started 11-5/11-12 Path complete/ Pulling Fiber after 1377"/>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10"/>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1"/>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2"/>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3"/>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4"/>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4"/>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4"/>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4"/>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m/>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m/>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m/>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2">
        <item sd="0" x="7"/>
        <item sd="0" x="1"/>
        <item sd="0" x="3"/>
        <item sd="0" x="2"/>
        <item sd="0" m="1" x="15"/>
        <item x="0"/>
        <item x="5"/>
        <item x="12"/>
        <item x="14"/>
        <item x="8"/>
        <item x="10"/>
        <item m="1" x="20"/>
        <item m="1" x="19"/>
        <item m="1" x="16"/>
        <item m="1" x="17"/>
        <item m="1" x="18"/>
        <item x="9"/>
        <item x="13"/>
        <item x="4"/>
        <item x="1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6"/>
    </i>
    <i>
      <x v="17"/>
    </i>
    <i>
      <x v="18"/>
    </i>
    <i>
      <x v="19"/>
    </i>
    <i>
      <x v="2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m="1" x="29"/>
        <item sd="0" x="3"/>
        <item sd="0" m="1" x="32"/>
        <item sd="0" m="1" x="28"/>
        <item sd="0" m="1" x="66"/>
        <item sd="0" m="1" x="26"/>
        <item sd="0" m="1" x="64"/>
        <item h="1" sd="0" x="2"/>
        <item sd="0" m="1" x="51"/>
        <item m="1" x="31"/>
        <item m="1" x="62"/>
        <item m="1" x="15"/>
        <item h="1" m="1" x="65"/>
        <item h="1" m="1" x="68"/>
        <item h="1" m="1" x="33"/>
        <item h="1" m="1" x="77"/>
        <item h="1" x="0"/>
        <item h="1" m="1" x="43"/>
        <item h="1" m="1" x="58"/>
        <item h="1" m="1" x="78"/>
        <item h="1" m="1" x="57"/>
        <item h="1" m="1" x="76"/>
        <item h="1" x="6"/>
        <item h="1" m="1" x="45"/>
        <item h="1" m="1" x="73"/>
        <item h="1" m="1" x="72"/>
        <item h="1" m="1" x="75"/>
        <item h="1" m="1" x="74"/>
        <item h="1" m="1" x="71"/>
        <item h="1" m="1" x="69"/>
        <item h="1" m="1" x="56"/>
        <item h="1" m="1" x="70"/>
        <item h="1" m="1" x="53"/>
        <item h="1" m="1" x="61"/>
        <item h="1" m="1" x="55"/>
        <item h="1" m="1" x="44"/>
        <item h="1" x="5"/>
        <item h="1" m="1" x="27"/>
        <item h="1" m="1" x="54"/>
        <item h="1" m="1" x="24"/>
        <item h="1" m="1" x="59"/>
        <item h="1" m="1" x="50"/>
        <item h="1" m="1" x="23"/>
        <item h="1" m="1" x="34"/>
        <item h="1" m="1" x="22"/>
        <item h="1" m="1" x="49"/>
        <item h="1" m="1" x="48"/>
        <item h="1" m="1" x="35"/>
        <item h="1" m="1" x="25"/>
        <item h="1" x="12"/>
        <item h="1" m="1" x="46"/>
        <item h="1" m="1" x="47"/>
        <item h="1" x="14"/>
        <item h="1" m="1" x="30"/>
        <item h="1" m="1" x="40"/>
        <item h="1" x="8"/>
        <item h="1" m="1" x="39"/>
        <item h="1" m="1" x="38"/>
        <item h="1" m="1" x="42"/>
        <item h="1" x="10"/>
        <item h="1" m="1" x="21"/>
        <item h="1" m="1" x="37"/>
        <item h="1" m="1" x="36"/>
        <item h="1" m="1" x="20"/>
        <item h="1" m="1" x="19"/>
        <item h="1" m="1" x="16"/>
        <item h="1" m="1" x="17"/>
        <item h="1" m="1" x="18"/>
        <item h="1" x="9"/>
        <item h="1" x="13"/>
        <item h="1" x="4"/>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34" activePane="topRight" state="frozen"/>
      <selection pane="topRight" activeCell="W38" sqref="W3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D118:D147 L26:L71 Q26:U71 L73:L116 Q73:U116"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D84" activePane="topRight" state="frozen"/>
      <selection pane="topRight" activeCell="S133" sqref="S13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F952">
        <v>1870</v>
      </c>
    </row>
    <row r="953" spans="1:6">
      <c r="A953" t="s">
        <v>138</v>
      </c>
      <c r="D953">
        <v>877</v>
      </c>
      <c r="F953">
        <v>877</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F960">
        <v>21718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0" activePane="bottomLeft" state="frozen"/>
      <selection pane="bottomLeft" activeCell="D2033" sqref="D203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1711</v>
      </c>
      <c r="C1" s="1152"/>
      <c r="D1" s="576"/>
      <c r="E1" s="1152" t="s">
        <v>1712</v>
      </c>
      <c r="F1" s="1152"/>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v>223696</v>
      </c>
      <c r="E4" s="44" t="s">
        <v>1713</v>
      </c>
      <c r="F4" t="s">
        <v>871</v>
      </c>
      <c r="W4" t="s">
        <v>1717</v>
      </c>
      <c r="X4">
        <v>22</v>
      </c>
    </row>
    <row r="5" spans="1:25">
      <c r="B5" t="s">
        <v>60</v>
      </c>
      <c r="C5">
        <v>56752</v>
      </c>
      <c r="E5" t="s">
        <v>871</v>
      </c>
      <c r="F5">
        <v>302835</v>
      </c>
      <c r="K5" s="44" t="s">
        <v>1718</v>
      </c>
      <c r="P5" s="44" t="s">
        <v>1718</v>
      </c>
      <c r="W5" t="s">
        <v>1719</v>
      </c>
      <c r="X5">
        <v>13</v>
      </c>
    </row>
    <row r="6" spans="1:25">
      <c r="B6" t="s">
        <v>100</v>
      </c>
      <c r="C6">
        <v>22387</v>
      </c>
      <c r="K6" s="44" t="s">
        <v>27</v>
      </c>
      <c r="L6" s="44" t="s">
        <v>1720</v>
      </c>
      <c r="M6" t="s">
        <v>871</v>
      </c>
      <c r="P6" s="44" t="s">
        <v>1721</v>
      </c>
      <c r="Q6" s="44" t="s">
        <v>1720</v>
      </c>
      <c r="R6" t="s">
        <v>871</v>
      </c>
    </row>
    <row r="7" spans="1:25">
      <c r="B7" t="s">
        <v>897</v>
      </c>
      <c r="C7">
        <v>236976</v>
      </c>
      <c r="K7" t="s">
        <v>1714</v>
      </c>
      <c r="L7" t="s">
        <v>502</v>
      </c>
      <c r="M7">
        <v>1</v>
      </c>
      <c r="P7" t="s">
        <v>1722</v>
      </c>
      <c r="R7">
        <v>1</v>
      </c>
      <c r="X7" t="s">
        <v>1723</v>
      </c>
      <c r="Y7" t="s">
        <v>1724</v>
      </c>
    </row>
    <row r="8" spans="1:25">
      <c r="B8" t="s">
        <v>51</v>
      </c>
      <c r="C8">
        <v>0</v>
      </c>
      <c r="L8" t="s">
        <v>504</v>
      </c>
      <c r="M8">
        <v>1</v>
      </c>
      <c r="P8" t="s">
        <v>1725</v>
      </c>
      <c r="R8">
        <v>1</v>
      </c>
      <c r="V8" t="s">
        <v>1726</v>
      </c>
      <c r="W8" s="261">
        <v>203521</v>
      </c>
      <c r="X8" s="317">
        <f>X5/X4</f>
        <v>0.59090909090909094</v>
      </c>
      <c r="Y8" s="317">
        <f>W9/W8</f>
        <v>0.31446386367991508</v>
      </c>
    </row>
    <row r="9" spans="1:25">
      <c r="B9" t="s">
        <v>22</v>
      </c>
      <c r="C9">
        <v>0</v>
      </c>
      <c r="L9" t="s">
        <v>1727</v>
      </c>
      <c r="M9">
        <v>1</v>
      </c>
      <c r="P9" t="s">
        <v>1728</v>
      </c>
      <c r="Q9" t="s">
        <v>1727</v>
      </c>
      <c r="R9">
        <v>1</v>
      </c>
      <c r="V9" t="s">
        <v>1729</v>
      </c>
      <c r="W9">
        <v>64000</v>
      </c>
    </row>
    <row r="10" spans="1:25">
      <c r="B10" t="s">
        <v>237</v>
      </c>
      <c r="C10">
        <v>11388</v>
      </c>
      <c r="L10" t="s">
        <v>603</v>
      </c>
      <c r="M10">
        <v>1</v>
      </c>
      <c r="Q10" t="s">
        <v>607</v>
      </c>
      <c r="R10">
        <v>1</v>
      </c>
    </row>
    <row r="11" spans="1:25">
      <c r="B11" t="s">
        <v>239</v>
      </c>
      <c r="C11">
        <v>32596</v>
      </c>
      <c r="L11" t="s">
        <v>607</v>
      </c>
      <c r="M11">
        <v>1</v>
      </c>
      <c r="Q11" t="s">
        <v>485</v>
      </c>
      <c r="R11">
        <v>1</v>
      </c>
    </row>
    <row r="12" spans="1:25">
      <c r="B12" t="s">
        <v>201</v>
      </c>
      <c r="C12">
        <v>13965</v>
      </c>
      <c r="L12" t="s">
        <v>485</v>
      </c>
      <c r="M12">
        <v>1</v>
      </c>
      <c r="Q12" t="s">
        <v>1730</v>
      </c>
      <c r="R12">
        <v>1</v>
      </c>
    </row>
    <row r="13" spans="1:25">
      <c r="B13" t="s">
        <v>204</v>
      </c>
      <c r="C13">
        <v>16290</v>
      </c>
      <c r="L13" t="s">
        <v>1731</v>
      </c>
      <c r="M13">
        <v>1</v>
      </c>
      <c r="Q13" t="s">
        <v>821</v>
      </c>
      <c r="R13">
        <v>1</v>
      </c>
    </row>
    <row r="14" spans="1:25">
      <c r="B14" t="s">
        <v>389</v>
      </c>
      <c r="C14">
        <v>5613</v>
      </c>
      <c r="L14" t="s">
        <v>621</v>
      </c>
      <c r="M14">
        <v>1</v>
      </c>
      <c r="P14" t="s">
        <v>1732</v>
      </c>
      <c r="R14">
        <v>5</v>
      </c>
    </row>
    <row r="15" spans="1:25">
      <c r="B15" t="s">
        <v>233</v>
      </c>
      <c r="C15">
        <v>3997</v>
      </c>
      <c r="L15" t="s">
        <v>1730</v>
      </c>
      <c r="M15">
        <v>1</v>
      </c>
      <c r="P15" t="s">
        <v>897</v>
      </c>
      <c r="R15">
        <v>12</v>
      </c>
    </row>
    <row r="16" spans="1:25">
      <c r="B16" t="s">
        <v>105</v>
      </c>
      <c r="C16">
        <v>3970</v>
      </c>
      <c r="L16" t="s">
        <v>623</v>
      </c>
      <c r="M16">
        <v>1</v>
      </c>
      <c r="P16" t="s">
        <v>868</v>
      </c>
      <c r="R16">
        <v>19</v>
      </c>
    </row>
    <row r="17" spans="2:13">
      <c r="B17" t="s">
        <v>207</v>
      </c>
      <c r="C17">
        <v>5576</v>
      </c>
      <c r="L17" t="s">
        <v>627</v>
      </c>
      <c r="M17">
        <v>1</v>
      </c>
    </row>
    <row r="18" spans="2:13">
      <c r="B18" t="s">
        <v>1262</v>
      </c>
      <c r="C18">
        <v>7655</v>
      </c>
      <c r="L18" t="s">
        <v>629</v>
      </c>
      <c r="M18">
        <v>1</v>
      </c>
    </row>
    <row r="19" spans="2:13">
      <c r="B19" t="s">
        <v>868</v>
      </c>
      <c r="C19">
        <v>640861</v>
      </c>
      <c r="L19" t="s">
        <v>633</v>
      </c>
      <c r="M19">
        <v>1</v>
      </c>
    </row>
    <row r="20" spans="2:13">
      <c r="L20" t="s">
        <v>694</v>
      </c>
      <c r="M20">
        <v>1</v>
      </c>
    </row>
    <row r="21" spans="2:13">
      <c r="L21" t="s">
        <v>1733</v>
      </c>
      <c r="M21">
        <v>1</v>
      </c>
    </row>
    <row r="22" spans="2:13">
      <c r="L22" t="s">
        <v>821</v>
      </c>
      <c r="M22">
        <v>1</v>
      </c>
    </row>
    <row r="23" spans="2:13">
      <c r="L23" t="s">
        <v>665</v>
      </c>
      <c r="M23">
        <v>1</v>
      </c>
    </row>
    <row r="24" spans="2:13">
      <c r="L24" t="s">
        <v>683</v>
      </c>
      <c r="M24">
        <v>1</v>
      </c>
    </row>
    <row r="25" spans="2:13">
      <c r="L25" t="s">
        <v>180</v>
      </c>
      <c r="M25">
        <v>1</v>
      </c>
    </row>
    <row r="26" spans="2:13">
      <c r="K26" t="s">
        <v>1734</v>
      </c>
      <c r="M26">
        <v>19</v>
      </c>
    </row>
    <row r="27" spans="2:13">
      <c r="K27" t="s">
        <v>1735</v>
      </c>
      <c r="L27" t="s">
        <v>615</v>
      </c>
      <c r="M27">
        <v>1</v>
      </c>
    </row>
    <row r="28" spans="2:13">
      <c r="L28" t="s">
        <v>617</v>
      </c>
      <c r="M28">
        <v>1</v>
      </c>
    </row>
    <row r="29" spans="2:13">
      <c r="L29" t="s">
        <v>619</v>
      </c>
      <c r="M29">
        <v>1</v>
      </c>
    </row>
    <row r="30" spans="2:13">
      <c r="L30" t="s">
        <v>635</v>
      </c>
      <c r="M30">
        <v>1</v>
      </c>
    </row>
    <row r="31" spans="2:13">
      <c r="L31" t="s">
        <v>637</v>
      </c>
      <c r="M31">
        <v>1</v>
      </c>
    </row>
    <row r="32" spans="2:13">
      <c r="L32" t="s">
        <v>1736</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1737</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1738</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A287B32-3CC7-42F6-9384-C67C45EF6C8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2025-11-13T22:39:08Z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