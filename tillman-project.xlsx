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03" documentId="8_{E14B221E-02E2-46A3-8CEC-C736815F2DD5}" xr6:coauthVersionLast="47" xr6:coauthVersionMax="47" xr10:uidLastSave="{18A7EF51-933B-4153-B59D-5C2401EB240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709" r:id="rId12"/>
    <pivotCache cacheId="3712" r:id="rId13"/>
    <pivotCache cacheId="3715" r:id="rId14"/>
    <pivotCache cacheId="3718" r:id="rId15"/>
    <pivotCache cacheId="37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32" l="1"/>
  <c r="Y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<sst xmlns="http://schemas.openxmlformats.org/spreadsheetml/2006/main" count="15918" uniqueCount="2053">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</sst>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5" fillId="0" borderId="25" xfId="0" applyFont="1" applyBorder="1" applyAlignment="1">
      <alignment horizontal="center"/>
    </xf>
    <xf numFmtId="0" fontId="29" fillId="0" borderId="27" xfId="0" applyFont="1" applyBorder="1" applyAlignment="1">
      <alignment horizontal="center" wrapText="1"/>
    </xf>
    <xf numFmtId="0" fontId="15" fillId="0" borderId="27" xfId="0" applyFont="1" applyBorder="1" applyAlignment="1">
      <alignment horizontal="center"/>
    </xf>
    <xf numFmtId="0" fontId="34" fillId="4" borderId="85" xfId="0" applyFont="1" applyFill="1" applyBorder="1" applyAlignment="1">
      <alignment horizontal="left"/>
    </xf>
    <xf numFmtId="0" fontId="0" fillId="11" borderId="84" xfId="0" applyFill="1" applyBorder="1" applyAlignment="1">
      <alignment horizontal="center"/>
    </xf>
    <xf numFmtId="0" fontId="0" fillId="4" borderId="87" xfId="0" applyFill="1" applyBorder="1" applyAlignment="1">
      <alignment horizontal="center"/>
    </xf>
    <xf numFmtId="14" fontId="32" fillId="4" borderId="20" xfId="0" applyNumberFormat="1" applyFont="1" applyFill="1" applyBorder="1" applyAlignment="1">
      <alignment horizontal="center"/>
    </xf>
    <xf numFmtId="0" fontId="41" fillId="0" borderId="14" xfId="0" applyFont="1" applyBorder="1"/>
    <xf numFmtId="0" fontId="14" fillId="0" borderId="20" xfId="0" applyFont="1" applyBorder="1" applyAlignment="1">
      <alignment horizontal="left"/>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238159722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23816087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23816087966"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2381608796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23816319443"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n v="2811"/>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n v="752"/>
    <m/>
    <s v="5 Toby Boxes / 5 Daps / 10 Splices"/>
    <x v="11"/>
  </r>
  <r>
    <s v="D-HWP817"/>
    <x v="6"/>
    <d v="2025-12-15T00:00:00"/>
    <m/>
    <m/>
    <m/>
    <x v="11"/>
  </r>
  <r>
    <s v="D-HWP808-1"/>
    <x v="5"/>
    <d v="2025-12-15T00:00:00"/>
    <n v="1095"/>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s v="D-HSH222"/>
    <x v="5"/>
    <d v="2025-12-15T00:00:00"/>
    <m/>
    <m/>
    <s v="1 FDH / 1 H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306"/>
    <x v="5"/>
    <x v="218"/>
    <m/>
    <m/>
    <m/>
  </r>
  <r>
    <x v="260"/>
    <x v="5"/>
    <x v="218"/>
    <m/>
    <m/>
    <m/>
  </r>
  <r>
    <x v="308"/>
    <x v="5"/>
    <x v="218"/>
    <n v="2811"/>
    <m/>
    <m/>
  </r>
  <r>
    <x v="307"/>
    <x v="5"/>
    <x v="218"/>
    <m/>
    <m/>
    <m/>
  </r>
  <r>
    <x v="145"/>
    <x v="27"/>
    <x v="219"/>
    <m/>
    <m/>
    <m/>
  </r>
  <r>
    <x v="293"/>
    <x v="46"/>
    <x v="219"/>
    <m/>
    <m/>
    <s v="Proofing Hub 1,2, and 3"/>
  </r>
  <r>
    <x v="243"/>
    <x v="46"/>
    <x v="219"/>
    <m/>
    <m/>
    <m/>
  </r>
  <r>
    <x v="243"/>
    <x v="32"/>
    <x v="219"/>
    <m/>
    <m/>
    <m/>
  </r>
  <r>
    <x v="300"/>
    <x v="36"/>
    <x v="219"/>
    <n v="752"/>
    <m/>
    <s v="5 Toby Boxes / 5 Daps / 10 Splices"/>
  </r>
  <r>
    <x v="310"/>
    <x v="6"/>
    <x v="219"/>
    <m/>
    <m/>
    <m/>
  </r>
  <r>
    <x v="312"/>
    <x v="5"/>
    <x v="219"/>
    <n v="1095"/>
    <m/>
    <m/>
  </r>
  <r>
    <x v="313"/>
    <x v="5"/>
    <x v="219"/>
    <m/>
    <m/>
    <m/>
  </r>
  <r>
    <x v="263"/>
    <x v="5"/>
    <x v="219"/>
    <m/>
    <m/>
    <s v="1 FDH / 1 HH / 1 Swing Arm / 1 Ground Rod"/>
  </r>
  <r>
    <x v="314"/>
    <x v="35"/>
    <x v="219"/>
    <m/>
    <m/>
    <m/>
  </r>
  <r>
    <x v="311"/>
    <x v="27"/>
    <x v="219"/>
    <m/>
    <m/>
    <m/>
  </r>
  <r>
    <x v="315"/>
    <x v="45"/>
    <x v="219"/>
    <m/>
    <m/>
    <m/>
  </r>
  <r>
    <x v="306"/>
    <x v="5"/>
    <x v="219"/>
    <m/>
    <m/>
    <m/>
  </r>
  <r>
    <x v="242"/>
    <x v="5"/>
    <x v="219"/>
    <m/>
    <m/>
    <s v="1 FDH / 1 HH / 1 Swing Arm / 1 Ground Rod"/>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AC28" activePane="topRight" state="frozen"/>
      <selection pane="topRight" activeCell="AD30" sqref="AD3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1520</v>
      </c>
      <c r="X4" s="1212">
        <f t="shared" si="0"/>
        <v>2276</v>
      </c>
      <c r="Y4" s="662">
        <f t="shared" si="1"/>
        <v>0.40042149631190727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212">
        <v>23245</v>
      </c>
      <c r="X15" s="1212">
        <f t="shared" si="0"/>
        <v>-858</v>
      </c>
      <c r="Y15" s="863">
        <f t="shared" si="1"/>
        <v>1.0383258140885334</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5142</v>
      </c>
      <c r="X19" s="1212">
        <f>SUM(V19-W19)</f>
        <v>2853</v>
      </c>
      <c r="Y19" s="863">
        <f t="shared" si="2"/>
        <v>0.64315196998123825</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5"/>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58</v>
      </c>
      <c r="Q30" s="1211">
        <v>45994</v>
      </c>
      <c r="R30" s="1211"/>
      <c r="S30" s="1211"/>
      <c r="T30" s="1211"/>
      <c r="U30" s="1211"/>
      <c r="V30" s="788">
        <v>3885</v>
      </c>
      <c r="W30" s="1341">
        <v>1095</v>
      </c>
      <c r="X30" s="1212">
        <f>SUM(V30-W30)</f>
        <v>2790</v>
      </c>
      <c r="Y30" s="662">
        <f t="shared" si="1"/>
        <v>0.28185328185328185</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1351</v>
      </c>
      <c r="X31" s="1212">
        <f t="shared" si="3"/>
        <v>1494</v>
      </c>
      <c r="Y31" s="662">
        <f t="shared" si="1"/>
        <v>0.47486818980667839</v>
      </c>
      <c r="Z31" s="1213"/>
      <c r="AA31" s="1214">
        <v>0</v>
      </c>
      <c r="AB31" s="1214">
        <v>0</v>
      </c>
      <c r="AC31" s="645">
        <v>0</v>
      </c>
      <c r="AD31" s="1215" t="s">
        <v>143</v>
      </c>
      <c r="AE31" s="1242"/>
    </row>
    <row r="32" spans="1:31" ht="24.75" customHeight="1">
      <c r="A32" s="1205" t="s">
        <v>144</v>
      </c>
      <c r="B32" s="1207" t="s">
        <v>117</v>
      </c>
      <c r="C32" s="1206">
        <v>46010</v>
      </c>
      <c r="D32" s="1206" t="s">
        <v>141</v>
      </c>
      <c r="E32" s="1206">
        <v>45974</v>
      </c>
      <c r="F32" s="1207" t="s">
        <v>118</v>
      </c>
      <c r="G32" s="1207" t="s">
        <v>145</v>
      </c>
      <c r="H32" s="1208">
        <v>68</v>
      </c>
      <c r="I32" s="661" t="s">
        <v>55</v>
      </c>
      <c r="J32" s="1208" t="s">
        <v>63</v>
      </c>
      <c r="K32" s="1208"/>
      <c r="L32" s="1206">
        <v>45936</v>
      </c>
      <c r="M32" s="1208" t="s">
        <v>57</v>
      </c>
      <c r="N32" s="1209">
        <v>37755.599999999999</v>
      </c>
      <c r="O32" s="1208" t="s">
        <v>57</v>
      </c>
      <c r="P32" s="1210" t="s">
        <v>64</v>
      </c>
      <c r="Q32" s="1211">
        <v>45936</v>
      </c>
      <c r="R32" s="1258"/>
      <c r="S32" s="1258"/>
      <c r="T32" s="1258"/>
      <c r="U32" s="1258"/>
      <c r="V32" s="1212">
        <v>2783</v>
      </c>
      <c r="W32" s="1212">
        <v>2584</v>
      </c>
      <c r="X32" s="1212">
        <f t="shared" si="3"/>
        <v>199</v>
      </c>
      <c r="Y32" s="662">
        <f t="shared" si="1"/>
        <v>0.928494430470715</v>
      </c>
      <c r="Z32" s="1213"/>
      <c r="AA32" s="1214">
        <v>0</v>
      </c>
      <c r="AB32" s="1214">
        <v>0</v>
      </c>
      <c r="AC32" s="645">
        <v>0</v>
      </c>
      <c r="AD32" s="1215" t="s">
        <v>146</v>
      </c>
      <c r="AE32" s="1242"/>
    </row>
    <row r="33" spans="1:31" ht="24.75" customHeight="1">
      <c r="A33" s="1205" t="s">
        <v>147</v>
      </c>
      <c r="B33" s="1207" t="s">
        <v>117</v>
      </c>
      <c r="C33" s="1206">
        <v>46010</v>
      </c>
      <c r="D33" s="1206" t="s">
        <v>141</v>
      </c>
      <c r="E33" s="1206">
        <v>45974</v>
      </c>
      <c r="F33" s="1207" t="s">
        <v>118</v>
      </c>
      <c r="G33" s="1207" t="s">
        <v>148</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149</v>
      </c>
      <c r="AE33" s="1242"/>
    </row>
    <row r="34" spans="1:31" ht="24.75" customHeight="1">
      <c r="A34" s="1205" t="s">
        <v>150</v>
      </c>
      <c r="B34" s="1207" t="s">
        <v>117</v>
      </c>
      <c r="C34" s="1206">
        <v>46006</v>
      </c>
      <c r="D34" s="1206" t="s">
        <v>137</v>
      </c>
      <c r="E34" s="1206">
        <v>45999</v>
      </c>
      <c r="F34" s="1207" t="s">
        <v>118</v>
      </c>
      <c r="G34" s="1207" t="s">
        <v>151</v>
      </c>
      <c r="H34" s="1208">
        <v>87</v>
      </c>
      <c r="I34" s="661" t="s">
        <v>55</v>
      </c>
      <c r="J34" s="1208" t="s">
        <v>63</v>
      </c>
      <c r="K34" s="1208"/>
      <c r="L34" s="1206">
        <v>45999</v>
      </c>
      <c r="M34" s="1208" t="s">
        <v>57</v>
      </c>
      <c r="N34" s="1209">
        <v>74384</v>
      </c>
      <c r="O34" s="1208" t="s">
        <v>57</v>
      </c>
      <c r="P34" s="1210" t="s">
        <v>58</v>
      </c>
      <c r="Q34" s="1259">
        <v>45999</v>
      </c>
      <c r="R34" s="1260"/>
      <c r="S34" s="1258"/>
      <c r="T34" s="1258"/>
      <c r="U34" s="1258"/>
      <c r="V34" s="1212">
        <v>6130</v>
      </c>
      <c r="W34" s="1212"/>
      <c r="X34" s="1212">
        <f t="shared" si="3"/>
        <v>6130</v>
      </c>
      <c r="Y34" s="662">
        <f t="shared" si="1"/>
        <v>0</v>
      </c>
      <c r="Z34" s="1231">
        <v>46006</v>
      </c>
      <c r="AA34" s="1214">
        <v>0</v>
      </c>
      <c r="AB34" s="1214">
        <v>0</v>
      </c>
      <c r="AC34" s="645">
        <v>0</v>
      </c>
      <c r="AD34" s="1215" t="s">
        <v>152</v>
      </c>
      <c r="AE34" s="1242"/>
    </row>
    <row r="35" spans="1:31" ht="24.75" customHeight="1">
      <c r="A35" s="1257" t="s">
        <v>153</v>
      </c>
      <c r="B35" s="1207" t="s">
        <v>117</v>
      </c>
      <c r="C35" s="1206">
        <v>46006</v>
      </c>
      <c r="D35" s="1206" t="s">
        <v>137</v>
      </c>
      <c r="E35" s="1206">
        <v>46006</v>
      </c>
      <c r="F35" s="1207" t="s">
        <v>118</v>
      </c>
      <c r="G35" s="1207" t="s">
        <v>154</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155</v>
      </c>
      <c r="AE35" s="1262"/>
    </row>
    <row r="36" spans="1:31" ht="24.75" customHeight="1">
      <c r="A36" s="1257" t="s">
        <v>156</v>
      </c>
      <c r="B36" s="1207" t="s">
        <v>117</v>
      </c>
      <c r="C36" s="1226">
        <v>45838</v>
      </c>
      <c r="D36" s="1206"/>
      <c r="E36" s="1206"/>
      <c r="F36" s="1207"/>
      <c r="G36" s="1207" t="s">
        <v>157</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158</v>
      </c>
      <c r="B37" s="1207" t="s">
        <v>117</v>
      </c>
      <c r="C37" s="1206">
        <v>46006</v>
      </c>
      <c r="D37" s="1206"/>
      <c r="E37" s="1206"/>
      <c r="F37" s="1207" t="s">
        <v>138</v>
      </c>
      <c r="G37" s="1207" t="s">
        <v>159</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160</v>
      </c>
      <c r="AE37" s="1242"/>
    </row>
    <row r="38" spans="1:31" ht="24.75" customHeight="1">
      <c r="A38" s="1257" t="s">
        <v>161</v>
      </c>
      <c r="B38" s="1207" t="s">
        <v>117</v>
      </c>
      <c r="C38" s="1206">
        <v>46006</v>
      </c>
      <c r="D38" s="1206"/>
      <c r="E38" s="1206"/>
      <c r="F38" s="1207" t="s">
        <v>138</v>
      </c>
      <c r="G38" s="1207" t="s">
        <v>162</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163</v>
      </c>
      <c r="AE38" s="1242"/>
    </row>
    <row r="39" spans="1:31" ht="24.75" customHeight="1">
      <c r="A39" s="1257" t="s">
        <v>164</v>
      </c>
      <c r="B39" s="1207" t="s">
        <v>117</v>
      </c>
      <c r="C39" s="1206">
        <v>46006</v>
      </c>
      <c r="D39" s="1206"/>
      <c r="E39" s="1206"/>
      <c r="F39" s="1207" t="s">
        <v>138</v>
      </c>
      <c r="G39" s="1207" t="s">
        <v>165</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166</v>
      </c>
      <c r="AE39" s="1242"/>
    </row>
    <row r="40" spans="1:31" ht="24.75" customHeight="1">
      <c r="A40" s="1257" t="s">
        <v>167</v>
      </c>
      <c r="B40" s="1207" t="s">
        <v>117</v>
      </c>
      <c r="C40" s="1206">
        <v>46006</v>
      </c>
      <c r="D40" s="1206"/>
      <c r="E40" s="1206"/>
      <c r="F40" s="1207" t="s">
        <v>138</v>
      </c>
      <c r="G40" s="1207" t="s">
        <v>168</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160</v>
      </c>
      <c r="AE40" s="1242"/>
    </row>
    <row r="41" spans="1:31" ht="24.75" customHeight="1">
      <c r="A41" s="1257" t="s">
        <v>169</v>
      </c>
      <c r="B41" s="1207" t="s">
        <v>117</v>
      </c>
      <c r="C41" s="1206">
        <v>46006</v>
      </c>
      <c r="D41" s="1206"/>
      <c r="E41" s="1206"/>
      <c r="F41" s="1207" t="s">
        <v>138</v>
      </c>
      <c r="G41" s="1207" t="s">
        <v>170</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160</v>
      </c>
      <c r="AE41" s="1242"/>
    </row>
    <row r="42" spans="1:31" ht="24.75" customHeight="1">
      <c r="A42" s="1257" t="s">
        <v>171</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172</v>
      </c>
      <c r="AE42" s="1242"/>
    </row>
    <row r="43" spans="1:31" ht="24.75" customHeight="1">
      <c r="A43" s="1257" t="s">
        <v>173</v>
      </c>
      <c r="B43" s="1207" t="s">
        <v>117</v>
      </c>
      <c r="C43" s="1206">
        <v>46001</v>
      </c>
      <c r="D43" s="1206" t="s">
        <v>174</v>
      </c>
      <c r="E43" s="1206">
        <v>45965</v>
      </c>
      <c r="F43" s="1207" t="s">
        <v>118</v>
      </c>
      <c r="G43" s="1207" t="s">
        <v>175</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176</v>
      </c>
      <c r="AE43" s="1242"/>
    </row>
    <row r="44" spans="1:31" ht="24.75" customHeight="1">
      <c r="A44" s="1257" t="s">
        <v>177</v>
      </c>
      <c r="B44" s="1207" t="s">
        <v>117</v>
      </c>
      <c r="C44" s="1206">
        <v>46001</v>
      </c>
      <c r="D44" s="1206" t="s">
        <v>174</v>
      </c>
      <c r="E44" s="1206">
        <v>45965</v>
      </c>
      <c r="F44" s="1207" t="s">
        <v>118</v>
      </c>
      <c r="G44" s="1207" t="s">
        <v>178</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176</v>
      </c>
      <c r="AE44" s="1242"/>
    </row>
    <row r="45" spans="1:31" ht="24.75" customHeight="1">
      <c r="A45" s="1257" t="s">
        <v>179</v>
      </c>
      <c r="B45" s="1207" t="s">
        <v>117</v>
      </c>
      <c r="C45" s="1206">
        <v>46039</v>
      </c>
      <c r="D45" s="1206"/>
      <c r="E45" s="1206"/>
      <c r="F45" s="1207"/>
      <c r="G45" s="1207" t="s">
        <v>180</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181</v>
      </c>
      <c r="AE45" s="1242"/>
    </row>
    <row r="46" spans="1:31" ht="24.75" customHeight="1">
      <c r="A46" s="1205" t="s">
        <v>182</v>
      </c>
      <c r="B46" s="1207" t="s">
        <v>117</v>
      </c>
      <c r="C46" s="1206">
        <v>46006</v>
      </c>
      <c r="D46" s="1206" t="s">
        <v>137</v>
      </c>
      <c r="E46" s="1206">
        <v>45936</v>
      </c>
      <c r="F46" s="1207" t="s">
        <v>118</v>
      </c>
      <c r="G46" s="1207" t="s">
        <v>183</v>
      </c>
      <c r="H46" s="1208">
        <v>0</v>
      </c>
      <c r="I46" s="661" t="s">
        <v>55</v>
      </c>
      <c r="J46" s="1208" t="s">
        <v>63</v>
      </c>
      <c r="K46" s="1208"/>
      <c r="L46" s="1206" t="s">
        <v>184</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185</v>
      </c>
      <c r="AE46" s="1242"/>
    </row>
    <row r="47" spans="1:31" ht="24.75" customHeight="1">
      <c r="A47" s="1257" t="s">
        <v>186</v>
      </c>
      <c r="B47" s="1207" t="s">
        <v>117</v>
      </c>
      <c r="C47" s="1206">
        <v>46066</v>
      </c>
      <c r="D47" s="1206"/>
      <c r="E47" s="1206"/>
      <c r="F47" s="642" t="s">
        <v>187</v>
      </c>
      <c r="G47" s="1207" t="s">
        <v>188</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155</v>
      </c>
    </row>
    <row r="48" spans="1:31" ht="24.75" customHeight="1">
      <c r="A48" s="1257" t="s">
        <v>189</v>
      </c>
      <c r="B48" s="1207" t="s">
        <v>117</v>
      </c>
      <c r="C48" s="1206">
        <v>46047</v>
      </c>
      <c r="D48" s="1206"/>
      <c r="E48" s="1206"/>
      <c r="F48" s="642" t="s">
        <v>187</v>
      </c>
      <c r="G48" s="1207" t="s">
        <v>190</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191</v>
      </c>
    </row>
    <row r="49" spans="1:32" ht="24.75" customHeight="1">
      <c r="A49" s="1257" t="s">
        <v>192</v>
      </c>
      <c r="B49" s="1207" t="s">
        <v>117</v>
      </c>
      <c r="C49" s="1206"/>
      <c r="D49" s="1206"/>
      <c r="E49" s="1206"/>
      <c r="F49" s="642" t="s">
        <v>187</v>
      </c>
      <c r="G49" s="1207" t="s">
        <v>193</v>
      </c>
      <c r="H49" s="1208">
        <v>0</v>
      </c>
      <c r="I49" s="1208" t="s">
        <v>55</v>
      </c>
      <c r="J49" s="1208" t="s">
        <v>90</v>
      </c>
      <c r="K49" s="1208" t="s">
        <v>120</v>
      </c>
      <c r="L49" s="1207" t="s">
        <v>184</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194</v>
      </c>
    </row>
    <row r="50" spans="1:32" ht="24.75" customHeight="1">
      <c r="A50" s="1257" t="s">
        <v>195</v>
      </c>
      <c r="B50" s="1207" t="s">
        <v>117</v>
      </c>
      <c r="C50" s="1206">
        <v>46053</v>
      </c>
      <c r="D50" s="1206"/>
      <c r="E50" s="1206"/>
      <c r="F50" s="1207" t="s">
        <v>138</v>
      </c>
      <c r="G50" s="1207" t="s">
        <v>196</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197</v>
      </c>
      <c r="B51" s="1207" t="s">
        <v>117</v>
      </c>
      <c r="C51" s="1206">
        <v>46031</v>
      </c>
      <c r="D51" s="1206" t="s">
        <v>137</v>
      </c>
      <c r="E51" s="1206">
        <v>46002</v>
      </c>
      <c r="F51" s="1207" t="s">
        <v>138</v>
      </c>
      <c r="G51" s="1207" t="s">
        <v>198</v>
      </c>
      <c r="H51" s="1208">
        <v>0</v>
      </c>
      <c r="I51" s="1208" t="s">
        <v>55</v>
      </c>
      <c r="J51" s="1208" t="s">
        <v>63</v>
      </c>
      <c r="K51" s="1208"/>
      <c r="L51" s="1206" t="s">
        <v>184</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199</v>
      </c>
    </row>
    <row r="52" spans="1:32" ht="24.75" customHeight="1">
      <c r="A52" s="1205" t="s">
        <v>200</v>
      </c>
      <c r="B52" s="1207" t="s">
        <v>117</v>
      </c>
      <c r="C52" s="1206">
        <v>46031</v>
      </c>
      <c r="D52" s="1206" t="s">
        <v>201</v>
      </c>
      <c r="E52" s="1206"/>
      <c r="F52" s="1207" t="s">
        <v>53</v>
      </c>
      <c r="G52" s="1207" t="s">
        <v>202</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203</v>
      </c>
    </row>
    <row r="53" spans="1:32" ht="24.75" customHeight="1">
      <c r="A53" s="1257" t="s">
        <v>204</v>
      </c>
      <c r="B53" s="1207" t="s">
        <v>117</v>
      </c>
      <c r="C53" s="1206">
        <v>46020</v>
      </c>
      <c r="D53" s="1206"/>
      <c r="E53" s="1206"/>
      <c r="F53" s="1207" t="s">
        <v>118</v>
      </c>
      <c r="G53" s="1207" t="s">
        <v>205</v>
      </c>
      <c r="H53" s="1208">
        <v>0</v>
      </c>
      <c r="I53" s="1208" t="s">
        <v>55</v>
      </c>
      <c r="J53" s="1208" t="s">
        <v>90</v>
      </c>
      <c r="K53" s="1208" t="s">
        <v>120</v>
      </c>
      <c r="L53" s="1207"/>
      <c r="M53" s="1208" t="s">
        <v>57</v>
      </c>
      <c r="N53" s="1209">
        <v>17916.55</v>
      </c>
      <c r="O53" s="1208" t="s">
        <v>57</v>
      </c>
      <c r="P53" s="1210" t="s">
        <v>58</v>
      </c>
      <c r="Q53" s="1211"/>
      <c r="R53" s="1211"/>
      <c r="S53" s="1211"/>
      <c r="T53" s="1211"/>
      <c r="U53" s="1211"/>
      <c r="V53" s="965">
        <v>1433</v>
      </c>
      <c r="W53" s="965"/>
      <c r="X53" s="1212">
        <f t="shared" si="3"/>
        <v>1433</v>
      </c>
      <c r="Y53" s="662">
        <f t="shared" si="4"/>
        <v>0</v>
      </c>
      <c r="Z53" s="1250"/>
      <c r="AA53" s="1214">
        <v>0</v>
      </c>
      <c r="AB53" s="1214">
        <v>0</v>
      </c>
      <c r="AC53" s="1212">
        <v>0</v>
      </c>
      <c r="AD53" s="1268" t="s">
        <v>206</v>
      </c>
    </row>
    <row r="54" spans="1:32" ht="24.75" customHeight="1">
      <c r="A54" s="1257" t="s">
        <v>207</v>
      </c>
      <c r="B54" s="1207" t="s">
        <v>117</v>
      </c>
      <c r="C54" s="1206">
        <v>46031</v>
      </c>
      <c r="D54" s="1206"/>
      <c r="E54" s="1206">
        <v>45866</v>
      </c>
      <c r="F54" s="1207" t="s">
        <v>118</v>
      </c>
      <c r="G54" s="1207" t="s">
        <v>208</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209</v>
      </c>
    </row>
    <row r="55" spans="1:32" ht="24.75" customHeight="1">
      <c r="A55" s="1257" t="s">
        <v>210</v>
      </c>
      <c r="B55" s="1207" t="s">
        <v>117</v>
      </c>
      <c r="C55" s="1206"/>
      <c r="D55" s="1206"/>
      <c r="E55" s="1206"/>
      <c r="F55" s="1207" t="s">
        <v>118</v>
      </c>
      <c r="G55" s="1207" t="s">
        <v>211</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212</v>
      </c>
      <c r="AF55" s="1272"/>
    </row>
    <row r="56" spans="1:32" ht="24.75" customHeight="1">
      <c r="A56" s="1205" t="s">
        <v>213</v>
      </c>
      <c r="B56" s="1207" t="s">
        <v>117</v>
      </c>
      <c r="C56" s="1206">
        <v>46010</v>
      </c>
      <c r="D56" s="1206" t="s">
        <v>137</v>
      </c>
      <c r="E56" s="1206">
        <v>46002</v>
      </c>
      <c r="F56" s="1207" t="s">
        <v>118</v>
      </c>
      <c r="G56" s="1207" t="s">
        <v>214</v>
      </c>
      <c r="H56" s="1208">
        <v>0</v>
      </c>
      <c r="I56" s="661" t="s">
        <v>55</v>
      </c>
      <c r="J56" s="1208" t="s">
        <v>63</v>
      </c>
      <c r="K56" s="1208"/>
      <c r="L56" s="1206" t="s">
        <v>184</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215</v>
      </c>
      <c r="AF56" s="1272"/>
    </row>
    <row r="57" spans="1:32" ht="24.75" customHeight="1">
      <c r="A57" s="1205" t="s">
        <v>216</v>
      </c>
      <c r="B57" s="1207" t="s">
        <v>117</v>
      </c>
      <c r="C57" s="1206">
        <v>46003</v>
      </c>
      <c r="D57" s="1206" t="s">
        <v>137</v>
      </c>
      <c r="E57" s="1206">
        <v>46002</v>
      </c>
      <c r="F57" s="1207" t="s">
        <v>138</v>
      </c>
      <c r="G57" s="1207"/>
      <c r="H57" s="1208">
        <v>0</v>
      </c>
      <c r="I57" s="1208" t="s">
        <v>55</v>
      </c>
      <c r="J57" s="1208" t="s">
        <v>63</v>
      </c>
      <c r="K57" s="1208"/>
      <c r="L57" s="1206" t="s">
        <v>184</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217</v>
      </c>
      <c r="AF57" s="1272"/>
    </row>
    <row r="58" spans="1:32" ht="24.75" customHeight="1">
      <c r="A58" s="1205" t="s">
        <v>218</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219</v>
      </c>
      <c r="AF58" s="1272"/>
    </row>
    <row r="59" spans="1:32" ht="24.75" customHeight="1">
      <c r="A59" s="1205" t="s">
        <v>220</v>
      </c>
      <c r="B59" s="1207" t="s">
        <v>117</v>
      </c>
      <c r="C59" s="1206">
        <v>46203</v>
      </c>
      <c r="D59" s="1207" t="s">
        <v>51</v>
      </c>
      <c r="E59" s="1206"/>
      <c r="F59" s="1207" t="s">
        <v>53</v>
      </c>
      <c r="G59" s="1207" t="s">
        <v>221</v>
      </c>
      <c r="H59" s="1208">
        <v>0</v>
      </c>
      <c r="I59" s="661" t="s">
        <v>55</v>
      </c>
      <c r="J59" s="1208" t="s">
        <v>56</v>
      </c>
      <c r="K59" s="1208"/>
      <c r="L59" s="1206" t="s">
        <v>184</v>
      </c>
      <c r="M59" s="1208" t="s">
        <v>57</v>
      </c>
      <c r="N59" s="1209">
        <v>388</v>
      </c>
      <c r="O59" s="1208" t="s">
        <v>57</v>
      </c>
      <c r="P59" s="1210" t="s">
        <v>58</v>
      </c>
      <c r="Q59" s="1273" t="s">
        <v>184</v>
      </c>
      <c r="R59" s="1265"/>
      <c r="S59" s="1211"/>
      <c r="T59" s="1211"/>
      <c r="U59" s="1211"/>
      <c r="V59" s="788">
        <v>0</v>
      </c>
      <c r="W59" s="788"/>
      <c r="X59" s="1212">
        <f t="shared" si="3"/>
        <v>0</v>
      </c>
      <c r="Y59" s="662">
        <f t="shared" si="4"/>
        <v>0</v>
      </c>
      <c r="Z59" s="1250"/>
      <c r="AA59" s="1214">
        <v>0</v>
      </c>
      <c r="AB59" s="1214">
        <v>0</v>
      </c>
      <c r="AC59" s="1212">
        <v>0</v>
      </c>
      <c r="AD59" s="1246" t="s">
        <v>222</v>
      </c>
      <c r="AF59" s="1272"/>
    </row>
    <row r="60" spans="1:32" ht="24.75" customHeight="1">
      <c r="A60" s="1257" t="s">
        <v>223</v>
      </c>
      <c r="B60" s="1207" t="s">
        <v>117</v>
      </c>
      <c r="C60" s="1226">
        <v>46041</v>
      </c>
      <c r="D60" s="1206"/>
      <c r="E60" s="1206"/>
      <c r="F60" s="1207"/>
      <c r="G60" s="1207" t="s">
        <v>224</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225</v>
      </c>
      <c r="AE60" s="1274"/>
      <c r="AF60" s="1272"/>
    </row>
    <row r="61" spans="1:32" ht="24.75" customHeight="1">
      <c r="A61" s="1257" t="s">
        <v>226</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227</v>
      </c>
      <c r="AE61" s="1274"/>
      <c r="AF61" s="1272"/>
    </row>
    <row r="62" spans="1:32" ht="24.75" customHeight="1">
      <c r="A62" s="1205" t="s">
        <v>228</v>
      </c>
      <c r="B62" s="681" t="s">
        <v>117</v>
      </c>
      <c r="C62" s="1206">
        <v>46015</v>
      </c>
      <c r="D62" s="1206" t="s">
        <v>229</v>
      </c>
      <c r="E62" s="1206">
        <v>45965</v>
      </c>
      <c r="F62" s="1207" t="s">
        <v>118</v>
      </c>
      <c r="G62" s="1207" t="s">
        <v>230</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231</v>
      </c>
      <c r="AE62" s="1274"/>
      <c r="AF62" s="1272"/>
    </row>
    <row r="63" spans="1:32" ht="24.75" customHeight="1">
      <c r="A63" s="1205" t="s">
        <v>232</v>
      </c>
      <c r="B63" s="681" t="s">
        <v>117</v>
      </c>
      <c r="C63" s="1206">
        <v>46020</v>
      </c>
      <c r="D63" s="1206" t="s">
        <v>233</v>
      </c>
      <c r="E63" s="1206">
        <v>45978</v>
      </c>
      <c r="F63" s="1207" t="s">
        <v>138</v>
      </c>
      <c r="G63" s="1207" t="s">
        <v>234</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8065</v>
      </c>
      <c r="W63" s="1344">
        <v>7642</v>
      </c>
      <c r="X63" s="1212">
        <f>SUM(V63-W63)</f>
        <v>423</v>
      </c>
      <c r="Y63" s="863">
        <f t="shared" si="4"/>
        <v>0.94755114693118414</v>
      </c>
      <c r="Z63" s="1231">
        <v>45985</v>
      </c>
      <c r="AA63" s="1214">
        <v>0</v>
      </c>
      <c r="AB63" s="1214">
        <v>0</v>
      </c>
      <c r="AC63" s="1212">
        <v>0</v>
      </c>
      <c r="AD63" s="1215" t="s">
        <v>235</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236</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237</v>
      </c>
      <c r="B67" s="831" t="s">
        <v>238</v>
      </c>
      <c r="C67" s="1206">
        <v>46039</v>
      </c>
      <c r="D67" s="1206" t="s">
        <v>72</v>
      </c>
      <c r="E67" s="1206">
        <v>45966</v>
      </c>
      <c r="F67" s="1206" t="s">
        <v>239</v>
      </c>
      <c r="G67" s="1207" t="s">
        <v>240</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4" si="5">SUM(V67-W67)</f>
        <v>6210</v>
      </c>
      <c r="Y67" s="662">
        <f t="shared" ref="Y67:Y104" si="6">IFERROR($W67/$V67, 0)</f>
        <v>0</v>
      </c>
      <c r="Z67" s="1213"/>
      <c r="AA67" s="1214">
        <v>0</v>
      </c>
      <c r="AB67" s="1214">
        <v>0</v>
      </c>
      <c r="AC67" s="1232">
        <v>0</v>
      </c>
      <c r="AD67" s="1215" t="s">
        <v>241</v>
      </c>
      <c r="AE67" s="1274"/>
      <c r="AF67" s="1272"/>
    </row>
    <row r="68" spans="1:56" ht="24.75" customHeight="1">
      <c r="A68" s="1205" t="s">
        <v>242</v>
      </c>
      <c r="B68" s="831" t="s">
        <v>238</v>
      </c>
      <c r="C68" s="1206">
        <v>46039</v>
      </c>
      <c r="D68" s="1206" t="s">
        <v>72</v>
      </c>
      <c r="E68" s="1206">
        <v>45966</v>
      </c>
      <c r="F68" s="1206" t="s">
        <v>239</v>
      </c>
      <c r="G68" s="1207" t="s">
        <v>243</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244</v>
      </c>
      <c r="AE68" s="1274"/>
      <c r="AF68" s="1272"/>
    </row>
    <row r="69" spans="1:56" ht="24.75" customHeight="1">
      <c r="A69" s="1205" t="s">
        <v>245</v>
      </c>
      <c r="B69" s="831" t="s">
        <v>238</v>
      </c>
      <c r="C69" s="1206">
        <v>45987</v>
      </c>
      <c r="D69" s="1227" t="s">
        <v>51</v>
      </c>
      <c r="E69" s="1226"/>
      <c r="F69" s="1227" t="s">
        <v>53</v>
      </c>
      <c r="G69" s="1227" t="s">
        <v>246</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247</v>
      </c>
      <c r="AE69" s="1274"/>
      <c r="AF69" s="1272"/>
    </row>
    <row r="70" spans="1:56" ht="24.75" customHeight="1">
      <c r="A70" s="1205" t="s">
        <v>248</v>
      </c>
      <c r="B70" s="831" t="s">
        <v>238</v>
      </c>
      <c r="C70" s="1206">
        <v>46045</v>
      </c>
      <c r="D70" s="1206" t="s">
        <v>249</v>
      </c>
      <c r="E70" s="1206">
        <v>45980</v>
      </c>
      <c r="F70" s="1206" t="s">
        <v>250</v>
      </c>
      <c r="G70" s="1207" t="s">
        <v>251</v>
      </c>
      <c r="H70" s="1208">
        <v>82</v>
      </c>
      <c r="I70" s="1208" t="s">
        <v>55</v>
      </c>
      <c r="J70" s="1208" t="s">
        <v>63</v>
      </c>
      <c r="K70" s="1208"/>
      <c r="L70" s="1206"/>
      <c r="M70" s="1208" t="s">
        <v>57</v>
      </c>
      <c r="N70" s="1209">
        <v>56294</v>
      </c>
      <c r="O70" s="1208" t="s">
        <v>57</v>
      </c>
      <c r="P70" s="1210" t="s">
        <v>58</v>
      </c>
      <c r="Q70" s="1211"/>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252</v>
      </c>
      <c r="B71" s="831" t="s">
        <v>238</v>
      </c>
      <c r="C71" s="1206">
        <v>46045</v>
      </c>
      <c r="D71" s="1206"/>
      <c r="E71" s="1206"/>
      <c r="F71" s="1206"/>
      <c r="G71" s="1207" t="s">
        <v>253</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254</v>
      </c>
      <c r="AE71" s="1274"/>
    </row>
    <row r="72" spans="1:56" ht="24.75" customHeight="1">
      <c r="A72" s="1205" t="s">
        <v>255</v>
      </c>
      <c r="B72" s="831" t="s">
        <v>238</v>
      </c>
      <c r="C72" s="1206">
        <v>45999</v>
      </c>
      <c r="D72" s="1226" t="s">
        <v>72</v>
      </c>
      <c r="E72" s="1226">
        <v>45959</v>
      </c>
      <c r="F72" s="1227" t="s">
        <v>239</v>
      </c>
      <c r="G72" s="1226" t="s">
        <v>256</v>
      </c>
      <c r="H72" s="832">
        <v>69</v>
      </c>
      <c r="I72" s="1208" t="s">
        <v>55</v>
      </c>
      <c r="J72" s="1208" t="s">
        <v>63</v>
      </c>
      <c r="K72" s="1208"/>
      <c r="L72" s="1226">
        <v>45925</v>
      </c>
      <c r="M72" s="829" t="s">
        <v>57</v>
      </c>
      <c r="N72" s="833">
        <v>51632</v>
      </c>
      <c r="O72" s="829" t="s">
        <v>57</v>
      </c>
      <c r="P72" s="1241" t="s">
        <v>64</v>
      </c>
      <c r="Q72" s="1231">
        <v>45932</v>
      </c>
      <c r="R72" s="1231"/>
      <c r="S72" s="1231"/>
      <c r="T72" s="1231"/>
      <c r="U72" s="1231"/>
      <c r="V72" s="985">
        <v>3997</v>
      </c>
      <c r="W72" s="788">
        <v>3743</v>
      </c>
      <c r="X72" s="1212">
        <f t="shared" si="5"/>
        <v>254</v>
      </c>
      <c r="Y72" s="662">
        <f t="shared" si="6"/>
        <v>0.93645233925444082</v>
      </c>
      <c r="Z72" s="1231">
        <v>45960</v>
      </c>
      <c r="AA72" s="1214">
        <v>0</v>
      </c>
      <c r="AB72" s="1214">
        <v>0</v>
      </c>
      <c r="AC72" s="645">
        <v>0</v>
      </c>
      <c r="AD72" s="1215" t="s">
        <v>257</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258</v>
      </c>
      <c r="B73" s="831" t="s">
        <v>238</v>
      </c>
      <c r="C73" s="1206">
        <v>45999</v>
      </c>
      <c r="D73" s="1226" t="s">
        <v>259</v>
      </c>
      <c r="E73" s="1226">
        <v>45964</v>
      </c>
      <c r="F73" s="1227" t="s">
        <v>260</v>
      </c>
      <c r="G73" s="1226" t="s">
        <v>261</v>
      </c>
      <c r="H73" s="832">
        <v>81</v>
      </c>
      <c r="I73" s="1208" t="s">
        <v>55</v>
      </c>
      <c r="J73" s="1208" t="s">
        <v>63</v>
      </c>
      <c r="K73" s="1208"/>
      <c r="L73" s="1226"/>
      <c r="M73" s="829" t="s">
        <v>57</v>
      </c>
      <c r="N73" s="833">
        <v>68962</v>
      </c>
      <c r="O73" s="829" t="s">
        <v>57</v>
      </c>
      <c r="P73" s="1241" t="s">
        <v>69</v>
      </c>
      <c r="Q73" s="1231">
        <v>45932</v>
      </c>
      <c r="R73" s="1231"/>
      <c r="S73" s="1231"/>
      <c r="T73" s="1231"/>
      <c r="U73" s="1231"/>
      <c r="V73" s="985">
        <v>5333</v>
      </c>
      <c r="W73" s="788"/>
      <c r="X73" s="1212">
        <f t="shared" si="5"/>
        <v>5333</v>
      </c>
      <c r="Y73" s="662">
        <f t="shared" si="6"/>
        <v>0</v>
      </c>
      <c r="Z73" s="1213"/>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263</v>
      </c>
      <c r="B74" s="831" t="s">
        <v>238</v>
      </c>
      <c r="C74" s="1206">
        <v>45999</v>
      </c>
      <c r="D74" s="1226" t="s">
        <v>249</v>
      </c>
      <c r="E74" s="1226">
        <v>45975</v>
      </c>
      <c r="F74" s="1227" t="s">
        <v>250</v>
      </c>
      <c r="G74" s="1226" t="s">
        <v>264</v>
      </c>
      <c r="H74" s="832">
        <v>48</v>
      </c>
      <c r="I74" s="1208" t="s">
        <v>55</v>
      </c>
      <c r="J74" s="1208" t="s">
        <v>63</v>
      </c>
      <c r="K74" s="1208"/>
      <c r="L74" s="1226"/>
      <c r="M74" s="829" t="s">
        <v>57</v>
      </c>
      <c r="N74" s="833">
        <v>39064</v>
      </c>
      <c r="O74" s="829" t="s">
        <v>57</v>
      </c>
      <c r="P74" s="1241" t="s">
        <v>69</v>
      </c>
      <c r="Q74" s="1231">
        <v>45932</v>
      </c>
      <c r="R74" s="1231"/>
      <c r="S74" s="1231"/>
      <c r="T74" s="1231"/>
      <c r="U74" s="1231"/>
      <c r="V74" s="985">
        <v>2982</v>
      </c>
      <c r="W74" s="788"/>
      <c r="X74" s="1212">
        <f t="shared" si="5"/>
        <v>2982</v>
      </c>
      <c r="Y74" s="662">
        <f t="shared" si="6"/>
        <v>0</v>
      </c>
      <c r="Z74" s="1213"/>
      <c r="AA74" s="1214">
        <v>0</v>
      </c>
      <c r="AB74" s="1214">
        <v>0</v>
      </c>
      <c r="AC74" s="645">
        <v>0</v>
      </c>
      <c r="AD74" s="1215" t="s">
        <v>265</v>
      </c>
      <c r="AE74" s="1277"/>
    </row>
    <row r="75" spans="1:56" ht="24.75" customHeight="1">
      <c r="A75" s="1257" t="s">
        <v>266</v>
      </c>
      <c r="B75" s="831" t="s">
        <v>238</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267</v>
      </c>
      <c r="AE75" s="1277"/>
    </row>
    <row r="76" spans="1:56" ht="24.75" customHeight="1">
      <c r="A76" s="1257" t="s">
        <v>268</v>
      </c>
      <c r="B76" s="831" t="s">
        <v>238</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269</v>
      </c>
      <c r="AE76" s="1277"/>
    </row>
    <row r="77" spans="1:56" ht="24.75" customHeight="1">
      <c r="A77" s="1257" t="s">
        <v>270</v>
      </c>
      <c r="B77" s="831" t="s">
        <v>238</v>
      </c>
      <c r="C77" s="1226">
        <v>46171</v>
      </c>
      <c r="D77" s="1226"/>
      <c r="E77" s="1226"/>
      <c r="F77" s="1227"/>
      <c r="G77" s="1226" t="s">
        <v>271</v>
      </c>
      <c r="H77" s="832">
        <v>70</v>
      </c>
      <c r="I77" s="829" t="s">
        <v>55</v>
      </c>
      <c r="J77" s="832" t="s">
        <v>63</v>
      </c>
      <c r="K77" s="1208" t="s">
        <v>77</v>
      </c>
      <c r="L77" s="1226"/>
      <c r="M77" s="829" t="s">
        <v>57</v>
      </c>
      <c r="N77" s="833">
        <v>80624</v>
      </c>
      <c r="O77" s="829" t="s">
        <v>57</v>
      </c>
      <c r="P77" s="1241" t="s">
        <v>58</v>
      </c>
      <c r="Q77" s="1231"/>
      <c r="R77" s="1231"/>
      <c r="S77" s="1231"/>
      <c r="T77" s="1231"/>
      <c r="U77" s="1231"/>
      <c r="V77" s="985">
        <v>6762</v>
      </c>
      <c r="W77" s="788"/>
      <c r="X77" s="1212">
        <f t="shared" si="5"/>
        <v>6762</v>
      </c>
      <c r="Y77" s="662">
        <f t="shared" si="6"/>
        <v>0</v>
      </c>
      <c r="Z77" s="1213"/>
      <c r="AA77" s="1214">
        <v>0</v>
      </c>
      <c r="AB77" s="1214">
        <v>0</v>
      </c>
      <c r="AC77" s="645">
        <v>0</v>
      </c>
      <c r="AD77" s="1215" t="s">
        <v>272</v>
      </c>
      <c r="AE77" s="1277"/>
    </row>
    <row r="78" spans="1:56" ht="24.75" customHeight="1">
      <c r="A78" s="1257" t="s">
        <v>273</v>
      </c>
      <c r="B78" s="831" t="s">
        <v>238</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274</v>
      </c>
      <c r="AE78" s="1277"/>
    </row>
    <row r="79" spans="1:56" ht="24.75" customHeight="1">
      <c r="A79" s="1257" t="s">
        <v>275</v>
      </c>
      <c r="B79" s="831" t="s">
        <v>238</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5">
        <v>4515</v>
      </c>
      <c r="W79" s="788"/>
      <c r="X79" s="1212">
        <f t="shared" si="5"/>
        <v>4515</v>
      </c>
      <c r="Y79" s="662">
        <f t="shared" si="6"/>
        <v>0</v>
      </c>
      <c r="Z79" s="1213"/>
      <c r="AA79" s="1214">
        <v>0</v>
      </c>
      <c r="AB79" s="1214">
        <v>0</v>
      </c>
      <c r="AC79" s="645">
        <v>0</v>
      </c>
      <c r="AD79" s="1215" t="s">
        <v>276</v>
      </c>
      <c r="AE79" s="1277"/>
    </row>
    <row r="80" spans="1:56" ht="24.75" customHeight="1">
      <c r="A80" s="1257" t="s">
        <v>277</v>
      </c>
      <c r="B80" s="831" t="s">
        <v>238</v>
      </c>
      <c r="C80" s="1226">
        <v>46171</v>
      </c>
      <c r="D80" s="1226"/>
      <c r="E80" s="1226"/>
      <c r="F80" s="1227"/>
      <c r="G80" s="1226" t="s">
        <v>278</v>
      </c>
      <c r="H80" s="832">
        <v>60</v>
      </c>
      <c r="I80" s="829" t="s">
        <v>55</v>
      </c>
      <c r="J80" s="832" t="s">
        <v>63</v>
      </c>
      <c r="K80" s="1208" t="s">
        <v>77</v>
      </c>
      <c r="L80" s="1226"/>
      <c r="M80" s="829" t="s">
        <v>57</v>
      </c>
      <c r="N80" s="833">
        <v>76865.5</v>
      </c>
      <c r="O80" s="829" t="s">
        <v>57</v>
      </c>
      <c r="P80" s="1241" t="s">
        <v>58</v>
      </c>
      <c r="Q80" s="1231"/>
      <c r="R80" s="1231"/>
      <c r="S80" s="1231"/>
      <c r="T80" s="1231"/>
      <c r="U80" s="1231"/>
      <c r="V80" s="985">
        <v>5795</v>
      </c>
      <c r="W80" s="788"/>
      <c r="X80" s="1212">
        <f t="shared" si="5"/>
        <v>5795</v>
      </c>
      <c r="Y80" s="662">
        <f t="shared" si="6"/>
        <v>0</v>
      </c>
      <c r="Z80" s="1213"/>
      <c r="AA80" s="1214">
        <v>0</v>
      </c>
      <c r="AB80" s="1214">
        <v>0</v>
      </c>
      <c r="AC80" s="645">
        <v>0</v>
      </c>
      <c r="AD80" s="1215" t="s">
        <v>276</v>
      </c>
      <c r="AE80" s="1277"/>
    </row>
    <row r="81" spans="1:31" ht="24.75" customHeight="1">
      <c r="A81" s="1257" t="s">
        <v>279</v>
      </c>
      <c r="B81" s="831" t="s">
        <v>238</v>
      </c>
      <c r="C81" s="1226">
        <v>46171</v>
      </c>
      <c r="D81" s="1226"/>
      <c r="E81" s="1226"/>
      <c r="F81" s="1227"/>
      <c r="G81" s="1226" t="s">
        <v>280</v>
      </c>
      <c r="H81" s="832">
        <v>72</v>
      </c>
      <c r="I81" s="829" t="s">
        <v>55</v>
      </c>
      <c r="J81" s="832" t="s">
        <v>63</v>
      </c>
      <c r="K81" s="1208" t="s">
        <v>77</v>
      </c>
      <c r="L81" s="1226"/>
      <c r="M81" s="829" t="s">
        <v>57</v>
      </c>
      <c r="N81" s="833">
        <v>85035</v>
      </c>
      <c r="O81" s="829" t="s">
        <v>57</v>
      </c>
      <c r="P81" s="1241" t="s">
        <v>58</v>
      </c>
      <c r="Q81" s="1231"/>
      <c r="R81" s="1231"/>
      <c r="S81" s="1231"/>
      <c r="T81" s="1231"/>
      <c r="U81" s="1231"/>
      <c r="V81" s="985">
        <v>7140</v>
      </c>
      <c r="W81" s="788"/>
      <c r="X81" s="1212">
        <f t="shared" si="5"/>
        <v>7140</v>
      </c>
      <c r="Y81" s="662">
        <f t="shared" si="6"/>
        <v>0</v>
      </c>
      <c r="Z81" s="1213"/>
      <c r="AA81" s="1214">
        <v>0</v>
      </c>
      <c r="AB81" s="1214">
        <v>0</v>
      </c>
      <c r="AC81" s="645">
        <v>0</v>
      </c>
      <c r="AD81" s="1215" t="s">
        <v>276</v>
      </c>
      <c r="AE81" s="1277"/>
    </row>
    <row r="82" spans="1:31" ht="24.75" customHeight="1">
      <c r="A82" s="1257" t="s">
        <v>281</v>
      </c>
      <c r="B82" s="831" t="s">
        <v>238</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269</v>
      </c>
      <c r="AE82" s="1277"/>
    </row>
    <row r="83" spans="1:31" ht="24.75" customHeight="1">
      <c r="A83" s="1257" t="s">
        <v>282</v>
      </c>
      <c r="B83" s="831" t="s">
        <v>238</v>
      </c>
      <c r="C83" s="1206">
        <v>46112</v>
      </c>
      <c r="D83" s="1226"/>
      <c r="E83" s="1226"/>
      <c r="F83" s="1227"/>
      <c r="G83" s="1226" t="s">
        <v>283</v>
      </c>
      <c r="H83" s="1228">
        <v>0</v>
      </c>
      <c r="I83" s="1208" t="s">
        <v>55</v>
      </c>
      <c r="J83" s="1208" t="s">
        <v>90</v>
      </c>
      <c r="K83" s="1208" t="s">
        <v>120</v>
      </c>
      <c r="L83" s="1226"/>
      <c r="M83" s="1228" t="s">
        <v>57</v>
      </c>
      <c r="N83" s="1239">
        <v>11518.95</v>
      </c>
      <c r="O83" s="1228" t="s">
        <v>57</v>
      </c>
      <c r="P83" s="1241" t="s">
        <v>58</v>
      </c>
      <c r="Q83" s="1231"/>
      <c r="R83" s="1231"/>
      <c r="S83" s="1231"/>
      <c r="T83" s="1231"/>
      <c r="U83" s="1231"/>
      <c r="V83" s="1278">
        <v>881</v>
      </c>
      <c r="W83" s="1212"/>
      <c r="X83" s="1212">
        <f t="shared" si="5"/>
        <v>881</v>
      </c>
      <c r="Y83" s="662">
        <f t="shared" si="6"/>
        <v>0</v>
      </c>
      <c r="Z83" s="1213"/>
      <c r="AA83" s="1214">
        <v>0</v>
      </c>
      <c r="AB83" s="1214">
        <v>0</v>
      </c>
      <c r="AC83" s="645">
        <v>0</v>
      </c>
      <c r="AD83" s="1215" t="s">
        <v>284</v>
      </c>
      <c r="AE83" s="1277"/>
    </row>
    <row r="84" spans="1:31" ht="24.75" customHeight="1">
      <c r="A84" s="1205" t="s">
        <v>285</v>
      </c>
      <c r="B84" s="831" t="s">
        <v>238</v>
      </c>
      <c r="C84" s="1206">
        <v>46112</v>
      </c>
      <c r="D84" s="1226"/>
      <c r="E84" s="1226"/>
      <c r="F84" s="1227"/>
      <c r="G84" s="1226" t="s">
        <v>286</v>
      </c>
      <c r="H84" s="1228">
        <v>20</v>
      </c>
      <c r="I84" s="829" t="s">
        <v>55</v>
      </c>
      <c r="J84" s="832" t="s">
        <v>63</v>
      </c>
      <c r="K84" s="1208"/>
      <c r="L84" s="1226"/>
      <c r="M84" s="1228" t="s">
        <v>57</v>
      </c>
      <c r="N84" s="1239">
        <v>1733.25</v>
      </c>
      <c r="O84" s="1228" t="s">
        <v>57</v>
      </c>
      <c r="P84" s="1241" t="s">
        <v>69</v>
      </c>
      <c r="Q84" s="1231">
        <v>45979</v>
      </c>
      <c r="R84" s="1231"/>
      <c r="S84" s="1231"/>
      <c r="T84" s="1231"/>
      <c r="U84" s="1231"/>
      <c r="V84" s="1232">
        <v>255</v>
      </c>
      <c r="W84" s="1212"/>
      <c r="X84" s="1212">
        <f>SUM(V84-W84)</f>
        <v>255</v>
      </c>
      <c r="Y84" s="662">
        <f>IFERROR($W84/$V84, 0)</f>
        <v>0</v>
      </c>
      <c r="Z84" s="1213"/>
      <c r="AA84" s="1214">
        <v>0</v>
      </c>
      <c r="AB84" s="1214">
        <v>0</v>
      </c>
      <c r="AC84" s="645">
        <v>0</v>
      </c>
      <c r="AD84" s="1279" t="s">
        <v>287</v>
      </c>
      <c r="AE84" s="1277"/>
    </row>
    <row r="85" spans="1:31" ht="24.75" customHeight="1">
      <c r="A85" s="1205" t="s">
        <v>288</v>
      </c>
      <c r="B85" s="831" t="s">
        <v>238</v>
      </c>
      <c r="C85" s="1206">
        <v>46099</v>
      </c>
      <c r="D85" s="1226"/>
      <c r="E85" s="1226"/>
      <c r="F85" s="1227"/>
      <c r="G85" s="1226"/>
      <c r="H85" s="1228">
        <v>0</v>
      </c>
      <c r="I85" s="829" t="s">
        <v>55</v>
      </c>
      <c r="J85" s="832" t="s">
        <v>63</v>
      </c>
      <c r="K85" s="1208"/>
      <c r="L85" s="1226"/>
      <c r="M85" s="829" t="s">
        <v>57</v>
      </c>
      <c r="N85" s="1239">
        <v>18270.8</v>
      </c>
      <c r="O85" s="829" t="s">
        <v>57</v>
      </c>
      <c r="P85" s="1241" t="s">
        <v>58</v>
      </c>
      <c r="Q85" s="1231"/>
      <c r="R85" s="1231"/>
      <c r="S85" s="1231"/>
      <c r="T85" s="1231"/>
      <c r="U85" s="1231"/>
      <c r="V85" s="1232">
        <v>1388</v>
      </c>
      <c r="W85" s="1212"/>
      <c r="X85" s="1212">
        <f>SUM(V85-W85)</f>
        <v>1388</v>
      </c>
      <c r="Y85" s="662">
        <f>IFERROR($W85/$V85, 0)</f>
        <v>0</v>
      </c>
      <c r="Z85" s="1213"/>
      <c r="AA85" s="1214">
        <v>0</v>
      </c>
      <c r="AB85" s="1214">
        <v>0</v>
      </c>
      <c r="AC85" s="1232">
        <v>0</v>
      </c>
      <c r="AD85" s="1215" t="s">
        <v>289</v>
      </c>
      <c r="AE85" s="1277"/>
    </row>
    <row r="86" spans="1:31" ht="24.75" customHeight="1">
      <c r="A86" s="1205" t="s">
        <v>290</v>
      </c>
      <c r="B86" s="831" t="s">
        <v>238</v>
      </c>
      <c r="C86" s="1206">
        <v>46112</v>
      </c>
      <c r="D86" s="1227"/>
      <c r="E86" s="1226"/>
      <c r="F86" s="1227"/>
      <c r="G86" s="1227" t="s">
        <v>291</v>
      </c>
      <c r="H86" s="1228">
        <v>0</v>
      </c>
      <c r="I86" s="829" t="s">
        <v>55</v>
      </c>
      <c r="J86" s="1228" t="s">
        <v>63</v>
      </c>
      <c r="K86" s="1208"/>
      <c r="L86" s="1226"/>
      <c r="M86" s="1228" t="s">
        <v>57</v>
      </c>
      <c r="N86" s="1239">
        <v>3995.4</v>
      </c>
      <c r="O86" s="1228" t="s">
        <v>57</v>
      </c>
      <c r="P86" s="1241" t="s">
        <v>69</v>
      </c>
      <c r="Q86" s="1231">
        <v>45979</v>
      </c>
      <c r="R86" s="1231"/>
      <c r="S86" s="1231"/>
      <c r="T86" s="1231"/>
      <c r="U86" s="1231"/>
      <c r="V86" s="1232">
        <v>294</v>
      </c>
      <c r="W86" s="1212"/>
      <c r="X86" s="1212">
        <f t="shared" si="5"/>
        <v>294</v>
      </c>
      <c r="Y86" s="662">
        <f t="shared" si="6"/>
        <v>0</v>
      </c>
      <c r="Z86" s="1213"/>
      <c r="AA86" s="1214">
        <v>0</v>
      </c>
      <c r="AB86" s="1214">
        <v>0</v>
      </c>
      <c r="AC86" s="1232">
        <v>0</v>
      </c>
      <c r="AD86" s="1215" t="s">
        <v>292</v>
      </c>
      <c r="AE86" s="1277"/>
    </row>
    <row r="87" spans="1:31" ht="24.75" customHeight="1">
      <c r="A87" s="1205" t="s">
        <v>293</v>
      </c>
      <c r="B87" s="831" t="s">
        <v>238</v>
      </c>
      <c r="C87" s="1206">
        <v>46040</v>
      </c>
      <c r="D87" s="1227"/>
      <c r="E87" s="1226"/>
      <c r="F87" s="1227"/>
      <c r="G87" s="1227" t="s">
        <v>294</v>
      </c>
      <c r="H87" s="1228">
        <v>0</v>
      </c>
      <c r="I87" s="829" t="s">
        <v>55</v>
      </c>
      <c r="J87" s="1228" t="s">
        <v>63</v>
      </c>
      <c r="K87" s="1208"/>
      <c r="L87" s="1226"/>
      <c r="M87" s="1228" t="s">
        <v>57</v>
      </c>
      <c r="N87" s="1239">
        <v>18171.599999999999</v>
      </c>
      <c r="O87" s="1228" t="s">
        <v>57</v>
      </c>
      <c r="P87" s="1241" t="s">
        <v>69</v>
      </c>
      <c r="Q87" s="1231">
        <v>45979</v>
      </c>
      <c r="R87" s="1231"/>
      <c r="S87" s="1231"/>
      <c r="T87" s="1231"/>
      <c r="U87" s="1231"/>
      <c r="V87" s="1232">
        <v>1514</v>
      </c>
      <c r="W87" s="1212"/>
      <c r="X87" s="1212">
        <f>SUM(V87-W87)</f>
        <v>1514</v>
      </c>
      <c r="Y87" s="662">
        <f>IFERROR($W87/$V87, 0)</f>
        <v>0</v>
      </c>
      <c r="Z87" s="1213"/>
      <c r="AA87" s="1214">
        <v>0</v>
      </c>
      <c r="AB87" s="1214">
        <v>0</v>
      </c>
      <c r="AC87" s="1232">
        <v>0</v>
      </c>
      <c r="AD87" s="1215" t="s">
        <v>295</v>
      </c>
      <c r="AE87" s="1277"/>
    </row>
    <row r="88" spans="1:31" ht="24.75" customHeight="1">
      <c r="A88" s="1205" t="s">
        <v>296</v>
      </c>
      <c r="B88" s="831" t="s">
        <v>238</v>
      </c>
      <c r="C88" s="1206">
        <v>46040</v>
      </c>
      <c r="D88" s="1227"/>
      <c r="E88" s="1226"/>
      <c r="F88" s="1227"/>
      <c r="G88" s="1227" t="s">
        <v>297</v>
      </c>
      <c r="H88" s="1228">
        <v>0</v>
      </c>
      <c r="I88" s="829" t="s">
        <v>55</v>
      </c>
      <c r="J88" s="1228" t="s">
        <v>63</v>
      </c>
      <c r="K88" s="1208"/>
      <c r="L88" s="1226"/>
      <c r="M88" s="1228" t="s">
        <v>57</v>
      </c>
      <c r="N88" s="1239">
        <v>1675.2</v>
      </c>
      <c r="O88" s="1228" t="s">
        <v>57</v>
      </c>
      <c r="P88" s="1241" t="s">
        <v>69</v>
      </c>
      <c r="Q88" s="1231">
        <v>45979</v>
      </c>
      <c r="R88" s="1231"/>
      <c r="S88" s="1231"/>
      <c r="T88" s="1231"/>
      <c r="U88" s="1231"/>
      <c r="V88" s="1232">
        <v>123</v>
      </c>
      <c r="W88" s="1212"/>
      <c r="X88" s="1212">
        <f t="shared" si="5"/>
        <v>123</v>
      </c>
      <c r="Y88" s="662">
        <f t="shared" si="6"/>
        <v>0</v>
      </c>
      <c r="Z88" s="1213"/>
      <c r="AA88" s="1214">
        <v>0</v>
      </c>
      <c r="AB88" s="1214">
        <v>0</v>
      </c>
      <c r="AC88" s="1232">
        <v>0</v>
      </c>
      <c r="AD88" s="1215" t="s">
        <v>298</v>
      </c>
      <c r="AE88" s="1277"/>
    </row>
    <row r="89" spans="1:31" ht="24.75" customHeight="1">
      <c r="A89" s="1205" t="s">
        <v>299</v>
      </c>
      <c r="B89" s="831" t="s">
        <v>238</v>
      </c>
      <c r="C89" s="1206">
        <v>46040</v>
      </c>
      <c r="D89" s="1227" t="s">
        <v>72</v>
      </c>
      <c r="E89" s="1226">
        <v>45867</v>
      </c>
      <c r="F89" s="1227" t="s">
        <v>239</v>
      </c>
      <c r="G89" s="1227" t="s">
        <v>300</v>
      </c>
      <c r="H89" s="1228">
        <v>0</v>
      </c>
      <c r="I89" s="829" t="s">
        <v>55</v>
      </c>
      <c r="J89" s="1228" t="s">
        <v>63</v>
      </c>
      <c r="K89" s="1208"/>
      <c r="L89" s="1226"/>
      <c r="M89" s="1228" t="s">
        <v>57</v>
      </c>
      <c r="N89" s="1239">
        <v>144972.5</v>
      </c>
      <c r="O89" s="1228" t="s">
        <v>57</v>
      </c>
      <c r="P89" s="1210" t="s">
        <v>64</v>
      </c>
      <c r="Q89" s="1231">
        <v>45867</v>
      </c>
      <c r="R89" s="1231"/>
      <c r="S89" s="1231"/>
      <c r="T89" s="1231"/>
      <c r="U89" s="1231"/>
      <c r="V89" s="985">
        <v>4597</v>
      </c>
      <c r="W89" s="788">
        <v>4462</v>
      </c>
      <c r="X89" s="1212">
        <f t="shared" si="5"/>
        <v>135</v>
      </c>
      <c r="Y89" s="662">
        <f t="shared" si="6"/>
        <v>0.97063302153578424</v>
      </c>
      <c r="Z89" s="1231">
        <v>45884</v>
      </c>
      <c r="AA89" s="1214">
        <v>0</v>
      </c>
      <c r="AB89" s="1214">
        <v>0</v>
      </c>
      <c r="AC89" s="1232">
        <v>0</v>
      </c>
      <c r="AD89" s="1215"/>
      <c r="AE89" s="1277"/>
    </row>
    <row r="90" spans="1:31" ht="24.75" customHeight="1">
      <c r="A90" s="1205" t="s">
        <v>301</v>
      </c>
      <c r="B90" s="831" t="s">
        <v>238</v>
      </c>
      <c r="C90" s="1206">
        <v>46040</v>
      </c>
      <c r="D90" s="1227"/>
      <c r="E90" s="1226"/>
      <c r="F90" s="1227"/>
      <c r="G90" s="1227"/>
      <c r="H90" s="1228">
        <v>0</v>
      </c>
      <c r="I90" s="829" t="s">
        <v>55</v>
      </c>
      <c r="J90" s="1228" t="s">
        <v>63</v>
      </c>
      <c r="K90" s="1208"/>
      <c r="L90" s="1226"/>
      <c r="M90" s="1228" t="s">
        <v>57</v>
      </c>
      <c r="N90" s="1239">
        <v>45312.55</v>
      </c>
      <c r="O90" s="1228" t="s">
        <v>57</v>
      </c>
      <c r="P90" s="1210" t="s">
        <v>58</v>
      </c>
      <c r="Q90" s="1231"/>
      <c r="R90" s="1231"/>
      <c r="S90" s="1231"/>
      <c r="T90" s="1231"/>
      <c r="U90" s="1231"/>
      <c r="V90" s="1232">
        <v>3683</v>
      </c>
      <c r="W90" s="1212"/>
      <c r="X90" s="1212">
        <f>SUM(V90-W90)</f>
        <v>3683</v>
      </c>
      <c r="Y90" s="662">
        <f>IFERROR($W90/$V90, 0)</f>
        <v>0</v>
      </c>
      <c r="Z90" s="1231"/>
      <c r="AA90" s="1214">
        <v>0</v>
      </c>
      <c r="AB90" s="1214">
        <v>0</v>
      </c>
      <c r="AC90" s="1232">
        <v>0</v>
      </c>
      <c r="AD90" s="1215" t="s">
        <v>302</v>
      </c>
      <c r="AE90" s="1277"/>
    </row>
    <row r="91" spans="1:31" ht="24.75" customHeight="1">
      <c r="A91" s="1205" t="s">
        <v>303</v>
      </c>
      <c r="B91" s="831" t="s">
        <v>238</v>
      </c>
      <c r="C91" s="1206">
        <v>46045</v>
      </c>
      <c r="D91" s="1227"/>
      <c r="E91" s="1226"/>
      <c r="F91" s="1227"/>
      <c r="G91" s="1227" t="s">
        <v>304</v>
      </c>
      <c r="H91" s="1228">
        <v>0</v>
      </c>
      <c r="I91" s="829" t="s">
        <v>55</v>
      </c>
      <c r="J91" s="1228" t="s">
        <v>63</v>
      </c>
      <c r="K91" s="1208"/>
      <c r="L91" s="1226"/>
      <c r="M91" s="1228" t="s">
        <v>57</v>
      </c>
      <c r="N91" s="1239">
        <v>105558.2</v>
      </c>
      <c r="O91" s="1228" t="s">
        <v>57</v>
      </c>
      <c r="P91" s="1241" t="s">
        <v>69</v>
      </c>
      <c r="Q91" s="1231">
        <v>45978</v>
      </c>
      <c r="R91" s="1231"/>
      <c r="S91" s="1231"/>
      <c r="T91" s="1231"/>
      <c r="U91" s="1231"/>
      <c r="V91" s="1232">
        <v>7753</v>
      </c>
      <c r="W91" s="1212"/>
      <c r="X91" s="1212">
        <f>SUM(V91-W91)</f>
        <v>7753</v>
      </c>
      <c r="Y91" s="662">
        <f>IFERROR($W91/$V91, 0)</f>
        <v>0</v>
      </c>
      <c r="Z91" s="1213"/>
      <c r="AA91" s="1214">
        <v>0</v>
      </c>
      <c r="AB91" s="1214">
        <v>0</v>
      </c>
      <c r="AC91" s="1232">
        <v>0</v>
      </c>
      <c r="AD91" s="1215" t="s">
        <v>305</v>
      </c>
      <c r="AE91" s="1277"/>
    </row>
    <row r="92" spans="1:31" ht="24.75" customHeight="1">
      <c r="A92" s="1257" t="s">
        <v>306</v>
      </c>
      <c r="B92" s="831" t="s">
        <v>238</v>
      </c>
      <c r="C92" s="1226">
        <v>46011</v>
      </c>
      <c r="D92" s="1227" t="s">
        <v>259</v>
      </c>
      <c r="E92" s="1226">
        <v>45923</v>
      </c>
      <c r="F92" s="1227" t="s">
        <v>260</v>
      </c>
      <c r="G92" s="1227" t="s">
        <v>307</v>
      </c>
      <c r="H92" s="1228">
        <v>0</v>
      </c>
      <c r="I92" s="829" t="s">
        <v>55</v>
      </c>
      <c r="J92" s="1228" t="s">
        <v>63</v>
      </c>
      <c r="K92" s="1208"/>
      <c r="L92" s="1226"/>
      <c r="M92" s="1228" t="s">
        <v>57</v>
      </c>
      <c r="N92" s="1239">
        <v>139581.6</v>
      </c>
      <c r="O92" s="1228" t="s">
        <v>57</v>
      </c>
      <c r="P92" s="1241" t="s">
        <v>69</v>
      </c>
      <c r="Q92" s="1231">
        <v>45918</v>
      </c>
      <c r="R92" s="1231"/>
      <c r="S92" s="1231"/>
      <c r="T92" s="1231"/>
      <c r="U92" s="1231"/>
      <c r="V92" s="985">
        <v>11150</v>
      </c>
      <c r="W92" s="1212"/>
      <c r="X92" s="1212">
        <f t="shared" si="5"/>
        <v>11150</v>
      </c>
      <c r="Y92" s="662">
        <f t="shared" si="6"/>
        <v>0</v>
      </c>
      <c r="Z92" s="1213"/>
      <c r="AA92" s="1214">
        <v>0</v>
      </c>
      <c r="AB92" s="1214">
        <v>0</v>
      </c>
      <c r="AC92" s="1232">
        <v>0</v>
      </c>
      <c r="AD92" s="1246" t="s">
        <v>308</v>
      </c>
      <c r="AE92" s="1277"/>
    </row>
    <row r="93" spans="1:31" ht="24.75" customHeight="1">
      <c r="A93" s="1257" t="s">
        <v>309</v>
      </c>
      <c r="B93" s="831" t="s">
        <v>238</v>
      </c>
      <c r="C93" s="1206">
        <v>46096</v>
      </c>
      <c r="D93" s="1227"/>
      <c r="E93" s="1226"/>
      <c r="F93" s="1227"/>
      <c r="G93" s="1227"/>
      <c r="H93" s="1228">
        <v>0</v>
      </c>
      <c r="I93" s="829" t="s">
        <v>55</v>
      </c>
      <c r="J93" s="1228" t="s">
        <v>63</v>
      </c>
      <c r="K93" s="1208"/>
      <c r="L93" s="1226"/>
      <c r="M93" s="1228" t="s">
        <v>57</v>
      </c>
      <c r="N93" s="1239">
        <v>73653.899999999994</v>
      </c>
      <c r="O93" s="1228" t="s">
        <v>57</v>
      </c>
      <c r="P93" s="1241" t="s">
        <v>58</v>
      </c>
      <c r="Q93" s="1231"/>
      <c r="R93" s="1231"/>
      <c r="S93" s="1231"/>
      <c r="T93" s="1231"/>
      <c r="U93" s="1231"/>
      <c r="V93" s="985">
        <v>5394</v>
      </c>
      <c r="W93" s="1212"/>
      <c r="X93" s="1212">
        <f t="shared" si="5"/>
        <v>5394</v>
      </c>
      <c r="Y93" s="662">
        <f t="shared" si="6"/>
        <v>0</v>
      </c>
      <c r="Z93" s="1213"/>
      <c r="AA93" s="1214">
        <v>0</v>
      </c>
      <c r="AB93" s="1214">
        <v>0</v>
      </c>
      <c r="AC93" s="1232">
        <v>0</v>
      </c>
      <c r="AD93" s="1246"/>
      <c r="AE93" s="1277"/>
    </row>
    <row r="94" spans="1:31" ht="24.75" customHeight="1">
      <c r="A94" s="1257" t="s">
        <v>310</v>
      </c>
      <c r="B94" s="831" t="s">
        <v>238</v>
      </c>
      <c r="C94" s="1206">
        <v>46112</v>
      </c>
      <c r="D94" s="1227"/>
      <c r="E94" s="1226"/>
      <c r="F94" s="1227"/>
      <c r="G94" s="1227"/>
      <c r="H94" s="1228">
        <v>0</v>
      </c>
      <c r="I94" s="829" t="s">
        <v>55</v>
      </c>
      <c r="J94" s="1228" t="s">
        <v>63</v>
      </c>
      <c r="K94" s="1208"/>
      <c r="L94" s="1226"/>
      <c r="M94" s="1228" t="s">
        <v>57</v>
      </c>
      <c r="N94" s="1239">
        <v>6526.35</v>
      </c>
      <c r="O94" s="1228" t="s">
        <v>57</v>
      </c>
      <c r="P94" s="1241" t="s">
        <v>58</v>
      </c>
      <c r="Q94" s="1231"/>
      <c r="R94" s="1231"/>
      <c r="S94" s="1231"/>
      <c r="T94" s="1231"/>
      <c r="U94" s="1231"/>
      <c r="V94" s="1232">
        <v>411</v>
      </c>
      <c r="W94" s="1212"/>
      <c r="X94" s="1212">
        <f t="shared" si="5"/>
        <v>411</v>
      </c>
      <c r="Y94" s="662">
        <f t="shared" si="6"/>
        <v>0</v>
      </c>
      <c r="Z94" s="1213"/>
      <c r="AA94" s="1214">
        <v>0</v>
      </c>
      <c r="AB94" s="1214">
        <v>0</v>
      </c>
      <c r="AC94" s="1232">
        <v>0</v>
      </c>
      <c r="AD94" s="1215" t="s">
        <v>267</v>
      </c>
      <c r="AE94" s="1277"/>
    </row>
    <row r="95" spans="1:31" ht="24.75" customHeight="1">
      <c r="A95" s="1257" t="s">
        <v>311</v>
      </c>
      <c r="B95" s="831" t="s">
        <v>238</v>
      </c>
      <c r="C95" s="1226">
        <v>46030</v>
      </c>
      <c r="D95" s="1227"/>
      <c r="E95" s="1226"/>
      <c r="F95" s="1227"/>
      <c r="G95" s="1227" t="s">
        <v>312</v>
      </c>
      <c r="H95" s="1228">
        <v>0</v>
      </c>
      <c r="I95" s="829" t="s">
        <v>55</v>
      </c>
      <c r="J95" s="832" t="s">
        <v>63</v>
      </c>
      <c r="K95" s="1208" t="s">
        <v>77</v>
      </c>
      <c r="L95" s="1226"/>
      <c r="M95" s="1228" t="s">
        <v>57</v>
      </c>
      <c r="N95" s="1239">
        <v>170309.8</v>
      </c>
      <c r="O95" s="1228" t="s">
        <v>57</v>
      </c>
      <c r="P95" s="1241" t="s">
        <v>58</v>
      </c>
      <c r="Q95" s="1231"/>
      <c r="R95" s="1231"/>
      <c r="S95" s="1231"/>
      <c r="T95" s="1231"/>
      <c r="U95" s="1231"/>
      <c r="V95" s="1232">
        <v>13379</v>
      </c>
      <c r="W95" s="1212"/>
      <c r="X95" s="1212">
        <f>SUM(V95-W95)</f>
        <v>13379</v>
      </c>
      <c r="Y95" s="662">
        <f>IFERROR($W95/$V95, 0)</f>
        <v>0</v>
      </c>
      <c r="Z95" s="1213"/>
      <c r="AA95" s="1214">
        <v>0</v>
      </c>
      <c r="AB95" s="1214">
        <v>0</v>
      </c>
      <c r="AC95" s="1232">
        <v>0</v>
      </c>
      <c r="AD95" s="1215" t="s">
        <v>313</v>
      </c>
      <c r="AE95" s="1277"/>
    </row>
    <row r="96" spans="1:31" ht="24.75" customHeight="1">
      <c r="A96" s="1205" t="s">
        <v>314</v>
      </c>
      <c r="B96" s="831" t="s">
        <v>238</v>
      </c>
      <c r="C96" s="1206">
        <v>46040</v>
      </c>
      <c r="D96" s="1227"/>
      <c r="E96" s="1226"/>
      <c r="F96" s="1227"/>
      <c r="G96" s="1227"/>
      <c r="H96" s="1228">
        <v>76</v>
      </c>
      <c r="I96" s="829" t="s">
        <v>55</v>
      </c>
      <c r="J96" s="832" t="s">
        <v>63</v>
      </c>
      <c r="K96" s="1208"/>
      <c r="L96" s="1226"/>
      <c r="M96" s="1228" t="s">
        <v>57</v>
      </c>
      <c r="N96" s="1239">
        <v>64325</v>
      </c>
      <c r="O96" s="1228" t="s">
        <v>57</v>
      </c>
      <c r="P96" s="1241" t="s">
        <v>58</v>
      </c>
      <c r="Q96" s="1231"/>
      <c r="R96" s="1231"/>
      <c r="S96" s="1231"/>
      <c r="T96" s="1231"/>
      <c r="U96" s="1231"/>
      <c r="V96" s="1232">
        <v>6160</v>
      </c>
      <c r="W96" s="1212"/>
      <c r="X96" s="1212">
        <f>SUM(V96-W96)</f>
        <v>6160</v>
      </c>
      <c r="Y96" s="662">
        <f>IFERROR($W96/$V96, 0)</f>
        <v>0</v>
      </c>
      <c r="Z96" s="1213"/>
      <c r="AA96" s="1214">
        <v>0</v>
      </c>
      <c r="AB96" s="1214">
        <v>0</v>
      </c>
      <c r="AC96" s="1232">
        <v>0</v>
      </c>
      <c r="AD96" s="1215"/>
      <c r="AE96" s="1277"/>
    </row>
    <row r="97" spans="1:31" ht="24.75" customHeight="1">
      <c r="A97" s="1280" t="s">
        <v>315</v>
      </c>
      <c r="B97" s="831" t="s">
        <v>316</v>
      </c>
      <c r="C97" s="1206">
        <v>46006</v>
      </c>
      <c r="D97" s="1227" t="s">
        <v>259</v>
      </c>
      <c r="E97" s="1226">
        <v>45987</v>
      </c>
      <c r="F97" s="1227" t="s">
        <v>250</v>
      </c>
      <c r="G97" s="1227" t="s">
        <v>317</v>
      </c>
      <c r="H97" s="1228">
        <v>30</v>
      </c>
      <c r="I97" s="829" t="s">
        <v>318</v>
      </c>
      <c r="J97" s="832" t="s">
        <v>63</v>
      </c>
      <c r="K97" s="1208"/>
      <c r="L97" s="1226"/>
      <c r="M97" s="1228" t="s">
        <v>57</v>
      </c>
      <c r="N97" s="1239">
        <v>31387.05</v>
      </c>
      <c r="O97" s="1228" t="s">
        <v>57</v>
      </c>
      <c r="P97" s="1281" t="s">
        <v>319</v>
      </c>
      <c r="Q97" s="1231">
        <v>45992</v>
      </c>
      <c r="R97" s="1231"/>
      <c r="S97" s="1231"/>
      <c r="T97" s="1231"/>
      <c r="U97" s="1231"/>
      <c r="V97" s="1232">
        <v>2580</v>
      </c>
      <c r="W97" s="1282">
        <v>2637</v>
      </c>
      <c r="X97" s="1212">
        <f t="shared" si="5"/>
        <v>-57</v>
      </c>
      <c r="Y97" s="662">
        <f t="shared" si="6"/>
        <v>1.0220930232558139</v>
      </c>
      <c r="Z97" s="1231">
        <v>46001</v>
      </c>
      <c r="AA97" s="1214">
        <v>0</v>
      </c>
      <c r="AB97" s="1214">
        <v>0</v>
      </c>
      <c r="AC97" s="1232">
        <v>0</v>
      </c>
      <c r="AD97" s="1215" t="s">
        <v>320</v>
      </c>
      <c r="AE97" s="1277"/>
    </row>
    <row r="98" spans="1:31" ht="24.75" customHeight="1">
      <c r="A98" s="1205" t="s">
        <v>321</v>
      </c>
      <c r="B98" s="831" t="s">
        <v>316</v>
      </c>
      <c r="C98" s="1206">
        <v>46006</v>
      </c>
      <c r="D98" s="1227"/>
      <c r="E98" s="1226"/>
      <c r="F98" s="1227"/>
      <c r="G98" s="1227" t="s">
        <v>322</v>
      </c>
      <c r="H98" s="1228">
        <v>73</v>
      </c>
      <c r="I98" s="829" t="s">
        <v>55</v>
      </c>
      <c r="J98" s="832" t="s">
        <v>63</v>
      </c>
      <c r="K98" s="1208"/>
      <c r="L98" s="1226"/>
      <c r="M98" s="1228" t="s">
        <v>57</v>
      </c>
      <c r="N98" s="1239">
        <v>77814</v>
      </c>
      <c r="O98" s="1228" t="s">
        <v>57</v>
      </c>
      <c r="P98" s="1241" t="s">
        <v>58</v>
      </c>
      <c r="Q98" s="1231"/>
      <c r="R98" s="1231"/>
      <c r="S98" s="1231"/>
      <c r="T98" s="1231"/>
      <c r="U98" s="1231"/>
      <c r="V98" s="1232">
        <v>6263</v>
      </c>
      <c r="W98" s="1212"/>
      <c r="X98" s="1212">
        <f t="shared" si="5"/>
        <v>6263</v>
      </c>
      <c r="Y98" s="662">
        <f t="shared" si="6"/>
        <v>0</v>
      </c>
      <c r="Z98" s="1213"/>
      <c r="AA98" s="1214">
        <v>0</v>
      </c>
      <c r="AB98" s="1214">
        <v>0</v>
      </c>
      <c r="AC98" s="1232">
        <v>0</v>
      </c>
      <c r="AD98" s="1215" t="s">
        <v>323</v>
      </c>
      <c r="AE98" s="1277"/>
    </row>
    <row r="99" spans="1:31" ht="24.75" customHeight="1">
      <c r="A99" s="1205" t="s">
        <v>324</v>
      </c>
      <c r="B99" s="831" t="s">
        <v>316</v>
      </c>
      <c r="C99" s="1206">
        <v>46006</v>
      </c>
      <c r="D99" s="1227" t="s">
        <v>72</v>
      </c>
      <c r="E99" s="1226">
        <v>46001</v>
      </c>
      <c r="F99" s="1227" t="s">
        <v>239</v>
      </c>
      <c r="G99" s="1227" t="s">
        <v>325</v>
      </c>
      <c r="H99" s="1228">
        <v>80</v>
      </c>
      <c r="I99" s="829" t="s">
        <v>55</v>
      </c>
      <c r="J99" s="832" t="s">
        <v>63</v>
      </c>
      <c r="K99" s="1208"/>
      <c r="L99" s="1226"/>
      <c r="M99" s="1228" t="s">
        <v>57</v>
      </c>
      <c r="N99" s="1239">
        <v>65843.5</v>
      </c>
      <c r="O99" s="1228" t="s">
        <v>57</v>
      </c>
      <c r="P99" s="1241" t="s">
        <v>64</v>
      </c>
      <c r="Q99" s="1231">
        <v>45995</v>
      </c>
      <c r="R99" s="1231"/>
      <c r="S99" s="1231"/>
      <c r="T99" s="1231"/>
      <c r="U99" s="1231"/>
      <c r="V99" s="1232">
        <v>5052</v>
      </c>
      <c r="W99" s="1341">
        <v>1832</v>
      </c>
      <c r="X99" s="1212">
        <f t="shared" si="5"/>
        <v>3220</v>
      </c>
      <c r="Y99" s="662">
        <f t="shared" si="6"/>
        <v>0.36262866191607285</v>
      </c>
      <c r="Z99" s="1231">
        <v>46001</v>
      </c>
      <c r="AA99" s="1214">
        <v>0</v>
      </c>
      <c r="AB99" s="1214">
        <v>0</v>
      </c>
      <c r="AC99" s="1232">
        <v>0</v>
      </c>
      <c r="AD99" s="1215" t="s">
        <v>326</v>
      </c>
      <c r="AE99" s="1277"/>
    </row>
    <row r="100" spans="1:31" ht="24.75" customHeight="1">
      <c r="A100" s="1205" t="s">
        <v>327</v>
      </c>
      <c r="B100" s="831" t="s">
        <v>316</v>
      </c>
      <c r="C100" s="1206">
        <v>46006</v>
      </c>
      <c r="D100" s="1227"/>
      <c r="E100" s="1226"/>
      <c r="F100" s="1227"/>
      <c r="G100" s="1227" t="s">
        <v>328</v>
      </c>
      <c r="H100" s="1228">
        <v>88</v>
      </c>
      <c r="I100" s="829" t="s">
        <v>55</v>
      </c>
      <c r="J100" s="832" t="s">
        <v>63</v>
      </c>
      <c r="K100" s="1208"/>
      <c r="L100" s="1226"/>
      <c r="M100" s="1228" t="s">
        <v>57</v>
      </c>
      <c r="N100" s="1239">
        <v>79638</v>
      </c>
      <c r="O100" s="1228" t="s">
        <v>57</v>
      </c>
      <c r="P100" s="1241" t="s">
        <v>58</v>
      </c>
      <c r="Q100" s="1231"/>
      <c r="R100" s="1231"/>
      <c r="S100" s="1231"/>
      <c r="T100" s="1231"/>
      <c r="U100" s="1231"/>
      <c r="V100" s="1232">
        <v>6613</v>
      </c>
      <c r="W100" s="1212"/>
      <c r="X100" s="1212">
        <f t="shared" si="5"/>
        <v>6613</v>
      </c>
      <c r="Y100" s="662">
        <f t="shared" si="6"/>
        <v>0</v>
      </c>
      <c r="Z100" s="1213"/>
      <c r="AA100" s="1214">
        <v>0</v>
      </c>
      <c r="AB100" s="1214">
        <v>0</v>
      </c>
      <c r="AC100" s="1232">
        <v>0</v>
      </c>
      <c r="AD100" s="1215" t="s">
        <v>326</v>
      </c>
      <c r="AE100" s="1277"/>
    </row>
    <row r="101" spans="1:31" ht="24.75" customHeight="1">
      <c r="A101" s="1205" t="s">
        <v>329</v>
      </c>
      <c r="B101" s="831" t="s">
        <v>316</v>
      </c>
      <c r="C101" s="1206">
        <v>46006</v>
      </c>
      <c r="D101" s="1227"/>
      <c r="E101" s="1226"/>
      <c r="F101" s="1227"/>
      <c r="G101" s="1227" t="s">
        <v>330</v>
      </c>
      <c r="H101" s="1228">
        <v>61</v>
      </c>
      <c r="I101" s="829" t="s">
        <v>55</v>
      </c>
      <c r="J101" s="1228" t="s">
        <v>63</v>
      </c>
      <c r="K101" s="1208"/>
      <c r="L101" s="1226"/>
      <c r="M101" s="1228" t="s">
        <v>57</v>
      </c>
      <c r="N101" s="1239">
        <v>56650</v>
      </c>
      <c r="O101" s="1228" t="s">
        <v>57</v>
      </c>
      <c r="P101" s="1241" t="s">
        <v>58</v>
      </c>
      <c r="Q101" s="1231"/>
      <c r="R101" s="1231"/>
      <c r="S101" s="1231"/>
      <c r="T101" s="1231"/>
      <c r="U101" s="1231"/>
      <c r="V101" s="1232">
        <v>4641</v>
      </c>
      <c r="W101" s="1212"/>
      <c r="X101" s="1212">
        <f t="shared" si="5"/>
        <v>4641</v>
      </c>
      <c r="Y101" s="662">
        <f t="shared" si="6"/>
        <v>0</v>
      </c>
      <c r="Z101" s="1213"/>
      <c r="AA101" s="1214">
        <v>0</v>
      </c>
      <c r="AB101" s="1214">
        <v>0</v>
      </c>
      <c r="AC101" s="1232">
        <v>0</v>
      </c>
      <c r="AD101" s="1215" t="s">
        <v>331</v>
      </c>
      <c r="AE101" s="1277"/>
    </row>
    <row r="102" spans="1:31" ht="24.75" customHeight="1">
      <c r="A102" s="1257" t="s">
        <v>332</v>
      </c>
      <c r="B102" s="831" t="s">
        <v>316</v>
      </c>
      <c r="C102" s="1206">
        <v>46053</v>
      </c>
      <c r="D102" s="1227"/>
      <c r="E102" s="1226"/>
      <c r="F102" s="1227"/>
      <c r="G102" s="1227"/>
      <c r="H102" s="1228">
        <v>86</v>
      </c>
      <c r="I102" s="829" t="s">
        <v>55</v>
      </c>
      <c r="J102" s="832" t="s">
        <v>63</v>
      </c>
      <c r="K102" s="1208" t="s">
        <v>77</v>
      </c>
      <c r="L102" s="1226"/>
      <c r="M102" s="1228" t="s">
        <v>91</v>
      </c>
      <c r="N102" s="1239"/>
      <c r="O102" s="1228" t="s">
        <v>91</v>
      </c>
      <c r="P102" s="1241" t="s">
        <v>58</v>
      </c>
      <c r="Q102" s="1231"/>
      <c r="R102" s="1231"/>
      <c r="S102" s="1231"/>
      <c r="T102" s="1231"/>
      <c r="U102" s="1231"/>
      <c r="V102" s="1232">
        <v>8265</v>
      </c>
      <c r="W102" s="1212"/>
      <c r="X102" s="1212">
        <f t="shared" si="5"/>
        <v>8265</v>
      </c>
      <c r="Y102" s="662">
        <f t="shared" si="6"/>
        <v>0</v>
      </c>
      <c r="Z102" s="1213"/>
      <c r="AA102" s="1214">
        <v>0</v>
      </c>
      <c r="AB102" s="1214">
        <v>0</v>
      </c>
      <c r="AC102" s="1232">
        <v>0</v>
      </c>
      <c r="AD102" s="1215"/>
      <c r="AE102" s="1277"/>
    </row>
    <row r="103" spans="1:31" ht="24.75" customHeight="1">
      <c r="A103" s="1205" t="s">
        <v>333</v>
      </c>
      <c r="B103" s="831" t="s">
        <v>316</v>
      </c>
      <c r="C103" s="1206">
        <v>46006</v>
      </c>
      <c r="D103" s="1227" t="s">
        <v>259</v>
      </c>
      <c r="E103" s="1226">
        <v>45996</v>
      </c>
      <c r="F103" s="1227" t="s">
        <v>250</v>
      </c>
      <c r="G103" s="1227" t="s">
        <v>334</v>
      </c>
      <c r="H103" s="1228">
        <v>78</v>
      </c>
      <c r="I103" s="829" t="s">
        <v>55</v>
      </c>
      <c r="J103" s="1228" t="s">
        <v>63</v>
      </c>
      <c r="K103" s="1208"/>
      <c r="L103" s="1226"/>
      <c r="M103" s="1228" t="s">
        <v>57</v>
      </c>
      <c r="N103" s="1239">
        <v>84477</v>
      </c>
      <c r="O103" s="1228" t="s">
        <v>57</v>
      </c>
      <c r="P103" s="1241" t="s">
        <v>58</v>
      </c>
      <c r="Q103" s="1231"/>
      <c r="R103" s="1231"/>
      <c r="S103" s="1231"/>
      <c r="T103" s="1231"/>
      <c r="U103" s="1231"/>
      <c r="V103" s="1232">
        <v>6758</v>
      </c>
      <c r="W103" s="1212"/>
      <c r="X103" s="1212">
        <f t="shared" si="5"/>
        <v>6758</v>
      </c>
      <c r="Y103" s="662">
        <f t="shared" si="6"/>
        <v>0</v>
      </c>
      <c r="Z103" s="1213"/>
      <c r="AA103" s="1214">
        <v>0</v>
      </c>
      <c r="AB103" s="1214">
        <v>0</v>
      </c>
      <c r="AC103" s="1232">
        <v>0</v>
      </c>
      <c r="AD103" s="1215" t="s">
        <v>331</v>
      </c>
      <c r="AE103" s="1277"/>
    </row>
    <row r="104" spans="1:31" ht="24.75" customHeight="1">
      <c r="A104" s="1283" t="s">
        <v>335</v>
      </c>
      <c r="B104" s="987" t="s">
        <v>316</v>
      </c>
      <c r="C104" s="1206">
        <v>46171</v>
      </c>
      <c r="D104" s="1284"/>
      <c r="E104" s="1285"/>
      <c r="F104" s="1284"/>
      <c r="G104" s="1284" t="s">
        <v>336</v>
      </c>
      <c r="H104" s="1286">
        <v>26</v>
      </c>
      <c r="I104" s="978" t="s">
        <v>55</v>
      </c>
      <c r="J104" s="1286" t="s">
        <v>63</v>
      </c>
      <c r="K104" s="1287"/>
      <c r="L104" s="1285"/>
      <c r="M104" s="1286" t="s">
        <v>57</v>
      </c>
      <c r="N104" s="1288">
        <v>35576</v>
      </c>
      <c r="O104" s="1286" t="s">
        <v>57</v>
      </c>
      <c r="P104" s="1289" t="s">
        <v>58</v>
      </c>
      <c r="Q104" s="1290"/>
      <c r="R104" s="1290"/>
      <c r="S104" s="1290"/>
      <c r="T104" s="1290"/>
      <c r="U104" s="1290"/>
      <c r="V104" s="1291">
        <v>3150</v>
      </c>
      <c r="W104" s="1292"/>
      <c r="X104" s="1212">
        <f t="shared" si="5"/>
        <v>3150</v>
      </c>
      <c r="Y104" s="862">
        <f t="shared" si="6"/>
        <v>0</v>
      </c>
      <c r="Z104" s="1293"/>
      <c r="AA104" s="1294">
        <v>0</v>
      </c>
      <c r="AB104" s="1294">
        <v>0</v>
      </c>
      <c r="AC104" s="1291">
        <v>0</v>
      </c>
      <c r="AD104" s="1295" t="s">
        <v>331</v>
      </c>
      <c r="AE104" s="1277"/>
    </row>
    <row r="105" spans="1:31" ht="24.75" customHeight="1">
      <c r="A105" s="1205"/>
      <c r="B105" s="831"/>
      <c r="C105" s="1206"/>
      <c r="D105" s="1227"/>
      <c r="E105" s="1296"/>
      <c r="F105" s="1227"/>
      <c r="G105" s="1227"/>
      <c r="H105" s="1228"/>
      <c r="I105" s="829"/>
      <c r="J105" s="1228"/>
      <c r="K105" s="1297"/>
      <c r="L105" s="1296"/>
      <c r="M105" s="1228"/>
      <c r="N105" s="1239"/>
      <c r="O105" s="1228"/>
      <c r="P105" s="1298"/>
      <c r="Q105" s="1231"/>
      <c r="R105" s="1231"/>
      <c r="S105" s="1231"/>
      <c r="T105" s="1231"/>
      <c r="U105" s="1231"/>
      <c r="V105" s="1232"/>
      <c r="W105" s="1212"/>
      <c r="X105" s="1299"/>
      <c r="Y105" s="984"/>
      <c r="Z105" s="1298"/>
      <c r="AA105" s="1214"/>
      <c r="AB105" s="1214"/>
      <c r="AC105" s="1232"/>
      <c r="AD105" s="1215"/>
      <c r="AE105" s="1277"/>
    </row>
    <row r="106" spans="1:31" ht="24.75" customHeight="1">
      <c r="A106" s="1300"/>
      <c r="B106" s="1301"/>
      <c r="C106" s="1302"/>
      <c r="D106" s="649"/>
      <c r="E106" s="1303"/>
      <c r="F106" s="1304"/>
      <c r="G106" s="1304"/>
      <c r="H106" s="1304"/>
      <c r="I106" s="667"/>
      <c r="J106" s="1305"/>
      <c r="K106" s="1306"/>
      <c r="L106" s="1307"/>
      <c r="M106" s="1304"/>
      <c r="N106" s="1308"/>
      <c r="O106" s="1309"/>
      <c r="P106" s="1277"/>
      <c r="Q106" s="1310"/>
      <c r="R106" s="1311"/>
      <c r="S106" s="1311"/>
      <c r="T106" s="1311"/>
      <c r="U106" s="1311"/>
      <c r="V106" s="1312"/>
      <c r="W106" s="1312"/>
      <c r="X106" s="1313"/>
      <c r="Y106" s="1153"/>
      <c r="Z106" s="1204"/>
      <c r="AA106" s="1314"/>
      <c r="AB106" s="1314"/>
      <c r="AC106" s="1312"/>
      <c r="AD106" s="1261"/>
      <c r="AE106" s="1272"/>
    </row>
    <row r="107" spans="1:31" ht="24.75" customHeight="1">
      <c r="A107" s="1315" t="s">
        <v>337</v>
      </c>
      <c r="B107" s="1316" t="s">
        <v>20</v>
      </c>
      <c r="C107" s="1316" t="s">
        <v>21</v>
      </c>
      <c r="D107" s="1317" t="s">
        <v>22</v>
      </c>
      <c r="E107" s="1318" t="s">
        <v>23</v>
      </c>
      <c r="F107" s="1318" t="s">
        <v>24</v>
      </c>
      <c r="G107" s="1318" t="s">
        <v>25</v>
      </c>
      <c r="H107" s="1318" t="s">
        <v>26</v>
      </c>
      <c r="I107" s="1318" t="s">
        <v>27</v>
      </c>
      <c r="J107" s="1318" t="s">
        <v>28</v>
      </c>
      <c r="K107" s="1318" t="s">
        <v>29</v>
      </c>
      <c r="L107" s="1318" t="s">
        <v>30</v>
      </c>
      <c r="M107" s="1318" t="s">
        <v>31</v>
      </c>
      <c r="N107" s="1319" t="s">
        <v>32</v>
      </c>
      <c r="O107" s="1198" t="s">
        <v>33</v>
      </c>
      <c r="P107" s="1320" t="s">
        <v>34</v>
      </c>
      <c r="Q107" s="1201" t="s">
        <v>35</v>
      </c>
      <c r="R107" s="1321" t="s">
        <v>36</v>
      </c>
      <c r="S107" s="1321" t="s">
        <v>37</v>
      </c>
      <c r="T107" s="1321" t="s">
        <v>38</v>
      </c>
      <c r="U107" s="1321" t="s">
        <v>39</v>
      </c>
      <c r="V107" s="1321" t="s">
        <v>40</v>
      </c>
      <c r="W107" s="1321" t="s">
        <v>41</v>
      </c>
      <c r="X107" s="1322" t="s">
        <v>42</v>
      </c>
      <c r="Y107" s="1322" t="s">
        <v>43</v>
      </c>
      <c r="Z107" s="1323" t="s">
        <v>44</v>
      </c>
      <c r="AA107" s="1324" t="s">
        <v>45</v>
      </c>
      <c r="AB107" s="1321" t="s">
        <v>46</v>
      </c>
      <c r="AC107" s="1321" t="s">
        <v>47</v>
      </c>
      <c r="AD107" s="1325" t="s">
        <v>48</v>
      </c>
      <c r="AE107" s="1272"/>
    </row>
    <row r="108" spans="1:31" ht="24.75" customHeight="1">
      <c r="A108" s="1326" t="s">
        <v>338</v>
      </c>
      <c r="B108" s="1152" t="s">
        <v>339</v>
      </c>
      <c r="C108" s="1303">
        <v>46019</v>
      </c>
      <c r="D108" s="977" t="s">
        <v>137</v>
      </c>
      <c r="E108" s="1303">
        <v>45959</v>
      </c>
      <c r="F108" s="1304" t="s">
        <v>340</v>
      </c>
      <c r="G108" s="1304" t="s">
        <v>341</v>
      </c>
      <c r="H108" s="1327">
        <v>83</v>
      </c>
      <c r="I108" s="978" t="s">
        <v>55</v>
      </c>
      <c r="J108" s="1286" t="s">
        <v>63</v>
      </c>
      <c r="K108" s="1328"/>
      <c r="L108" s="1303"/>
      <c r="M108" s="1286" t="s">
        <v>57</v>
      </c>
      <c r="N108" s="1329">
        <v>45545.15</v>
      </c>
      <c r="O108" s="1309" t="s">
        <v>57</v>
      </c>
      <c r="P108" s="1330" t="s">
        <v>64</v>
      </c>
      <c r="Q108" s="1259"/>
      <c r="R108" s="1311"/>
      <c r="S108" s="1311"/>
      <c r="T108" s="1311"/>
      <c r="U108" s="1311"/>
      <c r="V108" s="1331">
        <v>5827</v>
      </c>
      <c r="W108" s="1270">
        <v>5468</v>
      </c>
      <c r="X108" s="1331">
        <f>SUM(V108-W108)</f>
        <v>359</v>
      </c>
      <c r="Y108" s="1153">
        <f t="shared" ref="Y108" si="7">IFERROR($W108/$V108, 0)</f>
        <v>0.93839025227389739</v>
      </c>
      <c r="Z108" s="1259">
        <v>45965</v>
      </c>
      <c r="AA108" s="1294">
        <v>1</v>
      </c>
      <c r="AB108" s="1294">
        <v>0</v>
      </c>
      <c r="AC108" s="1291">
        <v>0</v>
      </c>
      <c r="AD108" s="1261" t="s">
        <v>342</v>
      </c>
      <c r="AE108" s="1272"/>
    </row>
    <row r="109" spans="1:31" ht="24.75" customHeight="1">
      <c r="A109" s="1326" t="s">
        <v>343</v>
      </c>
      <c r="B109" s="1152" t="s">
        <v>339</v>
      </c>
      <c r="C109" s="1303">
        <v>46010</v>
      </c>
      <c r="D109" s="977" t="s">
        <v>137</v>
      </c>
      <c r="E109" s="1303">
        <v>45993</v>
      </c>
      <c r="F109" s="1304" t="s">
        <v>187</v>
      </c>
      <c r="G109" s="1304" t="s">
        <v>344</v>
      </c>
      <c r="H109" s="1327">
        <v>89</v>
      </c>
      <c r="I109" s="978" t="s">
        <v>55</v>
      </c>
      <c r="J109" s="1286" t="s">
        <v>63</v>
      </c>
      <c r="K109" s="1328"/>
      <c r="L109" s="1303">
        <v>45993</v>
      </c>
      <c r="M109" s="1286" t="s">
        <v>57</v>
      </c>
      <c r="N109" s="1329">
        <v>93349.5</v>
      </c>
      <c r="O109" s="1309" t="s">
        <v>57</v>
      </c>
      <c r="P109" s="1277" t="s">
        <v>64</v>
      </c>
      <c r="Q109" s="1259">
        <v>45993</v>
      </c>
      <c r="R109" s="1311"/>
      <c r="S109" s="1311"/>
      <c r="T109" s="1311"/>
      <c r="U109" s="1311"/>
      <c r="V109" s="1331">
        <v>7828</v>
      </c>
      <c r="W109" s="1270">
        <v>243</v>
      </c>
      <c r="X109" s="1331">
        <f>SUM(V109-W109)</f>
        <v>7585</v>
      </c>
      <c r="Y109" s="1153">
        <f>IFERROR($W109/$V109, 0)</f>
        <v>3.1042411854879919E-2</v>
      </c>
      <c r="Z109" s="1259">
        <v>45994</v>
      </c>
      <c r="AA109" s="1294">
        <v>0</v>
      </c>
      <c r="AB109" s="1294">
        <v>0</v>
      </c>
      <c r="AC109" s="1291">
        <v>0</v>
      </c>
      <c r="AD109" s="1261" t="s">
        <v>345</v>
      </c>
      <c r="AE109" s="1272"/>
    </row>
    <row r="110" spans="1:31" ht="24.75" customHeight="1">
      <c r="A110" s="1338" t="s">
        <v>346</v>
      </c>
      <c r="B110" s="1152" t="s">
        <v>339</v>
      </c>
      <c r="C110" s="1303">
        <v>46019</v>
      </c>
      <c r="D110" s="977" t="s">
        <v>137</v>
      </c>
      <c r="E110" s="1303">
        <v>45959</v>
      </c>
      <c r="F110" s="1304" t="s">
        <v>187</v>
      </c>
      <c r="G110" s="1304" t="s">
        <v>347</v>
      </c>
      <c r="H110" s="1305">
        <v>90</v>
      </c>
      <c r="I110" s="978" t="s">
        <v>55</v>
      </c>
      <c r="J110" s="1286" t="s">
        <v>63</v>
      </c>
      <c r="K110" s="1306"/>
      <c r="L110" s="1307">
        <v>45964</v>
      </c>
      <c r="M110" s="1286" t="s">
        <v>57</v>
      </c>
      <c r="N110" s="1333">
        <v>85815</v>
      </c>
      <c r="O110" s="1309" t="s">
        <v>57</v>
      </c>
      <c r="P110" s="1330" t="s">
        <v>64</v>
      </c>
      <c r="Q110" s="1335">
        <v>45964</v>
      </c>
      <c r="R110" s="1336"/>
      <c r="S110" s="1311"/>
      <c r="T110" s="1311"/>
      <c r="U110" s="1311"/>
      <c r="V110" s="1270">
        <v>6981</v>
      </c>
      <c r="W110" s="1270">
        <v>6904</v>
      </c>
      <c r="X110" s="1212">
        <f>SUM(V110-W110)</f>
        <v>77</v>
      </c>
      <c r="Y110" s="1153">
        <f t="shared" ref="Y110:Y120" si="8">IFERROR($W110/$V110, 0)</f>
        <v>0.98897006159575995</v>
      </c>
      <c r="Z110" s="1259">
        <v>45981</v>
      </c>
      <c r="AA110" s="1294">
        <v>0</v>
      </c>
      <c r="AB110" s="1294">
        <v>0</v>
      </c>
      <c r="AC110" s="1291">
        <v>0</v>
      </c>
      <c r="AD110" s="1261" t="s">
        <v>348</v>
      </c>
      <c r="AE110" s="1272"/>
    </row>
    <row r="111" spans="1:31" ht="24.75" customHeight="1">
      <c r="A111" s="1338" t="s">
        <v>349</v>
      </c>
      <c r="B111" s="1152" t="s">
        <v>339</v>
      </c>
      <c r="C111" s="1303">
        <v>46021</v>
      </c>
      <c r="D111" s="977" t="s">
        <v>137</v>
      </c>
      <c r="E111" s="1303">
        <v>45959</v>
      </c>
      <c r="F111" s="1304" t="s">
        <v>187</v>
      </c>
      <c r="G111" s="1304" t="s">
        <v>350</v>
      </c>
      <c r="H111" s="1305">
        <v>86</v>
      </c>
      <c r="I111" s="978" t="s">
        <v>55</v>
      </c>
      <c r="J111" s="1286" t="s">
        <v>63</v>
      </c>
      <c r="K111" s="1306"/>
      <c r="L111" s="1307">
        <v>45964</v>
      </c>
      <c r="M111" s="1286" t="s">
        <v>57</v>
      </c>
      <c r="N111" s="1333">
        <v>80698</v>
      </c>
      <c r="O111" s="1309" t="s">
        <v>57</v>
      </c>
      <c r="P111" s="1330" t="s">
        <v>69</v>
      </c>
      <c r="Q111" s="1335">
        <v>45964</v>
      </c>
      <c r="R111" s="1336"/>
      <c r="S111" s="1311"/>
      <c r="T111" s="1311"/>
      <c r="U111" s="1311"/>
      <c r="V111" s="1270">
        <v>6739</v>
      </c>
      <c r="W111" s="1270"/>
      <c r="X111" s="1212">
        <f>SUM(V111-W111)</f>
        <v>6739</v>
      </c>
      <c r="Y111" s="1153">
        <f t="shared" si="8"/>
        <v>0</v>
      </c>
      <c r="Z111" s="1204"/>
      <c r="AA111" s="1294">
        <v>0</v>
      </c>
      <c r="AB111" s="1294">
        <v>0</v>
      </c>
      <c r="AC111" s="1291">
        <v>0</v>
      </c>
      <c r="AD111" s="1261" t="s">
        <v>351</v>
      </c>
      <c r="AE111" s="1272"/>
    </row>
    <row r="112" spans="1:31" ht="24.75" customHeight="1">
      <c r="A112" s="1338" t="s">
        <v>352</v>
      </c>
      <c r="B112" s="1152" t="s">
        <v>339</v>
      </c>
      <c r="C112" s="1303">
        <v>46021</v>
      </c>
      <c r="D112" s="977" t="s">
        <v>137</v>
      </c>
      <c r="E112" s="1303">
        <v>45959</v>
      </c>
      <c r="F112" s="1304" t="s">
        <v>187</v>
      </c>
      <c r="G112" s="1304" t="s">
        <v>353</v>
      </c>
      <c r="H112" s="1305">
        <v>87</v>
      </c>
      <c r="I112" s="978"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3574</v>
      </c>
      <c r="X112" s="1212">
        <f>SUM(V112-W112)</f>
        <v>3003</v>
      </c>
      <c r="Y112" s="1153">
        <f t="shared" si="8"/>
        <v>0.54340884901930975</v>
      </c>
      <c r="Z112" s="1259">
        <v>46000</v>
      </c>
      <c r="AA112" s="1294">
        <v>0</v>
      </c>
      <c r="AB112" s="1294">
        <v>0</v>
      </c>
      <c r="AC112" s="1291">
        <v>0</v>
      </c>
      <c r="AD112" s="1261" t="s">
        <v>354</v>
      </c>
      <c r="AE112" s="1272"/>
    </row>
    <row r="113" spans="1:31" ht="24.75" customHeight="1">
      <c r="A113" s="1338" t="s">
        <v>355</v>
      </c>
      <c r="B113" s="1152" t="s">
        <v>339</v>
      </c>
      <c r="C113" s="1303">
        <v>46019</v>
      </c>
      <c r="D113" s="977" t="s">
        <v>137</v>
      </c>
      <c r="E113" s="1303">
        <v>45959</v>
      </c>
      <c r="F113" s="1304" t="s">
        <v>187</v>
      </c>
      <c r="G113" s="1304" t="s">
        <v>356</v>
      </c>
      <c r="H113" s="1305">
        <v>87</v>
      </c>
      <c r="I113" s="978"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343">
        <v>6270</v>
      </c>
      <c r="X113" s="1212">
        <f>SUM(V113-W113)</f>
        <v>1049</v>
      </c>
      <c r="Y113" s="1153">
        <f t="shared" si="8"/>
        <v>0.85667440907227765</v>
      </c>
      <c r="Z113" s="1259">
        <v>46000</v>
      </c>
      <c r="AA113" s="1294">
        <v>0</v>
      </c>
      <c r="AB113" s="1294">
        <v>0</v>
      </c>
      <c r="AC113" s="1291">
        <v>0</v>
      </c>
      <c r="AD113" s="1261" t="s">
        <v>357</v>
      </c>
      <c r="AE113" s="1272"/>
    </row>
    <row r="114" spans="1:31" ht="24.75" customHeight="1">
      <c r="A114" s="1338" t="s">
        <v>358</v>
      </c>
      <c r="B114" s="1152" t="s">
        <v>339</v>
      </c>
      <c r="C114" s="1303">
        <v>46021</v>
      </c>
      <c r="D114" s="977" t="s">
        <v>137</v>
      </c>
      <c r="E114" s="1303">
        <v>45987</v>
      </c>
      <c r="F114" s="1304" t="s">
        <v>187</v>
      </c>
      <c r="G114" s="1304" t="s">
        <v>359</v>
      </c>
      <c r="H114" s="1305">
        <v>85</v>
      </c>
      <c r="I114" s="978" t="s">
        <v>55</v>
      </c>
      <c r="J114" s="1286" t="s">
        <v>63</v>
      </c>
      <c r="K114" s="1306"/>
      <c r="L114" s="1307">
        <v>45987</v>
      </c>
      <c r="M114" s="1286" t="s">
        <v>57</v>
      </c>
      <c r="N114" s="1333">
        <v>84092.5</v>
      </c>
      <c r="O114" s="1309" t="s">
        <v>57</v>
      </c>
      <c r="P114" s="1277" t="s">
        <v>69</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360</v>
      </c>
      <c r="AE114" s="1272"/>
    </row>
    <row r="115" spans="1:31" ht="24.75" customHeight="1">
      <c r="A115" s="1338" t="s">
        <v>361</v>
      </c>
      <c r="B115" s="1152" t="s">
        <v>339</v>
      </c>
      <c r="C115" s="1303">
        <v>46021</v>
      </c>
      <c r="D115" s="977" t="s">
        <v>137</v>
      </c>
      <c r="E115" s="1303">
        <v>45987</v>
      </c>
      <c r="F115" s="1304" t="s">
        <v>187</v>
      </c>
      <c r="G115" s="1304" t="s">
        <v>362</v>
      </c>
      <c r="H115" s="1305">
        <v>76</v>
      </c>
      <c r="I115" s="978" t="s">
        <v>55</v>
      </c>
      <c r="J115" s="1286" t="s">
        <v>63</v>
      </c>
      <c r="K115" s="1306"/>
      <c r="L115" s="1307">
        <v>45987</v>
      </c>
      <c r="M115" s="1286" t="s">
        <v>57</v>
      </c>
      <c r="N115" s="1333">
        <v>74892.5</v>
      </c>
      <c r="O115" s="1309" t="s">
        <v>57</v>
      </c>
      <c r="P115" s="1277" t="s">
        <v>69</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360</v>
      </c>
      <c r="AE115" s="1272"/>
    </row>
    <row r="116" spans="1:31" ht="24.75" customHeight="1">
      <c r="A116" s="1338" t="s">
        <v>363</v>
      </c>
      <c r="B116" s="1152" t="s">
        <v>339</v>
      </c>
      <c r="C116" s="1303">
        <v>46021</v>
      </c>
      <c r="D116" s="977" t="s">
        <v>137</v>
      </c>
      <c r="E116" s="1303">
        <v>45987</v>
      </c>
      <c r="F116" s="1304" t="s">
        <v>187</v>
      </c>
      <c r="G116" s="1304" t="s">
        <v>364</v>
      </c>
      <c r="H116" s="1305">
        <v>86</v>
      </c>
      <c r="I116" s="978" t="s">
        <v>55</v>
      </c>
      <c r="J116" s="1286" t="s">
        <v>63</v>
      </c>
      <c r="K116" s="1306"/>
      <c r="L116" s="1307">
        <v>45987</v>
      </c>
      <c r="M116" s="1286" t="s">
        <v>57</v>
      </c>
      <c r="N116" s="1333">
        <v>90841</v>
      </c>
      <c r="O116" s="1309" t="s">
        <v>57</v>
      </c>
      <c r="P116" s="1277" t="s">
        <v>69</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360</v>
      </c>
      <c r="AE116" s="1272"/>
    </row>
    <row r="117" spans="1:31" ht="24.75" customHeight="1">
      <c r="A117" s="1338" t="s">
        <v>365</v>
      </c>
      <c r="B117" s="1152" t="s">
        <v>339</v>
      </c>
      <c r="C117" s="1303">
        <v>46021</v>
      </c>
      <c r="D117" s="977" t="s">
        <v>137</v>
      </c>
      <c r="E117" s="1303">
        <v>45987</v>
      </c>
      <c r="F117" s="1304" t="s">
        <v>187</v>
      </c>
      <c r="G117" s="1304" t="s">
        <v>366</v>
      </c>
      <c r="H117" s="1305">
        <v>78</v>
      </c>
      <c r="I117" s="978" t="s">
        <v>55</v>
      </c>
      <c r="J117" s="1286" t="s">
        <v>63</v>
      </c>
      <c r="K117" s="1306"/>
      <c r="L117" s="1307">
        <v>45987</v>
      </c>
      <c r="M117" s="1286" t="s">
        <v>57</v>
      </c>
      <c r="N117" s="1333">
        <v>68606.5</v>
      </c>
      <c r="O117" s="1309" t="s">
        <v>57</v>
      </c>
      <c r="P117" s="1277" t="s">
        <v>69</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360</v>
      </c>
      <c r="AE117" s="1272"/>
    </row>
    <row r="118" spans="1:31" ht="24.75" customHeight="1">
      <c r="A118" s="1338" t="s">
        <v>367</v>
      </c>
      <c r="B118" s="1152" t="s">
        <v>339</v>
      </c>
      <c r="C118" s="1303">
        <v>46021</v>
      </c>
      <c r="D118" s="977" t="s">
        <v>137</v>
      </c>
      <c r="E118" s="1303">
        <v>45987</v>
      </c>
      <c r="F118" s="1304" t="s">
        <v>187</v>
      </c>
      <c r="G118" s="1304" t="s">
        <v>368</v>
      </c>
      <c r="H118" s="1305">
        <v>73</v>
      </c>
      <c r="I118" s="978" t="s">
        <v>55</v>
      </c>
      <c r="J118" s="1286" t="s">
        <v>63</v>
      </c>
      <c r="K118" s="1306"/>
      <c r="L118" s="1307">
        <v>45987</v>
      </c>
      <c r="M118" s="1286" t="s">
        <v>57</v>
      </c>
      <c r="N118" s="1333">
        <v>71371</v>
      </c>
      <c r="O118" s="1309" t="s">
        <v>57</v>
      </c>
      <c r="P118" s="1277" t="s">
        <v>69</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360</v>
      </c>
      <c r="AE118" s="1272"/>
    </row>
    <row r="119" spans="1:31" ht="24.75" customHeight="1">
      <c r="A119" s="1326" t="s">
        <v>369</v>
      </c>
      <c r="B119" s="1152" t="s">
        <v>339</v>
      </c>
      <c r="C119" s="1303">
        <v>46019</v>
      </c>
      <c r="D119" s="977" t="s">
        <v>137</v>
      </c>
      <c r="E119" s="1303">
        <v>45959</v>
      </c>
      <c r="F119" s="1304" t="s">
        <v>187</v>
      </c>
      <c r="G119" s="1304" t="s">
        <v>370</v>
      </c>
      <c r="H119" s="1305">
        <v>0</v>
      </c>
      <c r="I119" s="978"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371</v>
      </c>
      <c r="AE119" s="1272"/>
    </row>
    <row r="120" spans="1:31" ht="24.75" customHeight="1">
      <c r="A120" s="1326" t="s">
        <v>372</v>
      </c>
      <c r="B120" s="1152" t="s">
        <v>339</v>
      </c>
      <c r="C120" s="1303">
        <v>46019</v>
      </c>
      <c r="D120" s="977" t="s">
        <v>137</v>
      </c>
      <c r="E120" s="1303">
        <v>45959</v>
      </c>
      <c r="F120" s="1304" t="s">
        <v>187</v>
      </c>
      <c r="G120" s="1304" t="s">
        <v>373</v>
      </c>
      <c r="H120" s="1305">
        <v>0</v>
      </c>
      <c r="I120" s="978"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374</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tabSelected="1" zoomScale="80" zoomScaleNormal="80" workbookViewId="0">
      <pane xSplit="1" topLeftCell="AC30"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238</v>
      </c>
      <c r="C2" s="467">
        <v>45960</v>
      </c>
      <c r="D2" s="467" t="s">
        <v>377</v>
      </c>
      <c r="E2" s="467">
        <v>45897</v>
      </c>
      <c r="F2" s="465" t="s">
        <v>260</v>
      </c>
      <c r="G2" s="682"/>
      <c r="H2" s="469">
        <v>0</v>
      </c>
      <c r="I2" s="661" t="s">
        <v>318</v>
      </c>
      <c r="J2" s="469" t="s">
        <v>63</v>
      </c>
      <c r="K2" s="469"/>
      <c r="L2" s="467">
        <v>45891</v>
      </c>
      <c r="M2" s="469" t="s">
        <v>57</v>
      </c>
      <c r="N2" s="542">
        <v>184994.5</v>
      </c>
      <c r="O2" s="469" t="s">
        <v>57</v>
      </c>
      <c r="P2" s="626" t="s">
        <v>319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238</v>
      </c>
      <c r="C3" s="467">
        <v>45960</v>
      </c>
      <c r="D3" s="467" t="s">
        <v>380</v>
      </c>
      <c r="E3" s="467">
        <v>45909</v>
      </c>
      <c r="F3" s="467" t="s">
        <v>239</v>
      </c>
      <c r="G3" s="682"/>
      <c r="H3" s="469">
        <v>0</v>
      </c>
      <c r="I3" s="469" t="s">
        <v>318</v>
      </c>
      <c r="J3" s="469" t="s">
        <v>63</v>
      </c>
      <c r="K3" s="469"/>
      <c r="L3" s="467">
        <v>45905</v>
      </c>
      <c r="M3" s="469" t="s">
        <v>57</v>
      </c>
      <c r="N3" s="542">
        <v>98170.1</v>
      </c>
      <c r="O3" s="469" t="s">
        <v>57</v>
      </c>
      <c r="P3" s="626" t="s">
        <v>319</v>
      </c>
      <c r="Q3" s="471">
        <v>45908</v>
      </c>
      <c r="R3" s="471"/>
      <c r="S3" s="471"/>
      <c r="T3" s="471"/>
      <c r="U3" s="471"/>
      <c r="V3" s="416">
        <v>9086</v>
      </c>
      <c r="W3" s="581">
        <v>8945</v>
      </c>
      <c r="X3" s="106">
        <f>SUM(V3-W3)</f>
        <v>141</v>
      </c>
      <c r="Y3" s="657">
        <f>IFERROR($W3/$V3, 0)</f>
        <v>0.98448162007484041</v>
      </c>
      <c r="Z3" s="678">
        <v>45922</v>
      </c>
      <c r="AA3" s="355">
        <v>1</v>
      </c>
      <c r="AB3" s="355">
        <v>0</v>
      </c>
      <c r="AC3" s="41">
        <v>0</v>
      </c>
      <c r="AD3" s="1083" t="s">
        <v>381</v>
      </c>
    </row>
    <row r="4" spans="1:30" ht="39.75" customHeight="1">
      <c r="A4" s="927" t="s">
        <v>382</v>
      </c>
      <c r="B4" s="831" t="s">
        <v>238</v>
      </c>
      <c r="C4" s="467">
        <v>45960</v>
      </c>
      <c r="D4" s="467" t="s">
        <v>72</v>
      </c>
      <c r="E4" s="467">
        <v>45905</v>
      </c>
      <c r="F4" s="467" t="s">
        <v>239</v>
      </c>
      <c r="G4" s="682"/>
      <c r="H4" s="469">
        <v>0</v>
      </c>
      <c r="I4" s="661" t="s">
        <v>318</v>
      </c>
      <c r="J4" s="469" t="s">
        <v>63</v>
      </c>
      <c r="K4" s="478"/>
      <c r="L4" s="375">
        <v>45943</v>
      </c>
      <c r="M4" s="1106" t="s">
        <v>57</v>
      </c>
      <c r="N4" s="542">
        <v>2167.3000000000002</v>
      </c>
      <c r="O4" s="469" t="s">
        <v>57</v>
      </c>
      <c r="P4" s="626" t="s">
        <v>319</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238</v>
      </c>
      <c r="C5" s="467">
        <v>45999</v>
      </c>
      <c r="D5" s="475" t="s">
        <v>72</v>
      </c>
      <c r="E5" s="476">
        <v>45975</v>
      </c>
      <c r="F5" s="475" t="s">
        <v>239</v>
      </c>
      <c r="G5" s="477" t="s">
        <v>386</v>
      </c>
      <c r="H5" s="478">
        <v>0</v>
      </c>
      <c r="I5" s="661" t="s">
        <v>318</v>
      </c>
      <c r="J5" s="469" t="s">
        <v>63</v>
      </c>
      <c r="K5" s="469"/>
      <c r="L5" s="51">
        <v>45960</v>
      </c>
      <c r="M5" s="999" t="s">
        <v>57</v>
      </c>
      <c r="N5" s="543">
        <v>4911.8999999999996</v>
      </c>
      <c r="O5" s="478" t="s">
        <v>57</v>
      </c>
      <c r="P5" s="626" t="s">
        <v>319</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238</v>
      </c>
      <c r="C6" s="467">
        <v>45991</v>
      </c>
      <c r="D6" s="476" t="s">
        <v>249</v>
      </c>
      <c r="E6" s="476">
        <v>45950</v>
      </c>
      <c r="F6" s="475" t="s">
        <v>250</v>
      </c>
      <c r="G6" s="828"/>
      <c r="H6" s="832">
        <v>82</v>
      </c>
      <c r="I6" s="829" t="s">
        <v>318</v>
      </c>
      <c r="J6" s="832" t="s">
        <v>63</v>
      </c>
      <c r="K6" s="487"/>
      <c r="L6" s="51">
        <v>45902</v>
      </c>
      <c r="M6" s="1107" t="s">
        <v>57</v>
      </c>
      <c r="N6" s="833">
        <v>87830</v>
      </c>
      <c r="O6" s="829" t="s">
        <v>57</v>
      </c>
      <c r="P6" s="626" t="s">
        <v>319</v>
      </c>
      <c r="Q6" s="479">
        <v>45898</v>
      </c>
      <c r="R6" s="479"/>
      <c r="S6" s="479"/>
      <c r="T6" s="479"/>
      <c r="U6" s="479"/>
      <c r="V6" s="985">
        <v>7022</v>
      </c>
      <c r="W6" s="1016">
        <v>6905</v>
      </c>
      <c r="X6" s="106">
        <f>SUM(V6-W6)</f>
        <v>117</v>
      </c>
      <c r="Y6" s="657">
        <f>IFERROR($W6/$V6, 0)</f>
        <v>0.98333808031899739</v>
      </c>
      <c r="Z6" s="678">
        <v>45958</v>
      </c>
      <c r="AA6" s="355">
        <v>0</v>
      </c>
      <c r="AB6" s="355">
        <v>0</v>
      </c>
      <c r="AC6" s="41">
        <v>0</v>
      </c>
      <c r="AD6" s="1084" t="s">
        <v>389</v>
      </c>
    </row>
    <row r="7" spans="1:30" ht="39.75" customHeight="1">
      <c r="A7" s="927" t="s">
        <v>390</v>
      </c>
      <c r="B7" s="831" t="s">
        <v>238</v>
      </c>
      <c r="C7" s="467">
        <v>45989</v>
      </c>
      <c r="D7" s="476" t="s">
        <v>249</v>
      </c>
      <c r="E7" s="476">
        <v>45964</v>
      </c>
      <c r="F7" s="475" t="s">
        <v>250</v>
      </c>
      <c r="G7" s="828" t="s">
        <v>391</v>
      </c>
      <c r="H7" s="832">
        <v>74</v>
      </c>
      <c r="I7" s="469" t="s">
        <v>318</v>
      </c>
      <c r="J7" s="469" t="s">
        <v>63</v>
      </c>
      <c r="K7" s="469"/>
      <c r="L7" s="51">
        <v>45932</v>
      </c>
      <c r="M7" s="1107" t="s">
        <v>57</v>
      </c>
      <c r="N7" s="833">
        <v>47064</v>
      </c>
      <c r="O7" s="829" t="s">
        <v>57</v>
      </c>
      <c r="P7" s="626" t="s">
        <v>319</v>
      </c>
      <c r="Q7" s="479">
        <v>45932</v>
      </c>
      <c r="R7" s="479"/>
      <c r="S7" s="479"/>
      <c r="T7" s="479"/>
      <c r="U7" s="479"/>
      <c r="V7" s="985">
        <v>4716</v>
      </c>
      <c r="W7" s="581">
        <v>4647</v>
      </c>
      <c r="X7" s="472">
        <f t="shared" ref="X7" si="2">SUM(V7-W7)</f>
        <v>69</v>
      </c>
      <c r="Y7" s="662">
        <f t="shared" ref="Y7" si="3">IFERROR($W7/$V7, 0)</f>
        <v>0.98536895674300251</v>
      </c>
      <c r="Z7" s="479">
        <v>45971</v>
      </c>
      <c r="AA7" s="355">
        <v>0</v>
      </c>
      <c r="AB7" s="355">
        <v>0</v>
      </c>
      <c r="AC7" s="645">
        <v>0</v>
      </c>
      <c r="AD7" s="474" t="s">
        <v>262</v>
      </c>
    </row>
    <row r="8" spans="1:30" ht="39.75" customHeight="1">
      <c r="A8" s="842" t="s">
        <v>392</v>
      </c>
      <c r="B8" s="831" t="s">
        <v>238</v>
      </c>
      <c r="C8" s="467">
        <v>45960</v>
      </c>
      <c r="D8" s="476" t="s">
        <v>249</v>
      </c>
      <c r="E8" s="476">
        <v>45930</v>
      </c>
      <c r="F8" s="475" t="s">
        <v>250</v>
      </c>
      <c r="G8" s="828"/>
      <c r="H8" s="832">
        <v>80</v>
      </c>
      <c r="I8" s="829" t="s">
        <v>318</v>
      </c>
      <c r="J8" s="832" t="s">
        <v>63</v>
      </c>
      <c r="K8" s="829"/>
      <c r="L8" s="51">
        <v>45902</v>
      </c>
      <c r="M8" s="1107" t="s">
        <v>57</v>
      </c>
      <c r="N8" s="833">
        <v>90173</v>
      </c>
      <c r="O8" s="829" t="s">
        <v>57</v>
      </c>
      <c r="P8" s="626" t="s">
        <v>319</v>
      </c>
      <c r="Q8" s="479">
        <v>45898</v>
      </c>
      <c r="R8" s="479"/>
      <c r="S8" s="479"/>
      <c r="T8" s="479"/>
      <c r="U8" s="479"/>
      <c r="V8" s="985">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238</v>
      </c>
      <c r="C9" s="467">
        <v>45960</v>
      </c>
      <c r="D9" s="476" t="s">
        <v>259</v>
      </c>
      <c r="E9" s="476">
        <v>45950</v>
      </c>
      <c r="F9" s="475" t="s">
        <v>260</v>
      </c>
      <c r="G9" s="828"/>
      <c r="H9" s="832">
        <v>80</v>
      </c>
      <c r="I9" s="829" t="s">
        <v>318</v>
      </c>
      <c r="J9" s="832" t="s">
        <v>63</v>
      </c>
      <c r="K9" s="829"/>
      <c r="L9" s="1108">
        <v>45905</v>
      </c>
      <c r="M9" s="829" t="s">
        <v>57</v>
      </c>
      <c r="N9" s="833">
        <v>66674.3</v>
      </c>
      <c r="O9" s="829" t="s">
        <v>57</v>
      </c>
      <c r="P9" s="626" t="s">
        <v>319</v>
      </c>
      <c r="Q9" s="479">
        <v>45922</v>
      </c>
      <c r="R9" s="479"/>
      <c r="S9" s="479"/>
      <c r="T9" s="479"/>
      <c r="U9" s="479"/>
      <c r="V9" s="985">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238</v>
      </c>
      <c r="C10" s="467">
        <v>45960</v>
      </c>
      <c r="D10" s="476" t="s">
        <v>259</v>
      </c>
      <c r="E10" s="476">
        <v>45937</v>
      </c>
      <c r="F10" s="475" t="s">
        <v>260</v>
      </c>
      <c r="G10" s="828"/>
      <c r="H10" s="832">
        <v>82</v>
      </c>
      <c r="I10" s="829" t="s">
        <v>318</v>
      </c>
      <c r="J10" s="832" t="s">
        <v>63</v>
      </c>
      <c r="K10" s="469"/>
      <c r="L10" s="476">
        <v>45903</v>
      </c>
      <c r="M10" s="829" t="s">
        <v>57</v>
      </c>
      <c r="N10" s="833">
        <v>93666.75</v>
      </c>
      <c r="O10" s="829" t="s">
        <v>57</v>
      </c>
      <c r="P10" s="626" t="s">
        <v>319</v>
      </c>
      <c r="Q10" s="479">
        <v>45897</v>
      </c>
      <c r="R10" s="479"/>
      <c r="S10" s="479"/>
      <c r="T10" s="479"/>
      <c r="U10" s="479"/>
      <c r="V10" s="1080">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238</v>
      </c>
      <c r="C11" s="467">
        <v>45991</v>
      </c>
      <c r="D11" s="475" t="s">
        <v>397</v>
      </c>
      <c r="E11" s="476">
        <v>45716</v>
      </c>
      <c r="F11" s="475" t="s">
        <v>250</v>
      </c>
      <c r="G11" s="477" t="s">
        <v>398</v>
      </c>
      <c r="H11" s="478">
        <v>44</v>
      </c>
      <c r="I11" s="483" t="s">
        <v>318</v>
      </c>
      <c r="J11" s="478" t="s">
        <v>63</v>
      </c>
      <c r="K11" s="478"/>
      <c r="L11" s="476">
        <v>45716</v>
      </c>
      <c r="M11" s="478" t="s">
        <v>57</v>
      </c>
      <c r="N11" s="543">
        <v>57973.5</v>
      </c>
      <c r="O11" s="478" t="s">
        <v>57</v>
      </c>
      <c r="P11" s="626" t="s">
        <v>319</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238</v>
      </c>
      <c r="C12" s="467">
        <v>45991</v>
      </c>
      <c r="D12" s="475" t="s">
        <v>249</v>
      </c>
      <c r="E12" s="476">
        <v>45880</v>
      </c>
      <c r="F12" s="475" t="s">
        <v>250</v>
      </c>
      <c r="G12" s="825" t="s">
        <v>400</v>
      </c>
      <c r="H12" s="478">
        <v>57</v>
      </c>
      <c r="I12" s="829" t="s">
        <v>318</v>
      </c>
      <c r="J12" s="478" t="s">
        <v>63</v>
      </c>
      <c r="K12" s="487"/>
      <c r="L12" s="476">
        <v>45863</v>
      </c>
      <c r="M12" s="478" t="s">
        <v>57</v>
      </c>
      <c r="N12" s="543">
        <v>49223.7</v>
      </c>
      <c r="O12" s="478" t="s">
        <v>57</v>
      </c>
      <c r="P12" s="626" t="s">
        <v>319</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238</v>
      </c>
      <c r="C13" s="467">
        <v>45991</v>
      </c>
      <c r="D13" s="475" t="s">
        <v>249</v>
      </c>
      <c r="E13" s="476">
        <v>45880</v>
      </c>
      <c r="F13" s="475" t="s">
        <v>250</v>
      </c>
      <c r="G13" s="825" t="s">
        <v>403</v>
      </c>
      <c r="H13" s="478">
        <v>75</v>
      </c>
      <c r="I13" s="829" t="s">
        <v>318</v>
      </c>
      <c r="J13" s="478" t="s">
        <v>63</v>
      </c>
      <c r="K13" s="487"/>
      <c r="L13" s="476">
        <v>45879</v>
      </c>
      <c r="M13" s="478" t="s">
        <v>57</v>
      </c>
      <c r="N13" s="543">
        <v>68151.75</v>
      </c>
      <c r="O13" s="478" t="s">
        <v>57</v>
      </c>
      <c r="P13" s="626" t="s">
        <v>319</v>
      </c>
      <c r="Q13" s="479">
        <v>45881</v>
      </c>
      <c r="R13" s="479"/>
      <c r="S13" s="479"/>
      <c r="T13" s="479"/>
      <c r="U13" s="479"/>
      <c r="V13" s="1081">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238</v>
      </c>
      <c r="C14" s="467">
        <v>45960</v>
      </c>
      <c r="D14" s="475" t="s">
        <v>259</v>
      </c>
      <c r="E14" s="476">
        <v>45966</v>
      </c>
      <c r="F14" s="475" t="s">
        <v>260</v>
      </c>
      <c r="G14" s="825"/>
      <c r="H14" s="478">
        <v>0</v>
      </c>
      <c r="I14" s="829" t="s">
        <v>318</v>
      </c>
      <c r="J14" s="478" t="s">
        <v>63</v>
      </c>
      <c r="K14" s="487"/>
      <c r="L14" s="476" t="s">
        <v>52</v>
      </c>
      <c r="M14" s="478" t="s">
        <v>57</v>
      </c>
      <c r="N14" s="543">
        <v>29960</v>
      </c>
      <c r="O14" s="478" t="s">
        <v>57</v>
      </c>
      <c r="P14" s="626" t="s">
        <v>319</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308</v>
      </c>
    </row>
    <row r="15" spans="1:30" ht="39.75" customHeight="1">
      <c r="A15" s="927" t="s">
        <v>405</v>
      </c>
      <c r="B15" s="831" t="s">
        <v>238</v>
      </c>
      <c r="C15" s="467">
        <v>45960</v>
      </c>
      <c r="D15" s="475" t="s">
        <v>259</v>
      </c>
      <c r="E15" s="476">
        <v>45944</v>
      </c>
      <c r="F15" s="475" t="s">
        <v>260</v>
      </c>
      <c r="G15" s="825"/>
      <c r="H15" s="478">
        <v>0</v>
      </c>
      <c r="I15" s="829" t="s">
        <v>318</v>
      </c>
      <c r="J15" s="478" t="s">
        <v>63</v>
      </c>
      <c r="K15" s="487"/>
      <c r="L15" s="476" t="s">
        <v>52</v>
      </c>
      <c r="M15" s="478" t="s">
        <v>57</v>
      </c>
      <c r="N15" s="543">
        <v>50539.6</v>
      </c>
      <c r="O15" s="478" t="s">
        <v>57</v>
      </c>
      <c r="P15" s="626" t="s">
        <v>319</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238</v>
      </c>
      <c r="C16" s="467" t="s">
        <v>408</v>
      </c>
      <c r="D16" s="475" t="s">
        <v>72</v>
      </c>
      <c r="E16" s="476">
        <v>45964</v>
      </c>
      <c r="F16" s="475" t="s">
        <v>409</v>
      </c>
      <c r="G16" s="825"/>
      <c r="H16" s="478">
        <v>0</v>
      </c>
      <c r="I16" s="469" t="s">
        <v>318</v>
      </c>
      <c r="J16" s="478" t="s">
        <v>63</v>
      </c>
      <c r="K16" s="469"/>
      <c r="L16" s="476" t="s">
        <v>52</v>
      </c>
      <c r="M16" s="478" t="s">
        <v>57</v>
      </c>
      <c r="N16" s="543">
        <v>2670.65</v>
      </c>
      <c r="O16" s="478" t="s">
        <v>57</v>
      </c>
      <c r="P16" s="626" t="s">
        <v>319</v>
      </c>
      <c r="Q16" s="479">
        <v>45937</v>
      </c>
      <c r="R16" s="479"/>
      <c r="S16" s="479"/>
      <c r="T16" s="479"/>
      <c r="U16" s="479"/>
      <c r="V16" s="986">
        <v>209</v>
      </c>
      <c r="W16" s="627">
        <v>207</v>
      </c>
      <c r="X16" s="472">
        <f t="shared" si="6"/>
        <v>2</v>
      </c>
      <c r="Y16" s="662">
        <f t="shared" si="7"/>
        <v>0.99043062200956933</v>
      </c>
      <c r="Z16" s="479">
        <v>45964</v>
      </c>
      <c r="AA16" s="355">
        <v>0</v>
      </c>
      <c r="AB16" s="355">
        <v>0</v>
      </c>
      <c r="AC16" s="645">
        <v>0</v>
      </c>
      <c r="AD16" s="474" t="s">
        <v>241</v>
      </c>
    </row>
    <row r="17" spans="1:30" ht="39.75" customHeight="1">
      <c r="A17" s="927" t="s">
        <v>410</v>
      </c>
      <c r="B17" s="831" t="s">
        <v>316</v>
      </c>
      <c r="C17" s="467">
        <v>46006</v>
      </c>
      <c r="D17" s="475" t="s">
        <v>259</v>
      </c>
      <c r="E17" s="476">
        <v>45987</v>
      </c>
      <c r="F17" s="475" t="s">
        <v>250</v>
      </c>
      <c r="G17" s="825" t="s">
        <v>411</v>
      </c>
      <c r="H17" s="478">
        <v>35</v>
      </c>
      <c r="I17" s="829" t="s">
        <v>318</v>
      </c>
      <c r="J17" s="478" t="s">
        <v>63</v>
      </c>
      <c r="K17" s="469"/>
      <c r="L17" s="476" t="s">
        <v>52</v>
      </c>
      <c r="M17" s="478" t="s">
        <v>57</v>
      </c>
      <c r="N17" s="543">
        <v>35942</v>
      </c>
      <c r="O17" s="478" t="s">
        <v>57</v>
      </c>
      <c r="P17" s="626" t="s">
        <v>319</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927" t="s">
        <v>413</v>
      </c>
      <c r="B18" s="491" t="s">
        <v>316</v>
      </c>
      <c r="C18" s="467">
        <v>46006</v>
      </c>
      <c r="D18" s="475" t="s">
        <v>259</v>
      </c>
      <c r="E18" s="476">
        <v>45975</v>
      </c>
      <c r="F18" s="475" t="s">
        <v>250</v>
      </c>
      <c r="G18" s="477" t="s">
        <v>414</v>
      </c>
      <c r="H18" s="478">
        <v>86</v>
      </c>
      <c r="I18" s="829" t="s">
        <v>318</v>
      </c>
      <c r="J18" s="832" t="s">
        <v>63</v>
      </c>
      <c r="K18" s="469"/>
      <c r="L18" s="476" t="s">
        <v>52</v>
      </c>
      <c r="M18" s="478" t="s">
        <v>57</v>
      </c>
      <c r="N18" s="543">
        <v>111432</v>
      </c>
      <c r="O18" s="478" t="s">
        <v>57</v>
      </c>
      <c r="P18" s="626" t="s">
        <v>319</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415</v>
      </c>
    </row>
    <row r="19" spans="1:30" ht="39.75" customHeight="1">
      <c r="A19" s="927" t="s">
        <v>416</v>
      </c>
      <c r="B19" s="491" t="s">
        <v>316</v>
      </c>
      <c r="C19" s="467">
        <v>46053</v>
      </c>
      <c r="D19" s="475" t="s">
        <v>259</v>
      </c>
      <c r="E19" s="476">
        <v>45964</v>
      </c>
      <c r="F19" s="475" t="s">
        <v>250</v>
      </c>
      <c r="G19" s="477"/>
      <c r="H19" s="478">
        <v>82</v>
      </c>
      <c r="I19" s="829" t="s">
        <v>318</v>
      </c>
      <c r="J19" s="478" t="s">
        <v>63</v>
      </c>
      <c r="K19" s="469"/>
      <c r="L19" s="476" t="s">
        <v>52</v>
      </c>
      <c r="M19" s="478" t="s">
        <v>57</v>
      </c>
      <c r="N19" s="543">
        <v>101871</v>
      </c>
      <c r="O19" s="478" t="s">
        <v>57</v>
      </c>
      <c r="P19" s="626" t="s">
        <v>319</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331</v>
      </c>
    </row>
    <row r="20" spans="1:30" ht="39.75" customHeight="1">
      <c r="A20" s="927" t="s">
        <v>417</v>
      </c>
      <c r="B20" s="491" t="s">
        <v>316</v>
      </c>
      <c r="C20" s="467">
        <v>46053</v>
      </c>
      <c r="D20" s="475" t="s">
        <v>259</v>
      </c>
      <c r="E20" s="476">
        <v>45974</v>
      </c>
      <c r="F20" s="475" t="s">
        <v>250</v>
      </c>
      <c r="G20" s="477" t="s">
        <v>418</v>
      </c>
      <c r="H20" s="478">
        <v>77</v>
      </c>
      <c r="I20" s="829" t="s">
        <v>318</v>
      </c>
      <c r="J20" s="478" t="s">
        <v>63</v>
      </c>
      <c r="K20" s="469"/>
      <c r="L20" s="476">
        <v>45965</v>
      </c>
      <c r="M20" s="478" t="s">
        <v>57</v>
      </c>
      <c r="N20" s="543">
        <v>90786</v>
      </c>
      <c r="O20" s="478" t="s">
        <v>57</v>
      </c>
      <c r="P20" s="626" t="s">
        <v>319</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331</v>
      </c>
    </row>
    <row r="21" spans="1:30" ht="39.75" customHeight="1">
      <c r="A21" s="927" t="s">
        <v>419</v>
      </c>
      <c r="B21" s="491" t="s">
        <v>316</v>
      </c>
      <c r="C21" s="467">
        <v>46006</v>
      </c>
      <c r="D21" s="475" t="s">
        <v>259</v>
      </c>
      <c r="E21" s="476">
        <v>45980</v>
      </c>
      <c r="F21" s="475" t="s">
        <v>250</v>
      </c>
      <c r="G21" s="825" t="s">
        <v>420</v>
      </c>
      <c r="H21" s="478">
        <v>75</v>
      </c>
      <c r="I21" s="829" t="s">
        <v>318</v>
      </c>
      <c r="J21" s="478" t="s">
        <v>63</v>
      </c>
      <c r="K21" s="469"/>
      <c r="L21" s="476" t="s">
        <v>52</v>
      </c>
      <c r="M21" s="478" t="s">
        <v>57</v>
      </c>
      <c r="N21" s="543">
        <v>82330</v>
      </c>
      <c r="O21" s="478" t="s">
        <v>57</v>
      </c>
      <c r="P21" s="626" t="s">
        <v>319</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421</v>
      </c>
    </row>
    <row r="22" spans="1:30" ht="39.75" customHeight="1">
      <c r="A22" s="496" t="s">
        <v>422</v>
      </c>
      <c r="B22" s="465" t="s">
        <v>117</v>
      </c>
      <c r="C22" s="467">
        <v>45868</v>
      </c>
      <c r="D22" s="467" t="s">
        <v>72</v>
      </c>
      <c r="E22" s="467">
        <v>45793</v>
      </c>
      <c r="F22" s="488" t="s">
        <v>118</v>
      </c>
      <c r="G22" s="1000" t="s">
        <v>423</v>
      </c>
      <c r="H22" s="469">
        <v>0</v>
      </c>
      <c r="I22" s="469" t="s">
        <v>318</v>
      </c>
      <c r="J22" s="469" t="s">
        <v>63</v>
      </c>
      <c r="K22" s="940"/>
      <c r="L22" s="467">
        <v>45793</v>
      </c>
      <c r="M22" s="469" t="s">
        <v>57</v>
      </c>
      <c r="N22" s="542">
        <v>53589.8</v>
      </c>
      <c r="O22" s="469" t="s">
        <v>57</v>
      </c>
      <c r="P22" s="626" t="s">
        <v>319</v>
      </c>
      <c r="Q22" s="471">
        <v>45793</v>
      </c>
      <c r="R22" s="471" t="s">
        <v>424</v>
      </c>
      <c r="S22" s="471"/>
      <c r="T22" s="471"/>
      <c r="U22" s="471">
        <v>45917</v>
      </c>
      <c r="V22" s="472">
        <v>8305</v>
      </c>
      <c r="W22" s="627">
        <v>8818</v>
      </c>
      <c r="X22" s="106">
        <f t="shared" si="6"/>
        <v>-513</v>
      </c>
      <c r="Y22" s="22">
        <f t="shared" si="7"/>
        <v>1.0617700180614087</v>
      </c>
      <c r="Z22" s="652">
        <v>45810</v>
      </c>
      <c r="AA22" s="355">
        <v>1</v>
      </c>
      <c r="AB22" s="355">
        <v>1</v>
      </c>
      <c r="AC22" s="645">
        <v>0</v>
      </c>
      <c r="AD22" s="413" t="s">
        <v>425</v>
      </c>
    </row>
    <row r="23" spans="1:30" ht="39.75" customHeight="1">
      <c r="A23" s="927" t="s">
        <v>426</v>
      </c>
      <c r="B23" s="465" t="s">
        <v>117</v>
      </c>
      <c r="C23" s="476">
        <v>45976</v>
      </c>
      <c r="D23" s="467" t="s">
        <v>137</v>
      </c>
      <c r="E23" s="467">
        <v>45959</v>
      </c>
      <c r="F23" s="465" t="s">
        <v>427</v>
      </c>
      <c r="G23" s="682"/>
      <c r="H23" s="469">
        <v>69</v>
      </c>
      <c r="I23" s="661" t="s">
        <v>318</v>
      </c>
      <c r="J23" s="469" t="s">
        <v>63</v>
      </c>
      <c r="K23" s="469"/>
      <c r="L23" s="467">
        <v>45962</v>
      </c>
      <c r="M23" s="469" t="s">
        <v>57</v>
      </c>
      <c r="N23" s="542">
        <v>37418</v>
      </c>
      <c r="O23" s="469" t="s">
        <v>57</v>
      </c>
      <c r="P23" s="626" t="s">
        <v>319</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428</v>
      </c>
    </row>
    <row r="24" spans="1:30" ht="39.75" customHeight="1">
      <c r="A24" s="927" t="s">
        <v>429</v>
      </c>
      <c r="B24" s="465" t="s">
        <v>117</v>
      </c>
      <c r="C24" s="467">
        <v>45991</v>
      </c>
      <c r="D24" s="467" t="s">
        <v>137</v>
      </c>
      <c r="E24" s="467">
        <v>45966</v>
      </c>
      <c r="F24" s="465" t="s">
        <v>118</v>
      </c>
      <c r="G24" s="468" t="s">
        <v>430</v>
      </c>
      <c r="H24" s="469">
        <v>69</v>
      </c>
      <c r="I24" s="661" t="s">
        <v>318</v>
      </c>
      <c r="J24" s="469" t="s">
        <v>63</v>
      </c>
      <c r="K24" s="469"/>
      <c r="L24" s="467">
        <v>45969</v>
      </c>
      <c r="M24" s="469" t="s">
        <v>57</v>
      </c>
      <c r="N24" s="542">
        <v>75672.100000000006</v>
      </c>
      <c r="O24" s="469" t="s">
        <v>57</v>
      </c>
      <c r="P24" s="626" t="s">
        <v>319</v>
      </c>
      <c r="Q24" s="471">
        <v>45969</v>
      </c>
      <c r="R24" s="471"/>
      <c r="S24" s="471"/>
      <c r="T24" s="471"/>
      <c r="U24" s="471"/>
      <c r="V24" s="472">
        <v>5654</v>
      </c>
      <c r="W24" s="627">
        <v>5654</v>
      </c>
      <c r="X24" s="472">
        <f t="shared" ref="X24:X26" si="8">SUM(V24-W24)</f>
        <v>0</v>
      </c>
      <c r="Y24" s="662">
        <f t="shared" ref="Y24:Y26" si="9">IFERROR($W24/$V24, 0)</f>
        <v>1</v>
      </c>
      <c r="Z24" s="479">
        <v>45978</v>
      </c>
      <c r="AA24" s="355">
        <v>1</v>
      </c>
      <c r="AB24" s="355">
        <v>1</v>
      </c>
      <c r="AC24" s="788">
        <v>0</v>
      </c>
      <c r="AD24" s="474" t="s">
        <v>431</v>
      </c>
    </row>
    <row r="25" spans="1:30" ht="39.75" customHeight="1">
      <c r="A25" s="927" t="s">
        <v>432</v>
      </c>
      <c r="B25" s="465" t="s">
        <v>117</v>
      </c>
      <c r="C25" s="467">
        <v>46001</v>
      </c>
      <c r="D25" s="467" t="s">
        <v>137</v>
      </c>
      <c r="E25" s="467">
        <v>45966</v>
      </c>
      <c r="F25" s="465" t="s">
        <v>118</v>
      </c>
      <c r="G25" s="682" t="s">
        <v>433</v>
      </c>
      <c r="H25" s="469">
        <v>88</v>
      </c>
      <c r="I25" s="661" t="s">
        <v>318</v>
      </c>
      <c r="J25" s="469" t="s">
        <v>63</v>
      </c>
      <c r="K25" s="469"/>
      <c r="L25" s="467">
        <v>45967</v>
      </c>
      <c r="M25" s="469" t="s">
        <v>57</v>
      </c>
      <c r="N25" s="542">
        <v>76565.850000000006</v>
      </c>
      <c r="O25" s="469" t="s">
        <v>57</v>
      </c>
      <c r="P25" s="626" t="s">
        <v>319</v>
      </c>
      <c r="Q25" s="471">
        <v>45967</v>
      </c>
      <c r="R25" s="552"/>
      <c r="S25" s="552"/>
      <c r="T25" s="552"/>
      <c r="U25" s="552"/>
      <c r="V25" s="472">
        <v>6025</v>
      </c>
      <c r="W25" s="627">
        <v>6130</v>
      </c>
      <c r="X25" s="472">
        <f t="shared" si="8"/>
        <v>-105</v>
      </c>
      <c r="Y25" s="662">
        <f t="shared" si="9"/>
        <v>1.0174273858921161</v>
      </c>
      <c r="Z25" s="479">
        <v>45985</v>
      </c>
      <c r="AA25" s="355">
        <v>1</v>
      </c>
      <c r="AB25" s="355">
        <v>1</v>
      </c>
      <c r="AC25" s="788">
        <v>0</v>
      </c>
      <c r="AD25" s="474" t="s">
        <v>434</v>
      </c>
    </row>
    <row r="26" spans="1:30" ht="39.75" customHeight="1">
      <c r="A26" s="927" t="s">
        <v>435</v>
      </c>
      <c r="B26" s="465" t="s">
        <v>117</v>
      </c>
      <c r="C26" s="467">
        <v>45991</v>
      </c>
      <c r="D26" s="467" t="s">
        <v>137</v>
      </c>
      <c r="E26" s="467">
        <v>45966</v>
      </c>
      <c r="F26" s="465" t="s">
        <v>118</v>
      </c>
      <c r="G26" s="682" t="s">
        <v>436</v>
      </c>
      <c r="H26" s="469">
        <v>83</v>
      </c>
      <c r="I26" s="661" t="s">
        <v>318</v>
      </c>
      <c r="J26" s="469" t="s">
        <v>63</v>
      </c>
      <c r="K26" s="469"/>
      <c r="L26" s="467">
        <v>45969</v>
      </c>
      <c r="M26" s="469" t="s">
        <v>57</v>
      </c>
      <c r="N26" s="542">
        <v>66402</v>
      </c>
      <c r="O26" s="469" t="s">
        <v>57</v>
      </c>
      <c r="P26" s="626" t="s">
        <v>319</v>
      </c>
      <c r="Q26" s="471">
        <v>45969</v>
      </c>
      <c r="R26" s="552"/>
      <c r="S26" s="552"/>
      <c r="T26" s="552"/>
      <c r="U26" s="552"/>
      <c r="V26" s="472">
        <v>5324</v>
      </c>
      <c r="W26" s="627">
        <v>5304</v>
      </c>
      <c r="X26" s="472">
        <f t="shared" si="8"/>
        <v>20</v>
      </c>
      <c r="Y26" s="662">
        <f t="shared" si="9"/>
        <v>0.99624342599549209</v>
      </c>
      <c r="Z26" s="479">
        <v>45979</v>
      </c>
      <c r="AA26" s="355">
        <v>1</v>
      </c>
      <c r="AB26" s="355">
        <v>1</v>
      </c>
      <c r="AC26" s="788">
        <v>0</v>
      </c>
      <c r="AD26" s="474" t="s">
        <v>437</v>
      </c>
    </row>
    <row r="27" spans="1:30" ht="39.75" customHeight="1">
      <c r="A27" s="927" t="s">
        <v>438</v>
      </c>
      <c r="B27" s="465" t="s">
        <v>117</v>
      </c>
      <c r="C27" s="467">
        <v>46001</v>
      </c>
      <c r="D27" s="467" t="s">
        <v>137</v>
      </c>
      <c r="E27" s="467">
        <v>45966</v>
      </c>
      <c r="F27" s="465" t="s">
        <v>118</v>
      </c>
      <c r="G27" s="682" t="s">
        <v>439</v>
      </c>
      <c r="H27" s="469">
        <v>77</v>
      </c>
      <c r="I27" s="661" t="s">
        <v>318</v>
      </c>
      <c r="J27" s="469" t="s">
        <v>63</v>
      </c>
      <c r="K27" s="469"/>
      <c r="L27" s="467">
        <v>45967</v>
      </c>
      <c r="M27" s="469" t="s">
        <v>57</v>
      </c>
      <c r="N27" s="542">
        <v>63997.35</v>
      </c>
      <c r="O27" s="469" t="s">
        <v>57</v>
      </c>
      <c r="P27" s="626" t="s">
        <v>319</v>
      </c>
      <c r="Q27" s="471">
        <v>45967</v>
      </c>
      <c r="R27" s="552"/>
      <c r="S27" s="552"/>
      <c r="T27" s="552"/>
      <c r="U27" s="552"/>
      <c r="V27" s="472">
        <v>5053</v>
      </c>
      <c r="W27" s="627">
        <v>4915</v>
      </c>
      <c r="X27" s="472">
        <f>SUM(V27-W27)</f>
        <v>138</v>
      </c>
      <c r="Y27" s="662">
        <f>IFERROR($W27/$V27, 0)</f>
        <v>0.97268949139125271</v>
      </c>
      <c r="Z27" s="479">
        <v>45995</v>
      </c>
      <c r="AA27" s="355">
        <v>0</v>
      </c>
      <c r="AB27" s="355">
        <v>0</v>
      </c>
      <c r="AC27" s="788">
        <v>0</v>
      </c>
      <c r="AD27" s="758" t="s">
        <v>440</v>
      </c>
    </row>
    <row r="28" spans="1:30" ht="39.75" customHeight="1">
      <c r="A28" s="927" t="s">
        <v>441</v>
      </c>
      <c r="B28" s="465" t="s">
        <v>117</v>
      </c>
      <c r="C28" s="467">
        <v>45975</v>
      </c>
      <c r="D28" s="467" t="s">
        <v>174</v>
      </c>
      <c r="E28" s="467">
        <v>45982</v>
      </c>
      <c r="F28" s="642" t="s">
        <v>118</v>
      </c>
      <c r="G28" s="682" t="s">
        <v>442</v>
      </c>
      <c r="H28" s="469">
        <v>0</v>
      </c>
      <c r="I28" s="469" t="s">
        <v>318</v>
      </c>
      <c r="J28" s="469" t="s">
        <v>63</v>
      </c>
      <c r="K28" s="469"/>
      <c r="L28" s="467">
        <v>45968</v>
      </c>
      <c r="M28" s="469" t="s">
        <v>57</v>
      </c>
      <c r="N28" s="542">
        <v>12840.7</v>
      </c>
      <c r="O28" s="469" t="s">
        <v>57</v>
      </c>
      <c r="P28" s="626" t="s">
        <v>319</v>
      </c>
      <c r="Q28" s="124">
        <v>45937</v>
      </c>
      <c r="R28" s="652"/>
      <c r="S28" s="471"/>
      <c r="T28" s="471"/>
      <c r="U28" s="124"/>
      <c r="V28" s="1035">
        <v>911</v>
      </c>
      <c r="W28" s="1098">
        <v>974</v>
      </c>
      <c r="X28" s="646">
        <f>SUM(V28-W28)</f>
        <v>-63</v>
      </c>
      <c r="Y28" s="662">
        <f>IFERROR($W28/$V28, 0)</f>
        <v>1.0691547749725576</v>
      </c>
      <c r="Z28" s="479">
        <v>45985</v>
      </c>
      <c r="AA28" s="355">
        <v>1</v>
      </c>
      <c r="AB28" s="355">
        <v>1</v>
      </c>
      <c r="AC28" s="965">
        <v>0</v>
      </c>
      <c r="AD28" s="758" t="s">
        <v>443</v>
      </c>
    </row>
    <row r="29" spans="1:30" ht="39.75" customHeight="1">
      <c r="A29" s="927" t="s">
        <v>444</v>
      </c>
      <c r="B29" s="465" t="s">
        <v>117</v>
      </c>
      <c r="C29" s="488">
        <v>45838</v>
      </c>
      <c r="D29" s="488" t="s">
        <v>137</v>
      </c>
      <c r="E29" s="476">
        <v>45786</v>
      </c>
      <c r="F29" s="488" t="s">
        <v>187</v>
      </c>
      <c r="G29" s="938" t="s">
        <v>445</v>
      </c>
      <c r="H29" s="469">
        <v>0</v>
      </c>
      <c r="I29" s="470" t="s">
        <v>318</v>
      </c>
      <c r="J29" s="469" t="s">
        <v>63</v>
      </c>
      <c r="K29" s="469"/>
      <c r="L29" s="467">
        <v>45790</v>
      </c>
      <c r="M29" s="469" t="s">
        <v>57</v>
      </c>
      <c r="N29" s="542">
        <v>63283</v>
      </c>
      <c r="O29" s="469" t="s">
        <v>57</v>
      </c>
      <c r="P29" s="626" t="s">
        <v>319</v>
      </c>
      <c r="Q29" s="471">
        <v>45790</v>
      </c>
      <c r="R29" s="471">
        <v>45813</v>
      </c>
      <c r="S29" s="471">
        <v>45814</v>
      </c>
      <c r="T29" s="471">
        <v>45828</v>
      </c>
      <c r="U29" s="471">
        <v>45846</v>
      </c>
      <c r="V29" s="472">
        <v>5776</v>
      </c>
      <c r="W29" s="627">
        <v>5776</v>
      </c>
      <c r="X29" s="106">
        <f t="shared" ref="X29:X61" si="10">SUM(V29-W29)</f>
        <v>0</v>
      </c>
      <c r="Y29" s="22">
        <f t="shared" ref="Y29:Y61" si="11">IFERROR($W29/$V29, 0)</f>
        <v>1</v>
      </c>
      <c r="Z29" s="652">
        <v>45796</v>
      </c>
      <c r="AA29" s="355">
        <v>1</v>
      </c>
      <c r="AB29" s="355">
        <v>1</v>
      </c>
      <c r="AC29" s="645">
        <v>0</v>
      </c>
      <c r="AD29" s="323" t="s">
        <v>446</v>
      </c>
    </row>
    <row r="30" spans="1:30" ht="39.75" customHeight="1">
      <c r="A30" s="927" t="s">
        <v>447</v>
      </c>
      <c r="B30" s="465" t="s">
        <v>117</v>
      </c>
      <c r="C30" s="467">
        <v>46021</v>
      </c>
      <c r="D30" s="465" t="s">
        <v>51</v>
      </c>
      <c r="E30" s="467" t="s">
        <v>52</v>
      </c>
      <c r="F30" s="465" t="s">
        <v>138</v>
      </c>
      <c r="G30" s="468" t="s">
        <v>448</v>
      </c>
      <c r="H30" s="469">
        <v>0</v>
      </c>
      <c r="I30" s="469" t="s">
        <v>318</v>
      </c>
      <c r="J30" s="469" t="s">
        <v>63</v>
      </c>
      <c r="K30" s="469"/>
      <c r="L30" s="467" t="s">
        <v>184</v>
      </c>
      <c r="M30" s="469" t="s">
        <v>57</v>
      </c>
      <c r="N30" s="542">
        <v>1931.75</v>
      </c>
      <c r="O30" s="469" t="s">
        <v>57</v>
      </c>
      <c r="P30" s="1064" t="s">
        <v>319</v>
      </c>
      <c r="Q30" s="124"/>
      <c r="R30" s="652"/>
      <c r="S30" s="471"/>
      <c r="T30" s="471"/>
      <c r="U30" s="471"/>
      <c r="V30" s="416">
        <v>0</v>
      </c>
      <c r="W30" s="581">
        <v>0</v>
      </c>
      <c r="X30" s="472">
        <f>SUM(V30-W30)</f>
        <v>0</v>
      </c>
      <c r="Y30" s="662">
        <f t="shared" si="11"/>
        <v>0</v>
      </c>
      <c r="Z30" s="479">
        <v>45996</v>
      </c>
      <c r="AA30" s="355">
        <v>0</v>
      </c>
      <c r="AB30" s="355">
        <v>1</v>
      </c>
      <c r="AC30" s="472">
        <v>0</v>
      </c>
      <c r="AD30" s="170" t="s">
        <v>449</v>
      </c>
    </row>
    <row r="31" spans="1:30" ht="39.75" customHeight="1">
      <c r="A31" s="927" t="s">
        <v>450</v>
      </c>
      <c r="B31" s="681" t="s">
        <v>117</v>
      </c>
      <c r="C31" s="476">
        <v>45991</v>
      </c>
      <c r="D31" s="465" t="s">
        <v>451</v>
      </c>
      <c r="E31" s="467">
        <v>45936</v>
      </c>
      <c r="F31" s="465" t="s">
        <v>118</v>
      </c>
      <c r="G31" s="682"/>
      <c r="H31" s="469">
        <v>0</v>
      </c>
      <c r="I31" s="469" t="s">
        <v>318</v>
      </c>
      <c r="J31" s="469" t="s">
        <v>63</v>
      </c>
      <c r="K31" s="469"/>
      <c r="L31" s="467" t="s">
        <v>184</v>
      </c>
      <c r="M31" s="469" t="s">
        <v>57</v>
      </c>
      <c r="N31" s="542">
        <v>74164.05</v>
      </c>
      <c r="O31" s="469" t="s">
        <v>57</v>
      </c>
      <c r="P31" s="1064" t="s">
        <v>319</v>
      </c>
      <c r="Q31" s="124">
        <v>45939</v>
      </c>
      <c r="R31" s="652"/>
      <c r="S31" s="471"/>
      <c r="T31" s="471"/>
      <c r="U31" s="471"/>
      <c r="V31" s="416">
        <v>5613</v>
      </c>
      <c r="W31" s="581">
        <v>5774</v>
      </c>
      <c r="X31" s="472">
        <f t="shared" si="10"/>
        <v>-161</v>
      </c>
      <c r="Y31" s="662">
        <f t="shared" si="11"/>
        <v>1.0286834135043648</v>
      </c>
      <c r="Z31" s="479">
        <v>45960</v>
      </c>
      <c r="AA31" s="355">
        <v>1</v>
      </c>
      <c r="AB31" s="355">
        <v>1</v>
      </c>
      <c r="AC31" s="472">
        <v>0</v>
      </c>
      <c r="AD31" s="170" t="s">
        <v>452</v>
      </c>
    </row>
    <row r="32" spans="1:30" ht="39.75" customHeight="1">
      <c r="A32" s="927" t="s">
        <v>453</v>
      </c>
      <c r="B32" s="465" t="s">
        <v>117</v>
      </c>
      <c r="C32" s="476">
        <v>45960</v>
      </c>
      <c r="D32" s="467" t="s">
        <v>454</v>
      </c>
      <c r="E32" s="467">
        <v>45939</v>
      </c>
      <c r="F32" s="465" t="s">
        <v>187</v>
      </c>
      <c r="G32" s="682"/>
      <c r="H32" s="469">
        <v>385</v>
      </c>
      <c r="I32" s="661" t="s">
        <v>318</v>
      </c>
      <c r="J32" s="469" t="s">
        <v>56</v>
      </c>
      <c r="K32" s="469"/>
      <c r="L32" s="467">
        <v>45937</v>
      </c>
      <c r="M32" s="469" t="s">
        <v>57</v>
      </c>
      <c r="N32" s="542">
        <v>210533.1</v>
      </c>
      <c r="O32" s="469" t="s">
        <v>57</v>
      </c>
      <c r="P32" s="626" t="s">
        <v>319</v>
      </c>
      <c r="Q32" s="471">
        <v>45936</v>
      </c>
      <c r="R32" s="471"/>
      <c r="S32" s="471"/>
      <c r="T32" s="471"/>
      <c r="U32" s="471"/>
      <c r="V32" s="416">
        <v>18693</v>
      </c>
      <c r="W32" s="581">
        <v>18693</v>
      </c>
      <c r="X32" s="472">
        <f t="shared" si="10"/>
        <v>0</v>
      </c>
      <c r="Y32" s="662">
        <f t="shared" si="11"/>
        <v>1</v>
      </c>
      <c r="Z32" s="479">
        <v>45944</v>
      </c>
      <c r="AA32" s="355">
        <v>1</v>
      </c>
      <c r="AB32" s="355">
        <v>1</v>
      </c>
      <c r="AC32" s="472">
        <v>0</v>
      </c>
      <c r="AD32" s="170" t="s">
        <v>455</v>
      </c>
    </row>
    <row r="33" spans="1:30" ht="39.75" customHeight="1">
      <c r="A33" s="927" t="s">
        <v>456</v>
      </c>
      <c r="B33" s="465" t="s">
        <v>117</v>
      </c>
      <c r="C33" s="467">
        <v>45996</v>
      </c>
      <c r="D33" s="467" t="s">
        <v>454</v>
      </c>
      <c r="E33" s="467">
        <v>45958</v>
      </c>
      <c r="F33" s="465" t="s">
        <v>138</v>
      </c>
      <c r="G33" s="468" t="s">
        <v>457</v>
      </c>
      <c r="H33" s="469">
        <v>303</v>
      </c>
      <c r="I33" s="661" t="s">
        <v>318</v>
      </c>
      <c r="J33" s="469" t="s">
        <v>56</v>
      </c>
      <c r="K33" s="469"/>
      <c r="L33" s="467">
        <v>45953</v>
      </c>
      <c r="M33" s="469" t="s">
        <v>57</v>
      </c>
      <c r="N33" s="542">
        <v>168480.8</v>
      </c>
      <c r="O33" s="469" t="s">
        <v>57</v>
      </c>
      <c r="P33" s="626" t="s">
        <v>319</v>
      </c>
      <c r="Q33" s="471">
        <v>45953</v>
      </c>
      <c r="R33" s="471"/>
      <c r="S33" s="471"/>
      <c r="T33" s="471"/>
      <c r="U33" s="471"/>
      <c r="V33" s="472">
        <v>14659</v>
      </c>
      <c r="W33" s="627">
        <v>14659</v>
      </c>
      <c r="X33" s="472">
        <f t="shared" si="10"/>
        <v>0</v>
      </c>
      <c r="Y33" s="662">
        <f t="shared" si="11"/>
        <v>1</v>
      </c>
      <c r="Z33" s="479">
        <v>45978</v>
      </c>
      <c r="AA33" s="355">
        <v>1</v>
      </c>
      <c r="AB33" s="355">
        <v>0</v>
      </c>
      <c r="AC33" s="472">
        <v>0</v>
      </c>
      <c r="AD33" s="758" t="s">
        <v>458</v>
      </c>
    </row>
    <row r="34" spans="1:30" ht="39.75" customHeight="1">
      <c r="A34" s="927" t="s">
        <v>459</v>
      </c>
      <c r="B34" s="465" t="s">
        <v>117</v>
      </c>
      <c r="C34" s="467">
        <v>46017</v>
      </c>
      <c r="D34" s="467" t="s">
        <v>233</v>
      </c>
      <c r="E34" s="467">
        <v>45936</v>
      </c>
      <c r="F34" s="465" t="s">
        <v>118</v>
      </c>
      <c r="G34" s="468"/>
      <c r="H34" s="469">
        <v>157</v>
      </c>
      <c r="I34" s="661" t="s">
        <v>318</v>
      </c>
      <c r="J34" s="469" t="s">
        <v>56</v>
      </c>
      <c r="K34" s="469"/>
      <c r="L34" s="467">
        <v>45943</v>
      </c>
      <c r="M34" s="469" t="s">
        <v>57</v>
      </c>
      <c r="N34" s="542">
        <v>64059.5</v>
      </c>
      <c r="O34" s="469" t="s">
        <v>57</v>
      </c>
      <c r="P34" s="626" t="s">
        <v>319</v>
      </c>
      <c r="Q34" s="471">
        <v>45943</v>
      </c>
      <c r="R34" s="471"/>
      <c r="S34" s="471"/>
      <c r="T34" s="471"/>
      <c r="U34" s="471"/>
      <c r="V34" s="472">
        <v>4725</v>
      </c>
      <c r="W34" s="627">
        <v>4725</v>
      </c>
      <c r="X34" s="472">
        <f t="shared" si="10"/>
        <v>0</v>
      </c>
      <c r="Y34" s="662">
        <f t="shared" si="11"/>
        <v>1</v>
      </c>
      <c r="Z34" s="479">
        <v>45971</v>
      </c>
      <c r="AA34" s="355">
        <v>1</v>
      </c>
      <c r="AB34" s="355">
        <v>1</v>
      </c>
      <c r="AC34" s="472">
        <v>0</v>
      </c>
      <c r="AD34" s="758" t="s">
        <v>460</v>
      </c>
    </row>
    <row r="35" spans="1:30" ht="39.75" customHeight="1">
      <c r="A35" s="1151" t="s">
        <v>461</v>
      </c>
      <c r="B35" s="1152" t="s">
        <v>339</v>
      </c>
      <c r="C35" s="375">
        <v>46019</v>
      </c>
      <c r="D35" s="977" t="s">
        <v>137</v>
      </c>
      <c r="E35" s="375">
        <v>45959</v>
      </c>
      <c r="F35" s="374" t="s">
        <v>340</v>
      </c>
      <c r="G35" s="671" t="s">
        <v>462</v>
      </c>
      <c r="H35" s="1068">
        <v>89</v>
      </c>
      <c r="I35" s="978" t="s">
        <v>318</v>
      </c>
      <c r="J35" s="979" t="s">
        <v>63</v>
      </c>
      <c r="K35" s="469"/>
      <c r="L35" s="375">
        <v>45964</v>
      </c>
      <c r="M35" s="979" t="s">
        <v>57</v>
      </c>
      <c r="N35" s="1069">
        <v>62937.05</v>
      </c>
      <c r="O35" s="52" t="s">
        <v>57</v>
      </c>
      <c r="P35" s="1071" t="s">
        <v>319</v>
      </c>
      <c r="Q35" s="124">
        <v>45964</v>
      </c>
      <c r="R35" s="651"/>
      <c r="S35" s="651"/>
      <c r="T35" s="651"/>
      <c r="U35" s="124">
        <v>46002</v>
      </c>
      <c r="V35" s="1012">
        <v>8523</v>
      </c>
      <c r="W35" s="1013">
        <v>8457</v>
      </c>
      <c r="X35" s="1012">
        <f>SUM(V35-W35)</f>
        <v>66</v>
      </c>
      <c r="Y35" s="1153">
        <f>IFERROR($W35/$V35, 0)</f>
        <v>0.99225624780007038</v>
      </c>
      <c r="Z35" s="124">
        <v>45966</v>
      </c>
      <c r="AA35" s="601">
        <v>1</v>
      </c>
      <c r="AB35" s="601">
        <v>0</v>
      </c>
      <c r="AC35" s="472">
        <v>0</v>
      </c>
      <c r="AD35" s="1037" t="s">
        <v>463</v>
      </c>
    </row>
    <row r="36" spans="1:30" ht="39.75" customHeight="1">
      <c r="A36" s="1087" t="s">
        <v>464</v>
      </c>
      <c r="B36" s="981" t="s">
        <v>339</v>
      </c>
      <c r="C36" s="467">
        <v>46045</v>
      </c>
      <c r="D36" s="642" t="s">
        <v>137</v>
      </c>
      <c r="E36" s="467"/>
      <c r="F36" s="465"/>
      <c r="G36" s="468"/>
      <c r="H36" s="1076">
        <v>77</v>
      </c>
      <c r="I36" s="829" t="s">
        <v>318</v>
      </c>
      <c r="J36" s="478" t="s">
        <v>63</v>
      </c>
      <c r="K36" s="1077"/>
      <c r="L36" s="476" t="s">
        <v>52</v>
      </c>
      <c r="M36" s="478" t="s">
        <v>57</v>
      </c>
      <c r="N36" s="1078">
        <v>4046.5</v>
      </c>
      <c r="O36" s="478" t="s">
        <v>57</v>
      </c>
      <c r="P36" s="626" t="s">
        <v>319</v>
      </c>
      <c r="Q36" s="471" t="s">
        <v>52</v>
      </c>
      <c r="R36" s="552"/>
      <c r="S36" s="552"/>
      <c r="T36" s="552"/>
      <c r="U36" s="471">
        <v>45999</v>
      </c>
      <c r="V36" s="1082">
        <v>5136</v>
      </c>
      <c r="W36" s="627">
        <v>5136</v>
      </c>
      <c r="X36" s="1012">
        <f t="shared" si="10"/>
        <v>0</v>
      </c>
      <c r="Y36" s="71">
        <f t="shared" si="11"/>
        <v>1</v>
      </c>
      <c r="Z36" s="652">
        <v>45964</v>
      </c>
      <c r="AA36" s="355">
        <v>1</v>
      </c>
      <c r="AB36" s="355">
        <v>0</v>
      </c>
      <c r="AC36" s="41">
        <v>0</v>
      </c>
      <c r="AD36" s="874" t="s">
        <v>465</v>
      </c>
    </row>
    <row r="37" spans="1:30" ht="39.75" customHeight="1">
      <c r="A37" s="1073" t="s">
        <v>466</v>
      </c>
      <c r="B37" s="981" t="s">
        <v>339</v>
      </c>
      <c r="C37" s="467">
        <v>46045</v>
      </c>
      <c r="D37" s="642" t="s">
        <v>137</v>
      </c>
      <c r="E37" s="467"/>
      <c r="F37" s="465"/>
      <c r="G37" s="468"/>
      <c r="H37" s="1076">
        <v>85</v>
      </c>
      <c r="I37" s="829" t="s">
        <v>318</v>
      </c>
      <c r="J37" s="478" t="s">
        <v>63</v>
      </c>
      <c r="K37" s="1077"/>
      <c r="L37" s="476" t="s">
        <v>52</v>
      </c>
      <c r="M37" s="478" t="s">
        <v>57</v>
      </c>
      <c r="N37" s="1078">
        <v>29180.45</v>
      </c>
      <c r="O37" s="478" t="s">
        <v>57</v>
      </c>
      <c r="P37" s="626" t="s">
        <v>319</v>
      </c>
      <c r="Q37" s="471" t="s">
        <v>52</v>
      </c>
      <c r="R37" s="552"/>
      <c r="S37" s="552"/>
      <c r="T37" s="552"/>
      <c r="U37" s="124">
        <v>46002</v>
      </c>
      <c r="V37" s="1082">
        <v>6249</v>
      </c>
      <c r="W37" s="627">
        <v>6183</v>
      </c>
      <c r="X37" s="1012">
        <f t="shared" si="10"/>
        <v>66</v>
      </c>
      <c r="Y37" s="71">
        <f t="shared" si="11"/>
        <v>0.98943831012962069</v>
      </c>
      <c r="Z37" s="652">
        <v>45964</v>
      </c>
      <c r="AA37" s="355">
        <v>1</v>
      </c>
      <c r="AB37" s="355">
        <v>0</v>
      </c>
      <c r="AC37" s="41">
        <v>0</v>
      </c>
      <c r="AD37" s="1083" t="s">
        <v>467</v>
      </c>
    </row>
    <row r="38" spans="1:30" ht="39.75" customHeight="1">
      <c r="A38" s="1088" t="s">
        <v>468</v>
      </c>
      <c r="B38" s="981" t="s">
        <v>339</v>
      </c>
      <c r="C38" s="467">
        <v>46045</v>
      </c>
      <c r="D38" s="642" t="s">
        <v>137</v>
      </c>
      <c r="E38" s="467"/>
      <c r="F38" s="465"/>
      <c r="G38" s="468"/>
      <c r="H38" s="1076">
        <v>62</v>
      </c>
      <c r="I38" s="829" t="s">
        <v>318</v>
      </c>
      <c r="J38" s="478" t="s">
        <v>63</v>
      </c>
      <c r="K38" s="1077"/>
      <c r="L38" s="476" t="s">
        <v>52</v>
      </c>
      <c r="M38" s="478" t="s">
        <v>57</v>
      </c>
      <c r="N38" s="1078">
        <v>170</v>
      </c>
      <c r="O38" s="478" t="s">
        <v>57</v>
      </c>
      <c r="P38" s="712" t="s">
        <v>319</v>
      </c>
      <c r="Q38" s="471" t="s">
        <v>52</v>
      </c>
      <c r="R38" s="552"/>
      <c r="S38" s="552"/>
      <c r="T38" s="552"/>
      <c r="U38" s="124">
        <v>46002</v>
      </c>
      <c r="V38" s="1092">
        <v>4095</v>
      </c>
      <c r="W38" s="627">
        <v>4088</v>
      </c>
      <c r="X38" s="1012">
        <f t="shared" si="10"/>
        <v>7</v>
      </c>
      <c r="Y38" s="71">
        <f t="shared" si="11"/>
        <v>0.9982905982905983</v>
      </c>
      <c r="Z38" s="652">
        <v>45964</v>
      </c>
      <c r="AA38" s="355">
        <v>1</v>
      </c>
      <c r="AB38" s="355">
        <v>0</v>
      </c>
      <c r="AC38" s="41">
        <v>0</v>
      </c>
      <c r="AD38" s="874" t="s">
        <v>469</v>
      </c>
    </row>
    <row r="39" spans="1:30" ht="39.75" customHeight="1">
      <c r="A39" s="1073" t="s">
        <v>470</v>
      </c>
      <c r="B39" s="981" t="s">
        <v>339</v>
      </c>
      <c r="C39" s="467">
        <v>46045</v>
      </c>
      <c r="D39" s="642" t="s">
        <v>137</v>
      </c>
      <c r="E39" s="467">
        <v>45959</v>
      </c>
      <c r="F39" s="465" t="s">
        <v>340</v>
      </c>
      <c r="G39" s="468" t="s">
        <v>471</v>
      </c>
      <c r="H39" s="1076">
        <v>78</v>
      </c>
      <c r="I39" s="829" t="s">
        <v>318</v>
      </c>
      <c r="J39" s="478" t="s">
        <v>63</v>
      </c>
      <c r="K39" s="1077"/>
      <c r="L39" s="467">
        <v>45964</v>
      </c>
      <c r="M39" s="478" t="s">
        <v>57</v>
      </c>
      <c r="N39" s="1078">
        <v>170</v>
      </c>
      <c r="O39" s="478" t="s">
        <v>57</v>
      </c>
      <c r="P39" s="626" t="s">
        <v>319</v>
      </c>
      <c r="Q39" s="471">
        <v>45964</v>
      </c>
      <c r="R39" s="552"/>
      <c r="S39" s="552"/>
      <c r="T39" s="552"/>
      <c r="U39" s="471">
        <v>45999</v>
      </c>
      <c r="V39" s="1082">
        <v>7522</v>
      </c>
      <c r="W39" s="627">
        <v>7522</v>
      </c>
      <c r="X39" s="1082">
        <f t="shared" si="10"/>
        <v>0</v>
      </c>
      <c r="Y39" s="499">
        <f t="shared" si="11"/>
        <v>1</v>
      </c>
      <c r="Z39" s="471">
        <v>45964</v>
      </c>
      <c r="AA39" s="355">
        <v>1</v>
      </c>
      <c r="AB39" s="355">
        <v>1</v>
      </c>
      <c r="AC39" s="41">
        <v>0</v>
      </c>
      <c r="AD39" s="474" t="s">
        <v>472</v>
      </c>
    </row>
    <row r="40" spans="1:30" ht="39.75" customHeight="1">
      <c r="A40" s="1072" t="s">
        <v>473</v>
      </c>
      <c r="B40" s="450" t="s">
        <v>339</v>
      </c>
      <c r="C40" s="375">
        <v>46045</v>
      </c>
      <c r="D40" s="977" t="s">
        <v>137</v>
      </c>
      <c r="E40" s="375"/>
      <c r="F40" s="374"/>
      <c r="G40" s="637"/>
      <c r="H40" s="1068">
        <v>80</v>
      </c>
      <c r="I40" s="978" t="s">
        <v>318</v>
      </c>
      <c r="J40" s="979" t="s">
        <v>63</v>
      </c>
      <c r="K40" s="1010"/>
      <c r="L40" s="476" t="s">
        <v>52</v>
      </c>
      <c r="M40" s="979" t="s">
        <v>57</v>
      </c>
      <c r="N40" s="1069">
        <v>25891</v>
      </c>
      <c r="O40" s="52" t="s">
        <v>57</v>
      </c>
      <c r="P40" s="1071" t="s">
        <v>319</v>
      </c>
      <c r="Q40" s="471" t="s">
        <v>52</v>
      </c>
      <c r="R40" s="651"/>
      <c r="S40" s="651"/>
      <c r="T40" s="651"/>
      <c r="U40" s="124">
        <v>46002</v>
      </c>
      <c r="V40" s="1012">
        <v>5254</v>
      </c>
      <c r="W40" s="1013">
        <v>5254</v>
      </c>
      <c r="X40" s="1012">
        <f t="shared" si="10"/>
        <v>0</v>
      </c>
      <c r="Y40" s="871">
        <f t="shared" si="11"/>
        <v>1</v>
      </c>
      <c r="Z40" s="124">
        <v>45964</v>
      </c>
      <c r="AA40" s="355">
        <v>1</v>
      </c>
      <c r="AB40" s="355">
        <v>0</v>
      </c>
      <c r="AC40" s="41">
        <v>0</v>
      </c>
      <c r="AD40" s="436" t="s">
        <v>469</v>
      </c>
    </row>
    <row r="41" spans="1:30" ht="39.75" customHeight="1">
      <c r="A41" s="1072" t="s">
        <v>474</v>
      </c>
      <c r="B41" s="450" t="s">
        <v>339</v>
      </c>
      <c r="C41" s="375">
        <v>46045</v>
      </c>
      <c r="D41" s="977" t="s">
        <v>137</v>
      </c>
      <c r="E41" s="375"/>
      <c r="F41" s="374"/>
      <c r="G41" s="637"/>
      <c r="H41" s="1068">
        <v>83</v>
      </c>
      <c r="I41" s="978" t="s">
        <v>318</v>
      </c>
      <c r="J41" s="979" t="s">
        <v>63</v>
      </c>
      <c r="K41" s="1010"/>
      <c r="L41" s="476" t="s">
        <v>52</v>
      </c>
      <c r="M41" s="979" t="s">
        <v>57</v>
      </c>
      <c r="N41" s="1069">
        <v>170</v>
      </c>
      <c r="O41" s="52" t="s">
        <v>57</v>
      </c>
      <c r="P41" s="1071" t="s">
        <v>319</v>
      </c>
      <c r="Q41" s="471" t="s">
        <v>52</v>
      </c>
      <c r="R41" s="651"/>
      <c r="S41" s="651"/>
      <c r="T41" s="651"/>
      <c r="U41" s="124">
        <v>46002</v>
      </c>
      <c r="V41" s="1012">
        <v>5947</v>
      </c>
      <c r="W41" s="1013">
        <v>5947</v>
      </c>
      <c r="X41" s="1012">
        <f t="shared" si="10"/>
        <v>0</v>
      </c>
      <c r="Y41" s="871">
        <f t="shared" si="11"/>
        <v>1</v>
      </c>
      <c r="Z41" s="124">
        <v>45964</v>
      </c>
      <c r="AA41" s="355">
        <v>1</v>
      </c>
      <c r="AB41" s="355">
        <v>0</v>
      </c>
      <c r="AC41" s="41">
        <v>0</v>
      </c>
      <c r="AD41" s="436" t="s">
        <v>475</v>
      </c>
    </row>
    <row r="42" spans="1:30" ht="39.75" customHeight="1">
      <c r="A42" s="1072" t="s">
        <v>476</v>
      </c>
      <c r="B42" s="450" t="s">
        <v>339</v>
      </c>
      <c r="C42" s="375">
        <v>46045</v>
      </c>
      <c r="D42" s="977" t="s">
        <v>137</v>
      </c>
      <c r="E42" s="375"/>
      <c r="F42" s="374"/>
      <c r="G42" s="637"/>
      <c r="H42" s="1068">
        <v>85</v>
      </c>
      <c r="I42" s="978" t="s">
        <v>318</v>
      </c>
      <c r="J42" s="979" t="s">
        <v>63</v>
      </c>
      <c r="K42" s="1010"/>
      <c r="L42" s="476" t="s">
        <v>52</v>
      </c>
      <c r="M42" s="979" t="s">
        <v>57</v>
      </c>
      <c r="N42" s="1069">
        <v>30788</v>
      </c>
      <c r="O42" s="52" t="s">
        <v>57</v>
      </c>
      <c r="P42" s="1071" t="s">
        <v>319</v>
      </c>
      <c r="Q42" s="471" t="s">
        <v>52</v>
      </c>
      <c r="R42" s="651"/>
      <c r="S42" s="651"/>
      <c r="T42" s="651"/>
      <c r="U42" s="471">
        <v>45999</v>
      </c>
      <c r="V42" s="1012">
        <v>5599</v>
      </c>
      <c r="W42" s="1013">
        <v>5599</v>
      </c>
      <c r="X42" s="1012">
        <f t="shared" si="10"/>
        <v>0</v>
      </c>
      <c r="Y42" s="871">
        <f t="shared" si="11"/>
        <v>1</v>
      </c>
      <c r="Z42" s="124">
        <v>45964</v>
      </c>
      <c r="AA42" s="355">
        <v>1</v>
      </c>
      <c r="AB42" s="601">
        <v>0</v>
      </c>
      <c r="AC42" s="980">
        <v>0</v>
      </c>
      <c r="AD42" s="436" t="s">
        <v>477</v>
      </c>
    </row>
    <row r="43" spans="1:30" ht="39.75" customHeight="1">
      <c r="A43" s="1072" t="s">
        <v>478</v>
      </c>
      <c r="B43" s="450" t="s">
        <v>339</v>
      </c>
      <c r="C43" s="375">
        <v>46045</v>
      </c>
      <c r="D43" s="977" t="s">
        <v>137</v>
      </c>
      <c r="E43" s="375"/>
      <c r="F43" s="374"/>
      <c r="G43" s="637"/>
      <c r="H43" s="1068">
        <v>88</v>
      </c>
      <c r="I43" s="978" t="s">
        <v>318</v>
      </c>
      <c r="J43" s="979" t="s">
        <v>63</v>
      </c>
      <c r="K43" s="1010"/>
      <c r="L43" s="476" t="s">
        <v>52</v>
      </c>
      <c r="M43" s="979" t="s">
        <v>57</v>
      </c>
      <c r="N43" s="1069">
        <v>5668</v>
      </c>
      <c r="O43" s="52" t="s">
        <v>57</v>
      </c>
      <c r="P43" s="1071" t="s">
        <v>319</v>
      </c>
      <c r="Q43" s="471" t="s">
        <v>52</v>
      </c>
      <c r="R43" s="651"/>
      <c r="S43" s="651"/>
      <c r="T43" s="651"/>
      <c r="U43" s="471">
        <v>45999</v>
      </c>
      <c r="V43" s="1012">
        <v>6646</v>
      </c>
      <c r="W43" s="1013">
        <v>6623</v>
      </c>
      <c r="X43" s="1012">
        <f t="shared" si="10"/>
        <v>23</v>
      </c>
      <c r="Y43" s="871">
        <f t="shared" si="11"/>
        <v>0.99653927174240142</v>
      </c>
      <c r="Z43" s="124">
        <v>45964</v>
      </c>
      <c r="AA43" s="355">
        <v>1</v>
      </c>
      <c r="AB43" s="355">
        <v>0</v>
      </c>
      <c r="AC43" s="41">
        <v>0</v>
      </c>
      <c r="AD43" s="436" t="s">
        <v>469</v>
      </c>
    </row>
    <row r="44" spans="1:30" ht="39.75" customHeight="1">
      <c r="A44" s="1072" t="s">
        <v>479</v>
      </c>
      <c r="B44" s="450" t="s">
        <v>339</v>
      </c>
      <c r="C44" s="375">
        <v>46045</v>
      </c>
      <c r="D44" s="977" t="s">
        <v>137</v>
      </c>
      <c r="E44" s="375"/>
      <c r="F44" s="374"/>
      <c r="G44" s="637"/>
      <c r="H44" s="1068">
        <v>30</v>
      </c>
      <c r="I44" s="978" t="s">
        <v>318</v>
      </c>
      <c r="J44" s="979" t="s">
        <v>63</v>
      </c>
      <c r="K44" s="1010"/>
      <c r="L44" s="476" t="s">
        <v>52</v>
      </c>
      <c r="M44" s="979" t="s">
        <v>57</v>
      </c>
      <c r="N44" s="1069">
        <v>170</v>
      </c>
      <c r="O44" s="52" t="s">
        <v>57</v>
      </c>
      <c r="P44" s="1071" t="s">
        <v>319</v>
      </c>
      <c r="Q44" s="471" t="s">
        <v>52</v>
      </c>
      <c r="R44" s="651"/>
      <c r="S44" s="651"/>
      <c r="T44" s="651"/>
      <c r="U44" s="124">
        <v>46002</v>
      </c>
      <c r="V44" s="1012">
        <v>2136</v>
      </c>
      <c r="W44" s="1013">
        <v>2136</v>
      </c>
      <c r="X44" s="1012">
        <f t="shared" si="10"/>
        <v>0</v>
      </c>
      <c r="Y44" s="871">
        <f t="shared" si="11"/>
        <v>1</v>
      </c>
      <c r="Z44" s="124">
        <v>45964</v>
      </c>
      <c r="AA44" s="355">
        <v>1</v>
      </c>
      <c r="AB44" s="355">
        <v>0</v>
      </c>
      <c r="AC44" s="41">
        <v>0</v>
      </c>
      <c r="AD44" s="436" t="s">
        <v>469</v>
      </c>
    </row>
    <row r="45" spans="1:30" ht="39.75" customHeight="1">
      <c r="A45" s="1072" t="s">
        <v>480</v>
      </c>
      <c r="B45" s="450" t="s">
        <v>339</v>
      </c>
      <c r="C45" s="375">
        <v>46045</v>
      </c>
      <c r="D45" s="977" t="s">
        <v>137</v>
      </c>
      <c r="E45" s="375">
        <v>45959</v>
      </c>
      <c r="F45" s="374" t="s">
        <v>187</v>
      </c>
      <c r="G45" s="637"/>
      <c r="H45" s="376">
        <v>89</v>
      </c>
      <c r="I45" s="978" t="s">
        <v>318</v>
      </c>
      <c r="J45" s="979" t="s">
        <v>63</v>
      </c>
      <c r="K45" s="650"/>
      <c r="L45" s="51">
        <v>45964</v>
      </c>
      <c r="M45" s="52" t="s">
        <v>57</v>
      </c>
      <c r="N45" s="839">
        <v>84750.5</v>
      </c>
      <c r="O45" s="52" t="s">
        <v>57</v>
      </c>
      <c r="P45" s="1071" t="s">
        <v>319</v>
      </c>
      <c r="Q45" s="54">
        <v>45964</v>
      </c>
      <c r="R45" s="651"/>
      <c r="S45" s="651"/>
      <c r="T45" s="651"/>
      <c r="U45" s="651"/>
      <c r="V45" s="106">
        <v>6935</v>
      </c>
      <c r="W45" s="1013">
        <v>6942</v>
      </c>
      <c r="X45" s="106">
        <f t="shared" si="10"/>
        <v>-7</v>
      </c>
      <c r="Y45" s="984">
        <f t="shared" si="11"/>
        <v>1.0010093727469358</v>
      </c>
      <c r="Z45" s="124">
        <v>45973</v>
      </c>
      <c r="AA45" s="355">
        <v>0</v>
      </c>
      <c r="AB45" s="355">
        <v>0</v>
      </c>
      <c r="AC45" s="41">
        <v>0</v>
      </c>
      <c r="AD45" s="436" t="s">
        <v>481</v>
      </c>
    </row>
    <row r="46" spans="1:30" ht="39.75" customHeight="1">
      <c r="A46" s="1072" t="s">
        <v>482</v>
      </c>
      <c r="B46" s="450" t="s">
        <v>339</v>
      </c>
      <c r="C46" s="375">
        <v>45989</v>
      </c>
      <c r="D46" s="977" t="s">
        <v>137</v>
      </c>
      <c r="E46" s="375">
        <v>45959</v>
      </c>
      <c r="F46" s="374" t="s">
        <v>187</v>
      </c>
      <c r="G46" s="637" t="s">
        <v>483</v>
      </c>
      <c r="H46" s="376">
        <v>59</v>
      </c>
      <c r="I46" s="978" t="s">
        <v>318</v>
      </c>
      <c r="J46" s="979" t="s">
        <v>63</v>
      </c>
      <c r="K46" s="650"/>
      <c r="L46" s="51">
        <v>45964</v>
      </c>
      <c r="M46" s="979" t="s">
        <v>57</v>
      </c>
      <c r="N46" s="839">
        <v>65066.5</v>
      </c>
      <c r="O46" s="52" t="s">
        <v>57</v>
      </c>
      <c r="P46" s="1071" t="s">
        <v>319</v>
      </c>
      <c r="Q46" s="54">
        <v>45964</v>
      </c>
      <c r="R46" s="1003"/>
      <c r="S46" s="651"/>
      <c r="T46" s="651"/>
      <c r="U46" s="651"/>
      <c r="V46" s="106">
        <v>5421</v>
      </c>
      <c r="W46" s="1013">
        <v>5466</v>
      </c>
      <c r="X46" s="472">
        <f t="shared" si="10"/>
        <v>-45</v>
      </c>
      <c r="Y46" s="871">
        <f t="shared" si="11"/>
        <v>1.0083010514665192</v>
      </c>
      <c r="Z46" s="124">
        <v>45985</v>
      </c>
      <c r="AA46" s="601">
        <v>0</v>
      </c>
      <c r="AB46" s="601">
        <v>0</v>
      </c>
      <c r="AC46" s="980">
        <v>0</v>
      </c>
      <c r="AD46" s="436" t="s">
        <v>484</v>
      </c>
    </row>
    <row r="47" spans="1:30" ht="39.75" customHeight="1">
      <c r="A47" s="1072" t="s">
        <v>485</v>
      </c>
      <c r="B47" s="450" t="s">
        <v>339</v>
      </c>
      <c r="C47" s="375">
        <v>46010</v>
      </c>
      <c r="D47" s="977" t="s">
        <v>137</v>
      </c>
      <c r="E47" s="375">
        <v>45959</v>
      </c>
      <c r="F47" s="374" t="s">
        <v>187</v>
      </c>
      <c r="G47" s="637" t="s">
        <v>486</v>
      </c>
      <c r="H47" s="376">
        <v>89</v>
      </c>
      <c r="I47" s="978" t="s">
        <v>318</v>
      </c>
      <c r="J47" s="979" t="s">
        <v>63</v>
      </c>
      <c r="K47" s="650"/>
      <c r="L47" s="51">
        <v>45964</v>
      </c>
      <c r="M47" s="979" t="s">
        <v>57</v>
      </c>
      <c r="N47" s="839">
        <v>81602</v>
      </c>
      <c r="O47" s="52" t="s">
        <v>57</v>
      </c>
      <c r="P47" s="1071" t="s">
        <v>319</v>
      </c>
      <c r="Q47" s="54">
        <v>45964</v>
      </c>
      <c r="R47" s="1003"/>
      <c r="S47" s="651"/>
      <c r="T47" s="651"/>
      <c r="U47" s="651"/>
      <c r="V47" s="106">
        <v>6752</v>
      </c>
      <c r="W47" s="1013">
        <v>6737</v>
      </c>
      <c r="X47" s="472">
        <f t="shared" si="10"/>
        <v>15</v>
      </c>
      <c r="Y47" s="871">
        <f t="shared" si="11"/>
        <v>0.99777843601895733</v>
      </c>
      <c r="Z47" s="124">
        <v>45992</v>
      </c>
      <c r="AA47" s="601">
        <v>0</v>
      </c>
      <c r="AB47" s="601">
        <v>0</v>
      </c>
      <c r="AC47" s="980">
        <v>0</v>
      </c>
      <c r="AD47" s="436" t="s">
        <v>487</v>
      </c>
    </row>
    <row r="48" spans="1:30" ht="39.75" customHeight="1">
      <c r="A48" s="1072" t="s">
        <v>488</v>
      </c>
      <c r="B48" s="450" t="s">
        <v>339</v>
      </c>
      <c r="C48" s="375">
        <v>46045</v>
      </c>
      <c r="D48" s="977" t="s">
        <v>137</v>
      </c>
      <c r="E48" s="375">
        <v>45959</v>
      </c>
      <c r="F48" s="374" t="s">
        <v>187</v>
      </c>
      <c r="G48" s="637"/>
      <c r="H48" s="376">
        <v>88</v>
      </c>
      <c r="I48" s="978" t="s">
        <v>318</v>
      </c>
      <c r="J48" s="979" t="s">
        <v>63</v>
      </c>
      <c r="K48" s="650"/>
      <c r="L48" s="51">
        <v>45961</v>
      </c>
      <c r="M48" s="52" t="s">
        <v>57</v>
      </c>
      <c r="N48" s="839">
        <v>88231.9</v>
      </c>
      <c r="O48" s="52" t="s">
        <v>57</v>
      </c>
      <c r="P48" s="1071" t="s">
        <v>319</v>
      </c>
      <c r="Q48" s="54">
        <v>45961</v>
      </c>
      <c r="R48" s="651"/>
      <c r="S48" s="651"/>
      <c r="T48" s="651"/>
      <c r="U48" s="651"/>
      <c r="V48" s="106">
        <v>7274</v>
      </c>
      <c r="W48" s="1013">
        <v>7274</v>
      </c>
      <c r="X48" s="106">
        <f t="shared" si="10"/>
        <v>0</v>
      </c>
      <c r="Y48" s="871">
        <f t="shared" si="11"/>
        <v>1</v>
      </c>
      <c r="Z48" s="124">
        <v>45968</v>
      </c>
      <c r="AA48" s="355">
        <v>0</v>
      </c>
      <c r="AB48" s="355">
        <v>0</v>
      </c>
      <c r="AC48" s="41">
        <v>0</v>
      </c>
      <c r="AD48" s="436" t="s">
        <v>489</v>
      </c>
    </row>
    <row r="49" spans="1:30" ht="39.75" customHeight="1">
      <c r="A49" s="1072" t="s">
        <v>490</v>
      </c>
      <c r="B49" s="450" t="s">
        <v>339</v>
      </c>
      <c r="C49" s="375">
        <v>45989</v>
      </c>
      <c r="D49" s="977" t="s">
        <v>137</v>
      </c>
      <c r="E49" s="375">
        <v>45959</v>
      </c>
      <c r="F49" s="374" t="s">
        <v>187</v>
      </c>
      <c r="G49" s="637" t="s">
        <v>491</v>
      </c>
      <c r="H49" s="376">
        <v>87</v>
      </c>
      <c r="I49" s="978" t="s">
        <v>318</v>
      </c>
      <c r="J49" s="979" t="s">
        <v>63</v>
      </c>
      <c r="K49" s="650"/>
      <c r="L49" s="51">
        <v>45964</v>
      </c>
      <c r="M49" s="979" t="s">
        <v>57</v>
      </c>
      <c r="N49" s="839">
        <v>93578</v>
      </c>
      <c r="O49" s="52" t="s">
        <v>57</v>
      </c>
      <c r="P49" s="1071" t="s">
        <v>319</v>
      </c>
      <c r="Q49" s="54">
        <v>45964</v>
      </c>
      <c r="R49" s="1003"/>
      <c r="S49" s="651"/>
      <c r="T49" s="651"/>
      <c r="U49" s="651"/>
      <c r="V49" s="106">
        <v>7782</v>
      </c>
      <c r="W49" s="1013">
        <v>7782</v>
      </c>
      <c r="X49" s="472">
        <f t="shared" si="10"/>
        <v>0</v>
      </c>
      <c r="Y49" s="871">
        <f t="shared" si="11"/>
        <v>1</v>
      </c>
      <c r="Z49" s="124">
        <v>45975</v>
      </c>
      <c r="AA49" s="601">
        <v>0</v>
      </c>
      <c r="AB49" s="601">
        <v>0</v>
      </c>
      <c r="AC49" s="980">
        <v>0</v>
      </c>
      <c r="AD49" s="436" t="s">
        <v>492</v>
      </c>
    </row>
    <row r="50" spans="1:30" ht="39.75" customHeight="1">
      <c r="A50" s="1072" t="s">
        <v>493</v>
      </c>
      <c r="B50" s="450" t="s">
        <v>339</v>
      </c>
      <c r="C50" s="375">
        <v>46045</v>
      </c>
      <c r="D50" s="977" t="s">
        <v>137</v>
      </c>
      <c r="E50" s="375">
        <v>45959</v>
      </c>
      <c r="F50" s="374" t="s">
        <v>187</v>
      </c>
      <c r="G50" s="637"/>
      <c r="H50" s="376">
        <v>90</v>
      </c>
      <c r="I50" s="978" t="s">
        <v>318</v>
      </c>
      <c r="J50" s="979" t="s">
        <v>63</v>
      </c>
      <c r="K50" s="650"/>
      <c r="L50" s="51">
        <v>45964</v>
      </c>
      <c r="M50" s="52" t="s">
        <v>57</v>
      </c>
      <c r="N50" s="839">
        <v>84896</v>
      </c>
      <c r="O50" s="52" t="s">
        <v>57</v>
      </c>
      <c r="P50" s="1071" t="s">
        <v>319</v>
      </c>
      <c r="Q50" s="54">
        <v>45964</v>
      </c>
      <c r="R50" s="651"/>
      <c r="S50" s="651"/>
      <c r="T50" s="651"/>
      <c r="U50" s="651"/>
      <c r="V50" s="106">
        <v>7060</v>
      </c>
      <c r="W50" s="1013">
        <v>7060</v>
      </c>
      <c r="X50" s="106">
        <f t="shared" si="10"/>
        <v>0</v>
      </c>
      <c r="Y50" s="871">
        <f t="shared" si="11"/>
        <v>1</v>
      </c>
      <c r="Z50" s="124">
        <v>45973</v>
      </c>
      <c r="AA50" s="601">
        <v>0</v>
      </c>
      <c r="AB50" s="355">
        <v>0</v>
      </c>
      <c r="AC50" s="41">
        <v>0</v>
      </c>
      <c r="AD50" s="436" t="s">
        <v>494</v>
      </c>
    </row>
    <row r="51" spans="1:30" ht="39.75" customHeight="1">
      <c r="A51" s="1332" t="s">
        <v>495</v>
      </c>
      <c r="B51" s="1152" t="s">
        <v>339</v>
      </c>
      <c r="C51" s="1303">
        <v>46019</v>
      </c>
      <c r="D51" s="977" t="s">
        <v>137</v>
      </c>
      <c r="E51" s="1303">
        <v>45959</v>
      </c>
      <c r="F51" s="1304" t="s">
        <v>187</v>
      </c>
      <c r="G51" s="1304" t="s">
        <v>496</v>
      </c>
      <c r="H51" s="1305">
        <v>90</v>
      </c>
      <c r="I51" s="978" t="s">
        <v>318</v>
      </c>
      <c r="J51" s="1286" t="s">
        <v>63</v>
      </c>
      <c r="K51" s="650"/>
      <c r="L51" s="1307">
        <v>45961</v>
      </c>
      <c r="M51" s="1286" t="s">
        <v>57</v>
      </c>
      <c r="N51" s="1333">
        <v>91897</v>
      </c>
      <c r="O51" s="1309" t="s">
        <v>57</v>
      </c>
      <c r="P51" s="1334" t="s">
        <v>319</v>
      </c>
      <c r="Q51" s="1335">
        <v>45961</v>
      </c>
      <c r="R51" s="1336"/>
      <c r="S51" s="1311"/>
      <c r="T51" s="1311"/>
      <c r="U51" s="1311"/>
      <c r="V51" s="1270">
        <v>7457</v>
      </c>
      <c r="W51" s="1337">
        <v>7468</v>
      </c>
      <c r="X51" s="1212">
        <f>SUM(V51-W51)</f>
        <v>-11</v>
      </c>
      <c r="Y51" s="1153">
        <f>IFERROR($W51/$V51, 0)</f>
        <v>1.0014751240445219</v>
      </c>
      <c r="Z51" s="1259">
        <v>45974</v>
      </c>
      <c r="AA51" s="1294">
        <v>0</v>
      </c>
      <c r="AB51" s="1294">
        <v>0</v>
      </c>
      <c r="AC51" s="1291">
        <v>0</v>
      </c>
      <c r="AD51" s="1261" t="s">
        <v>497</v>
      </c>
    </row>
    <row r="52" spans="1:30" ht="39.75" customHeight="1">
      <c r="A52" s="1072" t="s">
        <v>498</v>
      </c>
      <c r="B52" s="450" t="s">
        <v>339</v>
      </c>
      <c r="C52" s="375">
        <v>45989</v>
      </c>
      <c r="D52" s="977" t="s">
        <v>137</v>
      </c>
      <c r="E52" s="375">
        <v>45959</v>
      </c>
      <c r="F52" s="374" t="s">
        <v>187</v>
      </c>
      <c r="G52" s="637" t="s">
        <v>499</v>
      </c>
      <c r="H52" s="376">
        <v>90</v>
      </c>
      <c r="I52" s="978" t="s">
        <v>318</v>
      </c>
      <c r="J52" s="979" t="s">
        <v>63</v>
      </c>
      <c r="K52" s="650"/>
      <c r="L52" s="51">
        <v>45964</v>
      </c>
      <c r="M52" s="979" t="s">
        <v>57</v>
      </c>
      <c r="N52" s="839">
        <v>96685</v>
      </c>
      <c r="O52" s="52" t="s">
        <v>57</v>
      </c>
      <c r="P52" s="1071" t="s">
        <v>319</v>
      </c>
      <c r="Q52" s="54">
        <v>45964</v>
      </c>
      <c r="R52" s="1003"/>
      <c r="S52" s="651"/>
      <c r="T52" s="651"/>
      <c r="U52" s="651"/>
      <c r="V52" s="106">
        <v>7926</v>
      </c>
      <c r="W52" s="1013">
        <v>7926</v>
      </c>
      <c r="X52" s="472">
        <f t="shared" si="10"/>
        <v>0</v>
      </c>
      <c r="Y52" s="871">
        <f t="shared" si="11"/>
        <v>1</v>
      </c>
      <c r="Z52" s="124">
        <v>45981</v>
      </c>
      <c r="AA52" s="601">
        <v>0</v>
      </c>
      <c r="AB52" s="601">
        <v>0</v>
      </c>
      <c r="AC52" s="980">
        <v>0</v>
      </c>
      <c r="AD52" s="436" t="s">
        <v>500</v>
      </c>
    </row>
    <row r="53" spans="1:30" ht="39.75" customHeight="1">
      <c r="A53" s="1072" t="s">
        <v>501</v>
      </c>
      <c r="B53" s="450" t="s">
        <v>339</v>
      </c>
      <c r="C53" s="375">
        <v>46021</v>
      </c>
      <c r="D53" s="977" t="s">
        <v>137</v>
      </c>
      <c r="E53" s="375">
        <v>45959</v>
      </c>
      <c r="F53" s="374" t="s">
        <v>187</v>
      </c>
      <c r="G53" s="637" t="s">
        <v>502</v>
      </c>
      <c r="H53" s="376">
        <v>89</v>
      </c>
      <c r="I53" s="978" t="s">
        <v>318</v>
      </c>
      <c r="J53" s="979" t="s">
        <v>63</v>
      </c>
      <c r="K53" s="650"/>
      <c r="L53" s="51">
        <v>45961</v>
      </c>
      <c r="M53" s="979" t="s">
        <v>57</v>
      </c>
      <c r="N53" s="839">
        <v>83615</v>
      </c>
      <c r="O53" s="52" t="s">
        <v>57</v>
      </c>
      <c r="P53" s="1071" t="s">
        <v>319</v>
      </c>
      <c r="Q53" s="54">
        <v>45961</v>
      </c>
      <c r="R53" s="1003"/>
      <c r="S53" s="651"/>
      <c r="T53" s="651"/>
      <c r="U53" s="651"/>
      <c r="V53" s="106">
        <v>7010</v>
      </c>
      <c r="W53" s="1013">
        <v>7010</v>
      </c>
      <c r="X53" s="472">
        <f t="shared" si="10"/>
        <v>0</v>
      </c>
      <c r="Y53" s="871">
        <f t="shared" si="11"/>
        <v>1</v>
      </c>
      <c r="Z53" s="124">
        <v>45986</v>
      </c>
      <c r="AA53" s="601">
        <v>0</v>
      </c>
      <c r="AB53" s="601">
        <v>0</v>
      </c>
      <c r="AC53" s="980">
        <v>0</v>
      </c>
      <c r="AD53" s="436" t="s">
        <v>351</v>
      </c>
    </row>
    <row r="54" spans="1:30" ht="39.75" customHeight="1">
      <c r="A54" s="1332" t="s">
        <v>503</v>
      </c>
      <c r="B54" s="1152" t="s">
        <v>339</v>
      </c>
      <c r="C54" s="1303">
        <v>46021</v>
      </c>
      <c r="D54" s="977" t="s">
        <v>137</v>
      </c>
      <c r="E54" s="1303">
        <v>45959</v>
      </c>
      <c r="F54" s="1304" t="s">
        <v>187</v>
      </c>
      <c r="G54" s="1304" t="s">
        <v>504</v>
      </c>
      <c r="H54" s="1305">
        <v>88</v>
      </c>
      <c r="I54" s="978" t="s">
        <v>318</v>
      </c>
      <c r="J54" s="1286" t="s">
        <v>63</v>
      </c>
      <c r="K54" s="650"/>
      <c r="L54" s="1307">
        <v>45964</v>
      </c>
      <c r="M54" s="1286" t="s">
        <v>57</v>
      </c>
      <c r="N54" s="1333">
        <v>78736.5</v>
      </c>
      <c r="O54" s="1309" t="s">
        <v>57</v>
      </c>
      <c r="P54" s="1334" t="s">
        <v>319</v>
      </c>
      <c r="Q54" s="1335">
        <v>45964</v>
      </c>
      <c r="R54" s="1336"/>
      <c r="S54" s="1311"/>
      <c r="T54" s="1311"/>
      <c r="U54" s="1311"/>
      <c r="V54" s="1270">
        <v>6403</v>
      </c>
      <c r="W54" s="1337">
        <v>6403</v>
      </c>
      <c r="X54" s="1212">
        <f>SUM(V54-W54)</f>
        <v>0</v>
      </c>
      <c r="Y54" s="1153">
        <f>IFERROR($W54/$V54, 0)</f>
        <v>1</v>
      </c>
      <c r="Z54" s="1259">
        <v>46000</v>
      </c>
      <c r="AA54" s="1294">
        <v>0</v>
      </c>
      <c r="AB54" s="1294">
        <v>0</v>
      </c>
      <c r="AC54" s="1291">
        <v>0</v>
      </c>
      <c r="AD54" s="1261" t="s">
        <v>505</v>
      </c>
    </row>
    <row r="55" spans="1:30" ht="39.75" customHeight="1">
      <c r="A55" s="1332" t="s">
        <v>506</v>
      </c>
      <c r="B55" s="1152" t="s">
        <v>339</v>
      </c>
      <c r="C55" s="1303">
        <v>46021</v>
      </c>
      <c r="D55" s="977" t="s">
        <v>137</v>
      </c>
      <c r="E55" s="1303">
        <v>45959</v>
      </c>
      <c r="F55" s="1304" t="s">
        <v>187</v>
      </c>
      <c r="G55" s="1304" t="s">
        <v>507</v>
      </c>
      <c r="H55" s="1305">
        <v>85</v>
      </c>
      <c r="I55" s="978" t="s">
        <v>318</v>
      </c>
      <c r="J55" s="1286" t="s">
        <v>63</v>
      </c>
      <c r="K55" s="650"/>
      <c r="L55" s="1307">
        <v>45964</v>
      </c>
      <c r="M55" s="1286" t="s">
        <v>57</v>
      </c>
      <c r="N55" s="1333">
        <v>84770</v>
      </c>
      <c r="O55" s="1309" t="s">
        <v>57</v>
      </c>
      <c r="P55" s="1334" t="s">
        <v>319</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4" t="s">
        <v>508</v>
      </c>
      <c r="B56" s="789" t="s">
        <v>50</v>
      </c>
      <c r="C56" s="888">
        <v>45991</v>
      </c>
      <c r="D56" s="1090" t="s">
        <v>72</v>
      </c>
      <c r="E56" s="57">
        <v>45743</v>
      </c>
      <c r="F56" s="772" t="s">
        <v>61</v>
      </c>
      <c r="G56" s="790" t="s">
        <v>509</v>
      </c>
      <c r="H56" s="776">
        <v>69</v>
      </c>
      <c r="I56" s="661" t="s">
        <v>318</v>
      </c>
      <c r="J56" s="469" t="s">
        <v>63</v>
      </c>
      <c r="K56" s="904"/>
      <c r="L56" s="51">
        <v>45741</v>
      </c>
      <c r="M56" s="376" t="s">
        <v>57</v>
      </c>
      <c r="N56" s="839">
        <v>67734.5</v>
      </c>
      <c r="O56" s="376" t="s">
        <v>57</v>
      </c>
      <c r="P56" s="1071" t="s">
        <v>319</v>
      </c>
      <c r="Q56" s="54">
        <v>45744</v>
      </c>
      <c r="R56" s="54"/>
      <c r="S56" s="54"/>
      <c r="T56" s="54"/>
      <c r="U56" s="54"/>
      <c r="V56" s="31">
        <v>4822</v>
      </c>
      <c r="W56" s="1013">
        <v>4816</v>
      </c>
      <c r="X56" s="106">
        <f t="shared" si="10"/>
        <v>6</v>
      </c>
      <c r="Y56" s="984">
        <f t="shared" si="11"/>
        <v>0.99875570302778927</v>
      </c>
      <c r="Z56" s="54">
        <v>45784</v>
      </c>
      <c r="AA56" s="355">
        <v>0</v>
      </c>
      <c r="AB56" s="355">
        <v>0</v>
      </c>
      <c r="AC56" s="645">
        <v>0</v>
      </c>
      <c r="AD56" s="69" t="s">
        <v>510</v>
      </c>
    </row>
    <row r="57" spans="1:30" ht="39.75" customHeight="1">
      <c r="A57" s="1074" t="s">
        <v>511</v>
      </c>
      <c r="B57" s="771" t="s">
        <v>50</v>
      </c>
      <c r="C57" s="888">
        <v>45991</v>
      </c>
      <c r="D57" s="1075" t="s">
        <v>512</v>
      </c>
      <c r="E57" s="773">
        <v>45735</v>
      </c>
      <c r="F57" s="772" t="s">
        <v>61</v>
      </c>
      <c r="G57" s="775" t="s">
        <v>513</v>
      </c>
      <c r="H57" s="776">
        <v>70</v>
      </c>
      <c r="I57" s="470" t="s">
        <v>318</v>
      </c>
      <c r="J57" s="478" t="s">
        <v>63</v>
      </c>
      <c r="K57" s="52"/>
      <c r="L57" s="375">
        <v>45716</v>
      </c>
      <c r="M57" s="52" t="s">
        <v>57</v>
      </c>
      <c r="N57" s="1079">
        <v>56262.5</v>
      </c>
      <c r="O57" s="52" t="s">
        <v>57</v>
      </c>
      <c r="P57" s="1071" t="s">
        <v>319</v>
      </c>
      <c r="Q57" s="54">
        <v>45744</v>
      </c>
      <c r="R57" s="54">
        <v>45917</v>
      </c>
      <c r="S57" s="54">
        <v>45930</v>
      </c>
      <c r="T57" s="54"/>
      <c r="U57" s="54"/>
      <c r="V57" s="31">
        <v>4870</v>
      </c>
      <c r="W57" s="1013">
        <v>5044</v>
      </c>
      <c r="X57" s="106">
        <f t="shared" si="10"/>
        <v>-174</v>
      </c>
      <c r="Y57" s="984">
        <f t="shared" si="11"/>
        <v>1.0357289527720739</v>
      </c>
      <c r="Z57" s="54">
        <v>45754</v>
      </c>
      <c r="AA57" s="355">
        <v>0</v>
      </c>
      <c r="AB57" s="355">
        <v>0</v>
      </c>
      <c r="AC57" s="41">
        <v>0</v>
      </c>
      <c r="AD57" s="1027" t="s">
        <v>514</v>
      </c>
    </row>
    <row r="58" spans="1:30" ht="39.75" customHeight="1">
      <c r="A58" s="927" t="s">
        <v>515</v>
      </c>
      <c r="B58" s="824" t="s">
        <v>50</v>
      </c>
      <c r="C58" s="467">
        <v>45991</v>
      </c>
      <c r="D58" s="467" t="s">
        <v>72</v>
      </c>
      <c r="E58" s="476">
        <v>45748</v>
      </c>
      <c r="F58" s="475" t="s">
        <v>61</v>
      </c>
      <c r="G58" s="825" t="s">
        <v>516</v>
      </c>
      <c r="H58" s="478">
        <v>0</v>
      </c>
      <c r="I58" s="478" t="s">
        <v>318</v>
      </c>
      <c r="J58" s="469" t="s">
        <v>63</v>
      </c>
      <c r="K58" s="826"/>
      <c r="L58" s="476">
        <v>45741</v>
      </c>
      <c r="M58" s="469" t="s">
        <v>57</v>
      </c>
      <c r="N58" s="543">
        <v>17203.45</v>
      </c>
      <c r="O58" s="469" t="s">
        <v>57</v>
      </c>
      <c r="P58" s="976" t="s">
        <v>319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4" t="s">
        <v>518</v>
      </c>
      <c r="B59" s="789" t="s">
        <v>50</v>
      </c>
      <c r="C59" s="888">
        <v>45991</v>
      </c>
      <c r="D59" s="1090" t="s">
        <v>72</v>
      </c>
      <c r="E59" s="57">
        <v>45779</v>
      </c>
      <c r="F59" s="772" t="s">
        <v>61</v>
      </c>
      <c r="G59" s="790" t="s">
        <v>519</v>
      </c>
      <c r="H59" s="776">
        <v>0</v>
      </c>
      <c r="I59" s="478" t="s">
        <v>318</v>
      </c>
      <c r="J59" s="469" t="s">
        <v>63</v>
      </c>
      <c r="K59" s="904"/>
      <c r="L59" s="51">
        <v>45742</v>
      </c>
      <c r="M59" s="910" t="s">
        <v>57</v>
      </c>
      <c r="N59" s="1079">
        <v>23800.25</v>
      </c>
      <c r="O59" s="376" t="s">
        <v>57</v>
      </c>
      <c r="P59" s="1071" t="s">
        <v>319</v>
      </c>
      <c r="Q59" s="54">
        <v>45743</v>
      </c>
      <c r="R59" s="195"/>
      <c r="S59" s="54"/>
      <c r="T59" s="54"/>
      <c r="U59" s="54"/>
      <c r="V59" s="31">
        <v>1697</v>
      </c>
      <c r="W59" s="1013">
        <v>1815</v>
      </c>
      <c r="X59" s="472">
        <f t="shared" si="10"/>
        <v>-118</v>
      </c>
      <c r="Y59" s="862">
        <f t="shared" si="11"/>
        <v>1.0695344725987035</v>
      </c>
      <c r="Z59" s="54">
        <v>45791</v>
      </c>
      <c r="AA59" s="601">
        <v>1</v>
      </c>
      <c r="AB59" s="601">
        <v>0</v>
      </c>
      <c r="AC59" s="1093">
        <v>0</v>
      </c>
      <c r="AD59" s="1027" t="s">
        <v>520</v>
      </c>
    </row>
    <row r="60" spans="1:30" ht="39.75" customHeight="1">
      <c r="A60" s="1074" t="s">
        <v>521</v>
      </c>
      <c r="B60" s="789" t="s">
        <v>50</v>
      </c>
      <c r="C60" s="888">
        <v>46008</v>
      </c>
      <c r="D60" s="1090" t="s">
        <v>522</v>
      </c>
      <c r="E60" s="57">
        <v>45952</v>
      </c>
      <c r="F60" s="772" t="s">
        <v>101</v>
      </c>
      <c r="G60" s="790"/>
      <c r="H60" s="776">
        <v>139</v>
      </c>
      <c r="I60" s="661" t="s">
        <v>318</v>
      </c>
      <c r="J60" s="469" t="s">
        <v>56</v>
      </c>
      <c r="K60" s="52"/>
      <c r="L60" s="51" t="s">
        <v>52</v>
      </c>
      <c r="M60" s="979" t="s">
        <v>57</v>
      </c>
      <c r="N60" s="1079">
        <v>42766.5</v>
      </c>
      <c r="O60" s="52" t="s">
        <v>57</v>
      </c>
      <c r="P60" s="1071" t="s">
        <v>319</v>
      </c>
      <c r="Q60" s="54">
        <v>45939</v>
      </c>
      <c r="R60" s="195"/>
      <c r="S60" s="54"/>
      <c r="T60" s="54"/>
      <c r="U60" s="54"/>
      <c r="V60" s="31">
        <v>6699</v>
      </c>
      <c r="W60" s="1013">
        <v>7067</v>
      </c>
      <c r="X60" s="472">
        <f t="shared" si="10"/>
        <v>-368</v>
      </c>
      <c r="Y60" s="984">
        <f t="shared" si="11"/>
        <v>1.0549335721749515</v>
      </c>
      <c r="Z60" s="54">
        <v>45954</v>
      </c>
      <c r="AA60" s="601">
        <v>1</v>
      </c>
      <c r="AB60" s="601">
        <v>1</v>
      </c>
      <c r="AC60" s="1093">
        <v>0</v>
      </c>
      <c r="AD60" s="149"/>
    </row>
    <row r="61" spans="1:30" ht="39.75" customHeight="1">
      <c r="A61" s="1074" t="s">
        <v>523</v>
      </c>
      <c r="B61" s="789" t="s">
        <v>50</v>
      </c>
      <c r="C61" s="888">
        <v>46008</v>
      </c>
      <c r="D61" s="1090" t="s">
        <v>524</v>
      </c>
      <c r="E61" s="57">
        <v>45938</v>
      </c>
      <c r="F61" s="772" t="s">
        <v>101</v>
      </c>
      <c r="G61" s="790"/>
      <c r="H61" s="776">
        <v>193</v>
      </c>
      <c r="I61" s="661" t="s">
        <v>318</v>
      </c>
      <c r="J61" s="469" t="s">
        <v>56</v>
      </c>
      <c r="K61" s="96"/>
      <c r="L61" s="51" t="s">
        <v>52</v>
      </c>
      <c r="M61" s="979" t="s">
        <v>57</v>
      </c>
      <c r="N61" s="1079">
        <v>86136</v>
      </c>
      <c r="O61" s="52" t="s">
        <v>57</v>
      </c>
      <c r="P61" s="1071" t="s">
        <v>319</v>
      </c>
      <c r="Q61" s="54">
        <v>45938</v>
      </c>
      <c r="R61" s="195"/>
      <c r="S61" s="54"/>
      <c r="T61" s="54"/>
      <c r="U61" s="54"/>
      <c r="V61" s="31">
        <v>7655</v>
      </c>
      <c r="W61" s="1013">
        <v>8289</v>
      </c>
      <c r="X61" s="472">
        <f t="shared" si="10"/>
        <v>-634</v>
      </c>
      <c r="Y61" s="984">
        <f t="shared" si="11"/>
        <v>1.0828216851730894</v>
      </c>
      <c r="Z61" s="54">
        <v>45943</v>
      </c>
      <c r="AA61" s="601">
        <v>1</v>
      </c>
      <c r="AB61" s="601">
        <v>1</v>
      </c>
      <c r="AC61" s="1093">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238</v>
      </c>
      <c r="C2" s="467">
        <v>45960</v>
      </c>
      <c r="D2" s="467" t="s">
        <v>249</v>
      </c>
      <c r="E2" s="467">
        <v>45852</v>
      </c>
      <c r="F2" s="642" t="s">
        <v>250</v>
      </c>
      <c r="G2" s="682" t="s">
        <v>526</v>
      </c>
      <c r="H2" s="469">
        <v>0</v>
      </c>
      <c r="I2" s="469" t="s">
        <v>318</v>
      </c>
      <c r="J2" s="469" t="s">
        <v>63</v>
      </c>
      <c r="K2" s="469"/>
      <c r="L2" s="467">
        <v>45852</v>
      </c>
      <c r="M2" s="469" t="s">
        <v>57</v>
      </c>
      <c r="N2" s="542">
        <v>42837.2</v>
      </c>
      <c r="O2" s="469" t="s">
        <v>57</v>
      </c>
      <c r="P2" s="807" t="s">
        <v>319</v>
      </c>
      <c r="Q2" s="471">
        <v>45852</v>
      </c>
      <c r="R2" s="870"/>
      <c r="S2" s="870"/>
      <c r="T2" s="870"/>
      <c r="U2" s="87" t="s">
        <v>527</v>
      </c>
      <c r="V2" s="490">
        <v>3432</v>
      </c>
      <c r="W2" s="742">
        <v>3519</v>
      </c>
      <c r="X2" s="106">
        <f>SUM(V2-W2)</f>
        <v>-87</v>
      </c>
      <c r="Y2" s="657">
        <f>IFERROR($W2/$V2, 0)</f>
        <v>1.0253496503496504</v>
      </c>
      <c r="Z2" s="678">
        <v>45866</v>
      </c>
      <c r="AA2" s="355">
        <v>1</v>
      </c>
      <c r="AB2" s="355">
        <v>1</v>
      </c>
      <c r="AC2" s="1005">
        <v>0</v>
      </c>
      <c r="AD2" s="541"/>
    </row>
    <row r="3" spans="1:30" ht="39.75" customHeight="1">
      <c r="A3" s="843" t="s">
        <v>528</v>
      </c>
      <c r="B3" s="491" t="s">
        <v>238</v>
      </c>
      <c r="C3" s="467">
        <v>45868</v>
      </c>
      <c r="D3" s="475" t="s">
        <v>529</v>
      </c>
      <c r="E3" s="476">
        <v>45716</v>
      </c>
      <c r="F3" s="475" t="s">
        <v>250</v>
      </c>
      <c r="G3" s="597" t="s">
        <v>530</v>
      </c>
      <c r="H3" s="478">
        <v>0</v>
      </c>
      <c r="I3" s="483" t="s">
        <v>318</v>
      </c>
      <c r="J3" s="478" t="s">
        <v>63</v>
      </c>
      <c r="K3" s="487"/>
      <c r="L3" s="467">
        <v>45716</v>
      </c>
      <c r="M3" s="478" t="s">
        <v>57</v>
      </c>
      <c r="N3" s="543">
        <v>64932.55</v>
      </c>
      <c r="O3" s="478" t="s">
        <v>57</v>
      </c>
      <c r="P3" s="807" t="s">
        <v>319</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238</v>
      </c>
      <c r="C4" s="467">
        <v>45991</v>
      </c>
      <c r="D4" s="476" t="s">
        <v>397</v>
      </c>
      <c r="E4" s="428">
        <v>45707</v>
      </c>
      <c r="F4" s="475" t="s">
        <v>250</v>
      </c>
      <c r="G4" s="492" t="s">
        <v>532</v>
      </c>
      <c r="H4" s="483">
        <v>0</v>
      </c>
      <c r="I4" s="483" t="s">
        <v>318</v>
      </c>
      <c r="J4" s="483" t="s">
        <v>63</v>
      </c>
      <c r="K4" s="483"/>
      <c r="L4" s="476">
        <v>45708</v>
      </c>
      <c r="M4" s="483" t="s">
        <v>57</v>
      </c>
      <c r="N4" s="544">
        <v>87944.4</v>
      </c>
      <c r="O4" s="483" t="s">
        <v>57</v>
      </c>
      <c r="P4" s="807" t="s">
        <v>319</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238</v>
      </c>
      <c r="C5" s="476">
        <v>45807</v>
      </c>
      <c r="D5" s="465" t="s">
        <v>529</v>
      </c>
      <c r="E5" s="475" t="s">
        <v>52</v>
      </c>
      <c r="F5" s="465" t="s">
        <v>250</v>
      </c>
      <c r="G5" s="825" t="s">
        <v>535</v>
      </c>
      <c r="H5" s="469">
        <v>84</v>
      </c>
      <c r="I5" s="829" t="s">
        <v>318</v>
      </c>
      <c r="J5" s="478" t="s">
        <v>63</v>
      </c>
      <c r="K5" s="844"/>
      <c r="L5" s="467">
        <v>45716</v>
      </c>
      <c r="M5" s="478" t="s">
        <v>57</v>
      </c>
      <c r="N5" s="542">
        <v>2812.95</v>
      </c>
      <c r="O5" s="478" t="s">
        <v>57</v>
      </c>
      <c r="P5" s="807" t="s">
        <v>319</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238</v>
      </c>
      <c r="C6" s="467">
        <v>45991</v>
      </c>
      <c r="D6" s="475" t="s">
        <v>537</v>
      </c>
      <c r="E6" s="476">
        <v>45716</v>
      </c>
      <c r="F6" s="475" t="s">
        <v>239</v>
      </c>
      <c r="G6" s="477" t="s">
        <v>538</v>
      </c>
      <c r="H6" s="478">
        <v>31</v>
      </c>
      <c r="I6" s="483" t="s">
        <v>318</v>
      </c>
      <c r="J6" s="478" t="s">
        <v>63</v>
      </c>
      <c r="K6" s="487"/>
      <c r="L6" s="467">
        <v>45716</v>
      </c>
      <c r="M6" s="478" t="s">
        <v>57</v>
      </c>
      <c r="N6" s="543">
        <v>28777</v>
      </c>
      <c r="O6" s="478" t="s">
        <v>57</v>
      </c>
      <c r="P6" s="807" t="s">
        <v>319</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238</v>
      </c>
      <c r="C7" s="467">
        <v>45991</v>
      </c>
      <c r="D7" s="475" t="s">
        <v>397</v>
      </c>
      <c r="E7" s="476">
        <v>45866</v>
      </c>
      <c r="F7" s="475" t="s">
        <v>250</v>
      </c>
      <c r="G7" s="477" t="s">
        <v>540</v>
      </c>
      <c r="H7" s="478">
        <v>0</v>
      </c>
      <c r="I7" s="483" t="s">
        <v>318</v>
      </c>
      <c r="J7" s="478" t="s">
        <v>63</v>
      </c>
      <c r="K7" s="487"/>
      <c r="L7" s="476">
        <v>45863</v>
      </c>
      <c r="M7" s="478" t="s">
        <v>57</v>
      </c>
      <c r="N7" s="543">
        <v>143407.25</v>
      </c>
      <c r="O7" s="478" t="s">
        <v>57</v>
      </c>
      <c r="P7" s="807" t="s">
        <v>319</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238</v>
      </c>
      <c r="C8" s="467">
        <v>45991</v>
      </c>
      <c r="D8" s="475" t="s">
        <v>72</v>
      </c>
      <c r="E8" s="476">
        <v>45880</v>
      </c>
      <c r="F8" s="475" t="s">
        <v>239</v>
      </c>
      <c r="G8" s="477" t="s">
        <v>542</v>
      </c>
      <c r="H8" s="478">
        <v>0</v>
      </c>
      <c r="I8" s="483" t="s">
        <v>318</v>
      </c>
      <c r="J8" s="478" t="s">
        <v>63</v>
      </c>
      <c r="K8" s="487"/>
      <c r="L8" s="476">
        <v>45881</v>
      </c>
      <c r="M8" s="478" t="s">
        <v>57</v>
      </c>
      <c r="N8" s="543">
        <v>4815.6499999999996</v>
      </c>
      <c r="O8" s="478" t="s">
        <v>57</v>
      </c>
      <c r="P8" s="807" t="s">
        <v>319</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1" t="s">
        <v>543</v>
      </c>
      <c r="B9" s="834" t="s">
        <v>238</v>
      </c>
      <c r="C9" s="835">
        <v>45955</v>
      </c>
      <c r="D9" s="836" t="s">
        <v>137</v>
      </c>
      <c r="E9" s="836">
        <v>45919</v>
      </c>
      <c r="F9" s="836" t="s">
        <v>260</v>
      </c>
      <c r="G9" s="837" t="s">
        <v>544</v>
      </c>
      <c r="H9" s="393">
        <v>0</v>
      </c>
      <c r="I9" s="838" t="s">
        <v>318</v>
      </c>
      <c r="J9" s="393" t="s">
        <v>63</v>
      </c>
      <c r="K9" s="393"/>
      <c r="L9" s="836" t="s">
        <v>52</v>
      </c>
      <c r="M9" s="393" t="s">
        <v>57</v>
      </c>
      <c r="N9" s="839">
        <v>4646.75</v>
      </c>
      <c r="O9" s="393" t="s">
        <v>91</v>
      </c>
      <c r="P9" s="914" t="s">
        <v>319</v>
      </c>
      <c r="Q9" s="598"/>
      <c r="R9" s="598">
        <v>45947</v>
      </c>
      <c r="S9" s="598"/>
      <c r="T9" s="598"/>
      <c r="U9" s="486" t="s">
        <v>527</v>
      </c>
      <c r="V9" s="937">
        <v>117</v>
      </c>
      <c r="W9" s="942">
        <v>117</v>
      </c>
      <c r="X9" s="106">
        <f t="shared" ref="X9:X38" si="6">SUM(V9-W9)</f>
        <v>0</v>
      </c>
      <c r="Y9" s="657">
        <f t="shared" ref="Y9:Y38" si="7">IFERROR($W9/$V9, 0)</f>
        <v>1</v>
      </c>
      <c r="Z9" s="878">
        <v>45946</v>
      </c>
      <c r="AA9" s="601">
        <v>0</v>
      </c>
      <c r="AB9" s="601">
        <v>0</v>
      </c>
      <c r="AC9" s="840">
        <v>0</v>
      </c>
      <c r="AD9" s="841"/>
    </row>
    <row r="10" spans="1:30" ht="39.75" customHeight="1">
      <c r="A10" s="930" t="s">
        <v>545</v>
      </c>
      <c r="B10" s="465" t="s">
        <v>117</v>
      </c>
      <c r="C10" s="476">
        <v>45960</v>
      </c>
      <c r="D10" s="467" t="s">
        <v>72</v>
      </c>
      <c r="E10" s="476">
        <v>45918</v>
      </c>
      <c r="F10" s="465" t="s">
        <v>118</v>
      </c>
      <c r="G10" s="50" t="s">
        <v>546</v>
      </c>
      <c r="H10" s="999">
        <v>0</v>
      </c>
      <c r="I10" s="661" t="s">
        <v>318</v>
      </c>
      <c r="J10" s="469" t="s">
        <v>63</v>
      </c>
      <c r="K10" s="469"/>
      <c r="L10" s="476">
        <v>45918</v>
      </c>
      <c r="M10" s="478" t="s">
        <v>57</v>
      </c>
      <c r="N10" s="543">
        <v>9611.9500000000007</v>
      </c>
      <c r="O10" s="478" t="s">
        <v>57</v>
      </c>
      <c r="P10" s="807" t="s">
        <v>319</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141</v>
      </c>
      <c r="E11" s="476">
        <v>45889</v>
      </c>
      <c r="F11" s="488" t="s">
        <v>187</v>
      </c>
      <c r="G11" s="477"/>
      <c r="H11" s="478">
        <v>76</v>
      </c>
      <c r="I11" s="483" t="s">
        <v>318</v>
      </c>
      <c r="J11" s="478" t="s">
        <v>63</v>
      </c>
      <c r="K11" s="487"/>
      <c r="L11" s="476">
        <v>45888</v>
      </c>
      <c r="M11" s="478" t="s">
        <v>57</v>
      </c>
      <c r="N11" s="543">
        <v>53902</v>
      </c>
      <c r="O11" s="478" t="s">
        <v>57</v>
      </c>
      <c r="P11" s="807" t="s">
        <v>319</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187</v>
      </c>
      <c r="G12" s="465" t="s">
        <v>551</v>
      </c>
      <c r="H12" s="469">
        <v>66</v>
      </c>
      <c r="I12" s="469" t="s">
        <v>318</v>
      </c>
      <c r="J12" s="469" t="s">
        <v>63</v>
      </c>
      <c r="K12" s="469"/>
      <c r="L12" s="467">
        <v>45897</v>
      </c>
      <c r="M12" s="469" t="s">
        <v>57</v>
      </c>
      <c r="N12" s="542">
        <v>44896.1</v>
      </c>
      <c r="O12" s="469" t="s">
        <v>57</v>
      </c>
      <c r="P12" s="807" t="s">
        <v>319</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318</v>
      </c>
      <c r="J13" s="469" t="s">
        <v>63</v>
      </c>
      <c r="K13" s="469"/>
      <c r="L13" s="467">
        <v>45903</v>
      </c>
      <c r="M13" s="469" t="s">
        <v>57</v>
      </c>
      <c r="N13" s="542">
        <v>59116.7</v>
      </c>
      <c r="O13" s="469" t="s">
        <v>57</v>
      </c>
      <c r="P13" s="807" t="s">
        <v>319</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187</v>
      </c>
      <c r="G14" s="682" t="s">
        <v>557</v>
      </c>
      <c r="H14" s="469">
        <v>67</v>
      </c>
      <c r="I14" s="661" t="s">
        <v>318</v>
      </c>
      <c r="J14" s="469" t="s">
        <v>63</v>
      </c>
      <c r="K14" s="469"/>
      <c r="L14" s="467">
        <v>45903</v>
      </c>
      <c r="M14" s="469" t="s">
        <v>57</v>
      </c>
      <c r="N14" s="542">
        <v>40406</v>
      </c>
      <c r="O14" s="469" t="s">
        <v>57</v>
      </c>
      <c r="P14" s="807" t="s">
        <v>319</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187</v>
      </c>
      <c r="G15" s="682" t="s">
        <v>560</v>
      </c>
      <c r="H15" s="469">
        <v>28</v>
      </c>
      <c r="I15" s="661" t="s">
        <v>318</v>
      </c>
      <c r="J15" s="469" t="s">
        <v>63</v>
      </c>
      <c r="K15" s="469"/>
      <c r="L15" s="467">
        <v>45979</v>
      </c>
      <c r="M15" s="469" t="s">
        <v>57</v>
      </c>
      <c r="N15" s="542">
        <v>29683</v>
      </c>
      <c r="O15" s="469" t="s">
        <v>57</v>
      </c>
      <c r="P15" s="807" t="s">
        <v>319</v>
      </c>
      <c r="Q15" s="1004">
        <v>45979</v>
      </c>
      <c r="R15" s="552"/>
      <c r="S15" s="552"/>
      <c r="T15" s="552"/>
      <c r="U15" s="486" t="s">
        <v>527</v>
      </c>
      <c r="V15" s="472">
        <v>2416</v>
      </c>
      <c r="W15" s="743">
        <v>2533</v>
      </c>
      <c r="X15" s="472">
        <f>SUM(V15-W15)</f>
        <v>-117</v>
      </c>
      <c r="Y15" s="863">
        <f>IFERROR($W15/$V15, 0)</f>
        <v>1.0484271523178808</v>
      </c>
      <c r="Z15" s="471">
        <v>45994</v>
      </c>
      <c r="AA15" s="355">
        <v>1</v>
      </c>
      <c r="AB15" s="355">
        <v>0</v>
      </c>
      <c r="AC15" s="645">
        <v>0</v>
      </c>
      <c r="AD15" s="758" t="s">
        <v>561</v>
      </c>
    </row>
    <row r="16" spans="1:30" ht="39.75" customHeight="1">
      <c r="A16" s="930" t="s">
        <v>562</v>
      </c>
      <c r="B16" s="465" t="s">
        <v>117</v>
      </c>
      <c r="C16" s="476">
        <v>45960</v>
      </c>
      <c r="D16" s="467" t="s">
        <v>137</v>
      </c>
      <c r="E16" s="467">
        <v>45936</v>
      </c>
      <c r="F16" s="465" t="s">
        <v>138</v>
      </c>
      <c r="G16" s="682"/>
      <c r="H16" s="469">
        <v>35</v>
      </c>
      <c r="I16" s="661" t="s">
        <v>318</v>
      </c>
      <c r="J16" s="469" t="s">
        <v>63</v>
      </c>
      <c r="K16" s="469"/>
      <c r="L16" s="467">
        <v>45933</v>
      </c>
      <c r="M16" s="469" t="s">
        <v>57</v>
      </c>
      <c r="N16" s="542">
        <v>26026</v>
      </c>
      <c r="O16" s="469" t="s">
        <v>57</v>
      </c>
      <c r="P16" s="807" t="s">
        <v>319</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187</v>
      </c>
      <c r="G17" s="682"/>
      <c r="H17" s="469">
        <v>82</v>
      </c>
      <c r="I17" s="661" t="s">
        <v>318</v>
      </c>
      <c r="J17" s="469" t="s">
        <v>63</v>
      </c>
      <c r="K17" s="469"/>
      <c r="L17" s="467">
        <v>45912</v>
      </c>
      <c r="M17" s="469" t="s">
        <v>57</v>
      </c>
      <c r="N17" s="542">
        <v>82621.149999999994</v>
      </c>
      <c r="O17" s="469" t="s">
        <v>57</v>
      </c>
      <c r="P17" s="807" t="s">
        <v>319</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187</v>
      </c>
      <c r="G18" s="682"/>
      <c r="H18" s="469">
        <v>34</v>
      </c>
      <c r="I18" s="661" t="s">
        <v>318</v>
      </c>
      <c r="J18" s="469" t="s">
        <v>63</v>
      </c>
      <c r="K18" s="469"/>
      <c r="L18" s="467">
        <v>45933</v>
      </c>
      <c r="M18" s="469" t="s">
        <v>57</v>
      </c>
      <c r="N18" s="542">
        <v>29646</v>
      </c>
      <c r="O18" s="469" t="s">
        <v>57</v>
      </c>
      <c r="P18" s="807" t="s">
        <v>319</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229</v>
      </c>
      <c r="E19" s="467">
        <v>45932</v>
      </c>
      <c r="F19" s="465" t="s">
        <v>118</v>
      </c>
      <c r="G19" s="682"/>
      <c r="H19" s="469">
        <v>79</v>
      </c>
      <c r="I19" s="661" t="s">
        <v>318</v>
      </c>
      <c r="J19" s="469" t="s">
        <v>63</v>
      </c>
      <c r="K19" s="469"/>
      <c r="L19" s="467">
        <v>45933</v>
      </c>
      <c r="M19" s="469" t="s">
        <v>57</v>
      </c>
      <c r="N19" s="542">
        <v>45014</v>
      </c>
      <c r="O19" s="469" t="s">
        <v>57</v>
      </c>
      <c r="P19" s="807" t="s">
        <v>319</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4" t="s">
        <v>569</v>
      </c>
    </row>
    <row r="20" spans="1:30" ht="39.75" customHeight="1">
      <c r="A20" s="930" t="s">
        <v>570</v>
      </c>
      <c r="B20" s="465" t="s">
        <v>117</v>
      </c>
      <c r="C20" s="476">
        <v>45960</v>
      </c>
      <c r="D20" s="467" t="s">
        <v>137</v>
      </c>
      <c r="E20" s="467">
        <v>45936</v>
      </c>
      <c r="F20" s="465" t="s">
        <v>118</v>
      </c>
      <c r="G20" s="682"/>
      <c r="H20" s="469">
        <v>75</v>
      </c>
      <c r="I20" s="661" t="s">
        <v>318</v>
      </c>
      <c r="J20" s="469" t="s">
        <v>63</v>
      </c>
      <c r="K20" s="469"/>
      <c r="L20" s="467">
        <v>45936</v>
      </c>
      <c r="M20" s="469" t="s">
        <v>57</v>
      </c>
      <c r="N20" s="542">
        <v>38796</v>
      </c>
      <c r="O20" s="469" t="s">
        <v>57</v>
      </c>
      <c r="P20" s="807" t="s">
        <v>319</v>
      </c>
      <c r="Q20" s="471">
        <v>45936</v>
      </c>
      <c r="R20" s="552"/>
      <c r="S20" s="552"/>
      <c r="T20" s="552"/>
      <c r="U20" s="486" t="s">
        <v>527</v>
      </c>
      <c r="V20" s="416">
        <v>2874</v>
      </c>
      <c r="W20" s="953">
        <v>2875</v>
      </c>
      <c r="X20" s="106">
        <f t="shared" ref="X20:X23" si="10">SUM(V20-W20)</f>
        <v>-1</v>
      </c>
      <c r="Y20" s="657">
        <f t="shared" ref="Y20:Y23"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318</v>
      </c>
      <c r="J21" s="469" t="s">
        <v>63</v>
      </c>
      <c r="K21" s="469"/>
      <c r="L21" s="467">
        <v>45962</v>
      </c>
      <c r="M21" s="469" t="s">
        <v>57</v>
      </c>
      <c r="N21" s="542">
        <v>35050</v>
      </c>
      <c r="O21" s="469" t="s">
        <v>57</v>
      </c>
      <c r="P21" s="807" t="s">
        <v>319</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318</v>
      </c>
      <c r="J22" s="469" t="s">
        <v>63</v>
      </c>
      <c r="K22" s="469"/>
      <c r="L22" s="467">
        <v>45954</v>
      </c>
      <c r="M22" s="469" t="s">
        <v>57</v>
      </c>
      <c r="N22" s="542">
        <v>54228.7</v>
      </c>
      <c r="O22" s="469" t="s">
        <v>57</v>
      </c>
      <c r="P22" s="807" t="s">
        <v>319</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229</v>
      </c>
      <c r="E23" s="467">
        <v>45936</v>
      </c>
      <c r="F23" s="465" t="s">
        <v>138</v>
      </c>
      <c r="G23" s="682"/>
      <c r="H23" s="469">
        <v>83</v>
      </c>
      <c r="I23" s="661" t="s">
        <v>318</v>
      </c>
      <c r="J23" s="469" t="s">
        <v>63</v>
      </c>
      <c r="K23" s="469"/>
      <c r="L23" s="467">
        <v>45936</v>
      </c>
      <c r="M23" s="469" t="s">
        <v>57</v>
      </c>
      <c r="N23" s="542">
        <v>96748</v>
      </c>
      <c r="O23" s="469" t="s">
        <v>57</v>
      </c>
      <c r="P23" s="1154" t="s">
        <v>319</v>
      </c>
      <c r="Q23" s="124">
        <v>45936</v>
      </c>
      <c r="R23" s="1007"/>
      <c r="S23" s="552"/>
      <c r="T23" s="552"/>
      <c r="U23" s="486" t="s">
        <v>527</v>
      </c>
      <c r="V23" s="472">
        <v>6240</v>
      </c>
      <c r="W23" s="743">
        <v>6203</v>
      </c>
      <c r="X23" s="472">
        <f t="shared" si="10"/>
        <v>37</v>
      </c>
      <c r="Y23" s="662">
        <f t="shared" si="11"/>
        <v>0.99407051282051284</v>
      </c>
      <c r="Z23" s="479">
        <v>45951</v>
      </c>
      <c r="AA23" s="355">
        <v>1</v>
      </c>
      <c r="AB23" s="355">
        <v>0</v>
      </c>
      <c r="AC23" s="645">
        <v>0</v>
      </c>
      <c r="AD23" s="1070" t="s">
        <v>577</v>
      </c>
    </row>
    <row r="24" spans="1:30" ht="39.75" customHeight="1">
      <c r="A24" s="930" t="s">
        <v>578</v>
      </c>
      <c r="B24" s="465" t="s">
        <v>117</v>
      </c>
      <c r="C24" s="467">
        <v>45991</v>
      </c>
      <c r="D24" s="467" t="s">
        <v>137</v>
      </c>
      <c r="E24" s="467">
        <v>45966</v>
      </c>
      <c r="F24" s="465" t="s">
        <v>138</v>
      </c>
      <c r="G24" s="682" t="s">
        <v>579</v>
      </c>
      <c r="H24" s="469">
        <v>75</v>
      </c>
      <c r="I24" s="661" t="s">
        <v>318</v>
      </c>
      <c r="J24" s="469" t="s">
        <v>63</v>
      </c>
      <c r="K24" s="469"/>
      <c r="L24" s="467">
        <v>45967</v>
      </c>
      <c r="M24" s="469" t="s">
        <v>57</v>
      </c>
      <c r="N24" s="542">
        <v>60620</v>
      </c>
      <c r="O24" s="469" t="s">
        <v>57</v>
      </c>
      <c r="P24" s="807" t="s">
        <v>319</v>
      </c>
      <c r="Q24" s="471">
        <v>45967</v>
      </c>
      <c r="R24" s="552"/>
      <c r="S24" s="552"/>
      <c r="T24" s="552"/>
      <c r="U24" s="486" t="s">
        <v>527</v>
      </c>
      <c r="V24" s="472">
        <v>4814</v>
      </c>
      <c r="W24" s="743">
        <v>4708</v>
      </c>
      <c r="X24" s="472">
        <f>SUM(V24-W24)</f>
        <v>106</v>
      </c>
      <c r="Y24" s="863">
        <f>IFERROR($W24/$V24, 0)</f>
        <v>0.97798088907353553</v>
      </c>
      <c r="Z24" s="479">
        <v>45986</v>
      </c>
      <c r="AA24" s="355">
        <v>1</v>
      </c>
      <c r="AB24" s="355">
        <v>1</v>
      </c>
      <c r="AC24" s="788">
        <v>0</v>
      </c>
      <c r="AD24" s="758" t="s">
        <v>580</v>
      </c>
    </row>
    <row r="25" spans="1:30" ht="39.75" customHeight="1">
      <c r="A25" s="843" t="s">
        <v>581</v>
      </c>
      <c r="B25" s="681" t="s">
        <v>117</v>
      </c>
      <c r="C25" s="476">
        <v>45930</v>
      </c>
      <c r="D25" s="642" t="s">
        <v>72</v>
      </c>
      <c r="E25" s="467">
        <v>45902</v>
      </c>
      <c r="F25" s="465" t="s">
        <v>118</v>
      </c>
      <c r="G25" s="759"/>
      <c r="H25" s="469">
        <v>0</v>
      </c>
      <c r="I25" s="661" t="s">
        <v>318</v>
      </c>
      <c r="J25" s="469" t="s">
        <v>63</v>
      </c>
      <c r="K25" s="469"/>
      <c r="L25" s="476">
        <v>45902</v>
      </c>
      <c r="M25" s="469" t="s">
        <v>57</v>
      </c>
      <c r="N25" s="542">
        <v>5604.6</v>
      </c>
      <c r="O25" s="469" t="s">
        <v>57</v>
      </c>
      <c r="P25" s="1154" t="s">
        <v>319</v>
      </c>
      <c r="Q25" s="54">
        <v>45902</v>
      </c>
      <c r="R25" s="652"/>
      <c r="S25" s="471"/>
      <c r="T25" s="471"/>
      <c r="U25" s="486" t="s">
        <v>527</v>
      </c>
      <c r="V25" s="472">
        <v>328</v>
      </c>
      <c r="W25" s="743">
        <v>335</v>
      </c>
      <c r="X25" s="472">
        <f t="shared" si="6"/>
        <v>-7</v>
      </c>
      <c r="Y25" s="473">
        <f t="shared" si="7"/>
        <v>1.0213414634146341</v>
      </c>
      <c r="Z25" s="479">
        <v>45922</v>
      </c>
      <c r="AA25" s="355">
        <v>1</v>
      </c>
      <c r="AB25" s="355">
        <v>1</v>
      </c>
      <c r="AC25" s="472">
        <v>0</v>
      </c>
      <c r="AD25" s="758" t="s">
        <v>582</v>
      </c>
    </row>
    <row r="26" spans="1:30" ht="39.75" customHeight="1">
      <c r="A26" s="930" t="s">
        <v>583</v>
      </c>
      <c r="B26" s="465" t="s">
        <v>117</v>
      </c>
      <c r="C26" s="476">
        <v>45991</v>
      </c>
      <c r="D26" s="467" t="s">
        <v>229</v>
      </c>
      <c r="E26" s="467">
        <v>45953</v>
      </c>
      <c r="F26" s="465" t="s">
        <v>138</v>
      </c>
      <c r="G26" s="682" t="s">
        <v>584</v>
      </c>
      <c r="H26" s="469">
        <v>0</v>
      </c>
      <c r="I26" s="469" t="s">
        <v>318</v>
      </c>
      <c r="J26" s="469" t="s">
        <v>63</v>
      </c>
      <c r="K26" s="469"/>
      <c r="L26" s="467" t="s">
        <v>184</v>
      </c>
      <c r="M26" s="469" t="s">
        <v>57</v>
      </c>
      <c r="N26" s="542">
        <v>51970</v>
      </c>
      <c r="O26" s="469" t="s">
        <v>57</v>
      </c>
      <c r="P26" s="1154" t="s">
        <v>319</v>
      </c>
      <c r="Q26" s="124">
        <v>45953</v>
      </c>
      <c r="R26" s="652"/>
      <c r="S26" s="471"/>
      <c r="T26" s="471"/>
      <c r="U26" s="486" t="s">
        <v>527</v>
      </c>
      <c r="V26" s="965">
        <v>4544</v>
      </c>
      <c r="W26" s="853">
        <v>4569</v>
      </c>
      <c r="X26" s="472">
        <f>SUM(V26-W26)</f>
        <v>-25</v>
      </c>
      <c r="Y26" s="662">
        <f>IFERROR($W26/$V26, 0)</f>
        <v>1.0055017605633803</v>
      </c>
      <c r="Z26" s="479">
        <v>45960</v>
      </c>
      <c r="AA26" s="355">
        <v>1</v>
      </c>
      <c r="AB26" s="355">
        <v>0</v>
      </c>
      <c r="AC26" s="472">
        <v>0</v>
      </c>
      <c r="AD26" s="1155" t="s">
        <v>585</v>
      </c>
    </row>
    <row r="27" spans="1:30" ht="39.75" customHeight="1">
      <c r="A27" s="930" t="s">
        <v>586</v>
      </c>
      <c r="B27" s="681" t="s">
        <v>117</v>
      </c>
      <c r="C27" s="476">
        <v>45991</v>
      </c>
      <c r="D27" s="467" t="s">
        <v>229</v>
      </c>
      <c r="E27" s="467">
        <v>45961</v>
      </c>
      <c r="F27" s="465" t="s">
        <v>118</v>
      </c>
      <c r="G27" s="682"/>
      <c r="H27" s="469">
        <v>0</v>
      </c>
      <c r="I27" s="469" t="s">
        <v>318</v>
      </c>
      <c r="J27" s="469" t="s">
        <v>63</v>
      </c>
      <c r="K27" s="469"/>
      <c r="L27" s="467" t="s">
        <v>184</v>
      </c>
      <c r="M27" s="469" t="s">
        <v>57</v>
      </c>
      <c r="N27" s="542">
        <v>39221.800000000003</v>
      </c>
      <c r="O27" s="469" t="s">
        <v>57</v>
      </c>
      <c r="P27" s="1154" t="s">
        <v>319</v>
      </c>
      <c r="Q27" s="124">
        <v>45950</v>
      </c>
      <c r="R27" s="652"/>
      <c r="S27" s="471"/>
      <c r="T27" s="471"/>
      <c r="U27" s="486" t="s">
        <v>527</v>
      </c>
      <c r="V27" s="416">
        <v>3078</v>
      </c>
      <c r="W27" s="953">
        <v>3272</v>
      </c>
      <c r="X27" s="472">
        <f t="shared" si="6"/>
        <v>-194</v>
      </c>
      <c r="Y27" s="662">
        <f t="shared" si="7"/>
        <v>1.0630279402209226</v>
      </c>
      <c r="Z27" s="479">
        <v>45966</v>
      </c>
      <c r="AA27" s="355">
        <v>1</v>
      </c>
      <c r="AB27" s="355">
        <v>1</v>
      </c>
      <c r="AC27" s="472">
        <v>0</v>
      </c>
      <c r="AD27" s="170" t="s">
        <v>587</v>
      </c>
    </row>
    <row r="28" spans="1:30" ht="39.75" customHeight="1">
      <c r="A28" s="843" t="s">
        <v>588</v>
      </c>
      <c r="B28" s="465" t="s">
        <v>117</v>
      </c>
      <c r="C28" s="476">
        <v>45960</v>
      </c>
      <c r="D28" s="467" t="s">
        <v>589</v>
      </c>
      <c r="E28" s="467">
        <v>45915</v>
      </c>
      <c r="F28" s="465" t="s">
        <v>590</v>
      </c>
      <c r="G28" s="682"/>
      <c r="H28" s="469">
        <v>384</v>
      </c>
      <c r="I28" s="661" t="s">
        <v>318</v>
      </c>
      <c r="J28" s="469" t="s">
        <v>56</v>
      </c>
      <c r="K28" s="469"/>
      <c r="L28" s="467">
        <v>45905</v>
      </c>
      <c r="M28" s="469" t="s">
        <v>57</v>
      </c>
      <c r="N28" s="542">
        <v>145985.5</v>
      </c>
      <c r="O28" s="469" t="s">
        <v>57</v>
      </c>
      <c r="P28" s="1109" t="s">
        <v>319</v>
      </c>
      <c r="Q28" s="1004">
        <v>45906</v>
      </c>
      <c r="R28" s="471"/>
      <c r="S28" s="471"/>
      <c r="T28" s="471"/>
      <c r="U28" s="486" t="s">
        <v>527</v>
      </c>
      <c r="V28" s="788">
        <v>14150</v>
      </c>
      <c r="W28" s="880">
        <v>15469</v>
      </c>
      <c r="X28" s="106">
        <f t="shared" si="6"/>
        <v>-1319</v>
      </c>
      <c r="Y28" s="657">
        <f t="shared" si="7"/>
        <v>1.0932155477031802</v>
      </c>
      <c r="Z28" s="678">
        <v>45926</v>
      </c>
      <c r="AA28" s="355">
        <v>1</v>
      </c>
      <c r="AB28" s="355">
        <v>1</v>
      </c>
      <c r="AC28" s="472">
        <v>0</v>
      </c>
      <c r="AD28" s="872" t="s">
        <v>591</v>
      </c>
    </row>
    <row r="29" spans="1:30" ht="39.75" customHeight="1">
      <c r="A29" s="930" t="s">
        <v>592</v>
      </c>
      <c r="B29" s="465" t="s">
        <v>117</v>
      </c>
      <c r="C29" s="476">
        <v>45930</v>
      </c>
      <c r="D29" s="467" t="s">
        <v>593</v>
      </c>
      <c r="E29" s="467">
        <v>45916</v>
      </c>
      <c r="F29" s="465" t="s">
        <v>118</v>
      </c>
      <c r="G29" s="682"/>
      <c r="H29" s="469">
        <v>84</v>
      </c>
      <c r="I29" s="661" t="s">
        <v>318</v>
      </c>
      <c r="J29" s="469" t="s">
        <v>56</v>
      </c>
      <c r="K29" s="469"/>
      <c r="L29" s="465" t="s">
        <v>319</v>
      </c>
      <c r="M29" s="469" t="s">
        <v>57</v>
      </c>
      <c r="N29" s="542">
        <v>30892</v>
      </c>
      <c r="O29" s="469" t="s">
        <v>57</v>
      </c>
      <c r="P29" s="807" t="s">
        <v>319</v>
      </c>
      <c r="Q29" s="471">
        <v>45911</v>
      </c>
      <c r="R29" s="471"/>
      <c r="S29" s="471"/>
      <c r="T29" s="471"/>
      <c r="U29" s="486" t="s">
        <v>527</v>
      </c>
      <c r="V29" s="788">
        <v>2811</v>
      </c>
      <c r="W29" s="880">
        <v>2732</v>
      </c>
      <c r="X29" s="106">
        <f>SUM(V29-W29)</f>
        <v>79</v>
      </c>
      <c r="Y29" s="22">
        <f>IFERROR($W29/$V29, 0)</f>
        <v>0.97189612237637857</v>
      </c>
      <c r="Z29" s="678">
        <v>45922</v>
      </c>
      <c r="AA29" s="355">
        <v>1</v>
      </c>
      <c r="AB29" s="355">
        <v>1</v>
      </c>
      <c r="AC29" s="472">
        <v>0</v>
      </c>
      <c r="AD29" s="664" t="s">
        <v>594</v>
      </c>
    </row>
    <row r="30" spans="1:30" ht="39.75" customHeight="1">
      <c r="A30" s="843" t="s">
        <v>595</v>
      </c>
      <c r="B30" s="824" t="s">
        <v>50</v>
      </c>
      <c r="C30" s="642">
        <v>45838</v>
      </c>
      <c r="D30" s="475" t="s">
        <v>596</v>
      </c>
      <c r="E30" s="476">
        <v>45727</v>
      </c>
      <c r="F30" s="475" t="s">
        <v>61</v>
      </c>
      <c r="G30" s="847" t="s">
        <v>597</v>
      </c>
      <c r="H30" s="478">
        <v>71</v>
      </c>
      <c r="I30" s="829" t="s">
        <v>318</v>
      </c>
      <c r="J30" s="478" t="s">
        <v>63</v>
      </c>
      <c r="K30" s="487"/>
      <c r="L30" s="476">
        <v>45728</v>
      </c>
      <c r="M30" s="478" t="s">
        <v>57</v>
      </c>
      <c r="N30" s="543">
        <v>60843.5</v>
      </c>
      <c r="O30" s="478" t="s">
        <v>57</v>
      </c>
      <c r="P30" s="807" t="s">
        <v>319</v>
      </c>
      <c r="Q30" s="479">
        <v>45722</v>
      </c>
      <c r="R30" s="479">
        <v>45917</v>
      </c>
      <c r="S30" s="479">
        <v>45939</v>
      </c>
      <c r="T30" s="479"/>
      <c r="U30" s="486" t="s">
        <v>527</v>
      </c>
      <c r="V30" s="848">
        <v>4979</v>
      </c>
      <c r="W30" s="743">
        <v>5020</v>
      </c>
      <c r="X30" s="472">
        <f t="shared" si="6"/>
        <v>-41</v>
      </c>
      <c r="Y30" s="662">
        <f t="shared" si="7"/>
        <v>1.0082345852580838</v>
      </c>
      <c r="Z30" s="479">
        <v>45741</v>
      </c>
      <c r="AA30" s="662">
        <v>1</v>
      </c>
      <c r="AB30" s="662">
        <v>1</v>
      </c>
      <c r="AC30" s="352">
        <v>0</v>
      </c>
      <c r="AD30" s="664" t="s">
        <v>598</v>
      </c>
    </row>
    <row r="31" spans="1:30" ht="39.75" customHeight="1">
      <c r="A31" s="928" t="s">
        <v>599</v>
      </c>
      <c r="B31" s="510" t="s">
        <v>50</v>
      </c>
      <c r="C31" s="497">
        <v>45772</v>
      </c>
      <c r="D31" s="511" t="s">
        <v>600</v>
      </c>
      <c r="E31" s="511">
        <v>45693</v>
      </c>
      <c r="F31" s="502" t="s">
        <v>61</v>
      </c>
      <c r="G31" s="512" t="s">
        <v>601</v>
      </c>
      <c r="H31" s="505">
        <v>86</v>
      </c>
      <c r="I31" s="507" t="s">
        <v>318</v>
      </c>
      <c r="J31" s="505" t="s">
        <v>63</v>
      </c>
      <c r="K31" s="505"/>
      <c r="L31" s="511">
        <v>45714</v>
      </c>
      <c r="M31" s="505" t="s">
        <v>57</v>
      </c>
      <c r="N31" s="545">
        <v>94170.5</v>
      </c>
      <c r="O31" s="505" t="s">
        <v>57</v>
      </c>
      <c r="P31" s="929" t="s">
        <v>319</v>
      </c>
      <c r="Q31" s="479">
        <v>45693</v>
      </c>
      <c r="R31" s="479">
        <v>45869</v>
      </c>
      <c r="S31" s="479">
        <v>45903</v>
      </c>
      <c r="T31" s="479"/>
      <c r="U31" s="486" t="s">
        <v>527</v>
      </c>
      <c r="V31" s="493">
        <v>7980</v>
      </c>
      <c r="W31" s="742">
        <v>7901</v>
      </c>
      <c r="X31" s="106">
        <f t="shared" si="6"/>
        <v>79</v>
      </c>
      <c r="Y31" s="22">
        <f t="shared" si="7"/>
        <v>0.99010025062656637</v>
      </c>
      <c r="Z31" s="678">
        <v>45713</v>
      </c>
      <c r="AA31" s="473">
        <v>1</v>
      </c>
      <c r="AB31" s="473">
        <v>1</v>
      </c>
      <c r="AC31" s="816">
        <v>0</v>
      </c>
      <c r="AD31" s="173" t="s">
        <v>602</v>
      </c>
    </row>
    <row r="32" spans="1:30" ht="39.75" customHeight="1">
      <c r="A32" s="928" t="s">
        <v>603</v>
      </c>
      <c r="B32" s="510" t="s">
        <v>50</v>
      </c>
      <c r="C32" s="497">
        <v>45772</v>
      </c>
      <c r="D32" s="511" t="s">
        <v>600</v>
      </c>
      <c r="E32" s="511">
        <v>45698</v>
      </c>
      <c r="F32" s="497" t="s">
        <v>61</v>
      </c>
      <c r="G32" s="512" t="s">
        <v>604</v>
      </c>
      <c r="H32" s="505">
        <v>89</v>
      </c>
      <c r="I32" s="505" t="s">
        <v>318</v>
      </c>
      <c r="J32" s="505" t="s">
        <v>63</v>
      </c>
      <c r="K32" s="505"/>
      <c r="L32" s="511">
        <v>45695</v>
      </c>
      <c r="M32" s="505" t="s">
        <v>57</v>
      </c>
      <c r="N32" s="546">
        <v>89698.5</v>
      </c>
      <c r="O32" s="505" t="s">
        <v>57</v>
      </c>
      <c r="P32" s="929" t="s">
        <v>319</v>
      </c>
      <c r="Q32" s="479">
        <v>45694</v>
      </c>
      <c r="R32" s="479">
        <v>45917</v>
      </c>
      <c r="S32" s="479">
        <v>45936</v>
      </c>
      <c r="T32" s="479"/>
      <c r="U32" s="486" t="s">
        <v>527</v>
      </c>
      <c r="V32" s="493">
        <v>7562</v>
      </c>
      <c r="W32" s="742">
        <v>7556</v>
      </c>
      <c r="X32" s="106">
        <f t="shared" si="6"/>
        <v>6</v>
      </c>
      <c r="Y32" s="22">
        <f t="shared" si="7"/>
        <v>0.99920655911134626</v>
      </c>
      <c r="Z32" s="678">
        <v>45709</v>
      </c>
      <c r="AA32" s="473">
        <v>1</v>
      </c>
      <c r="AB32" s="473">
        <v>1</v>
      </c>
      <c r="AC32" s="816">
        <v>0</v>
      </c>
      <c r="AD32" s="201" t="s">
        <v>605</v>
      </c>
    </row>
    <row r="33" spans="1:30" ht="39.75" customHeight="1">
      <c r="A33" s="849" t="s">
        <v>606</v>
      </c>
      <c r="B33" s="824" t="s">
        <v>50</v>
      </c>
      <c r="C33" s="476">
        <v>45772</v>
      </c>
      <c r="D33" s="476" t="s">
        <v>596</v>
      </c>
      <c r="E33" s="827">
        <v>45686</v>
      </c>
      <c r="F33" s="475" t="s">
        <v>61</v>
      </c>
      <c r="G33" s="850" t="s">
        <v>607</v>
      </c>
      <c r="H33" s="829">
        <v>77</v>
      </c>
      <c r="I33" s="661" t="s">
        <v>318</v>
      </c>
      <c r="J33" s="829" t="s">
        <v>63</v>
      </c>
      <c r="K33" s="829"/>
      <c r="L33" s="827">
        <v>45686</v>
      </c>
      <c r="M33" s="829" t="s">
        <v>57</v>
      </c>
      <c r="N33" s="851">
        <v>61924</v>
      </c>
      <c r="O33" s="829" t="s">
        <v>57</v>
      </c>
      <c r="P33" s="807" t="s">
        <v>319</v>
      </c>
      <c r="Q33" s="479">
        <v>45692</v>
      </c>
      <c r="R33" s="479">
        <v>45847</v>
      </c>
      <c r="S33" s="479">
        <v>45852</v>
      </c>
      <c r="T33" s="479"/>
      <c r="U33" s="486" t="s">
        <v>527</v>
      </c>
      <c r="V33" s="852">
        <v>5005</v>
      </c>
      <c r="W33" s="853">
        <v>4996</v>
      </c>
      <c r="X33" s="472">
        <f t="shared" si="6"/>
        <v>9</v>
      </c>
      <c r="Y33" s="662">
        <f t="shared" si="7"/>
        <v>0.99820179820179822</v>
      </c>
      <c r="Z33" s="479">
        <v>45708</v>
      </c>
      <c r="AA33" s="662">
        <v>1</v>
      </c>
      <c r="AB33" s="662">
        <v>1</v>
      </c>
      <c r="AC33" s="816">
        <v>0</v>
      </c>
      <c r="AD33" s="854" t="s">
        <v>608</v>
      </c>
    </row>
    <row r="34" spans="1:30" ht="39.75" customHeight="1">
      <c r="A34" s="849" t="s">
        <v>609</v>
      </c>
      <c r="B34" s="824" t="s">
        <v>50</v>
      </c>
      <c r="C34" s="476">
        <v>45772</v>
      </c>
      <c r="D34" s="827" t="s">
        <v>610</v>
      </c>
      <c r="E34" s="827">
        <v>45694</v>
      </c>
      <c r="F34" s="827" t="s">
        <v>61</v>
      </c>
      <c r="G34" s="850" t="s">
        <v>611</v>
      </c>
      <c r="H34" s="829">
        <v>84</v>
      </c>
      <c r="I34" s="661" t="s">
        <v>318</v>
      </c>
      <c r="J34" s="829" t="s">
        <v>63</v>
      </c>
      <c r="K34" s="829"/>
      <c r="L34" s="827">
        <v>45698</v>
      </c>
      <c r="M34" s="829" t="s">
        <v>57</v>
      </c>
      <c r="N34" s="851">
        <v>63402.5</v>
      </c>
      <c r="O34" s="829" t="s">
        <v>57</v>
      </c>
      <c r="P34" s="807" t="s">
        <v>319</v>
      </c>
      <c r="Q34" s="479">
        <v>45695</v>
      </c>
      <c r="R34" s="479">
        <v>45847</v>
      </c>
      <c r="S34" s="479">
        <v>45852</v>
      </c>
      <c r="T34" s="479"/>
      <c r="U34" s="486" t="s">
        <v>527</v>
      </c>
      <c r="V34" s="848">
        <v>4979</v>
      </c>
      <c r="W34" s="853">
        <v>4984</v>
      </c>
      <c r="X34" s="472">
        <f t="shared" si="6"/>
        <v>-5</v>
      </c>
      <c r="Y34" s="662">
        <f t="shared" si="7"/>
        <v>1.0010042177144005</v>
      </c>
      <c r="Z34" s="479">
        <v>45714</v>
      </c>
      <c r="AA34" s="662">
        <v>1</v>
      </c>
      <c r="AB34" s="662">
        <v>1</v>
      </c>
      <c r="AC34" s="816">
        <v>0</v>
      </c>
      <c r="AD34" s="148" t="s">
        <v>612</v>
      </c>
    </row>
    <row r="35" spans="1:30" ht="39.75" customHeight="1">
      <c r="A35" s="1100" t="s">
        <v>613</v>
      </c>
      <c r="B35" s="378" t="s">
        <v>50</v>
      </c>
      <c r="C35" s="51">
        <v>45742</v>
      </c>
      <c r="D35" s="1089" t="s">
        <v>614</v>
      </c>
      <c r="E35" s="381">
        <v>45680</v>
      </c>
      <c r="F35" s="50" t="s">
        <v>61</v>
      </c>
      <c r="G35" s="572" t="s">
        <v>615</v>
      </c>
      <c r="H35" s="52">
        <v>79</v>
      </c>
      <c r="I35" s="1091" t="s">
        <v>616</v>
      </c>
      <c r="J35" s="979" t="s">
        <v>63</v>
      </c>
      <c r="K35" s="52"/>
      <c r="L35" s="374" t="s">
        <v>319</v>
      </c>
      <c r="M35" s="380" t="s">
        <v>57</v>
      </c>
      <c r="N35" s="1079">
        <v>64790.5</v>
      </c>
      <c r="O35" s="380" t="s">
        <v>57</v>
      </c>
      <c r="P35" s="1101" t="s">
        <v>319</v>
      </c>
      <c r="Q35" s="54">
        <v>45675</v>
      </c>
      <c r="R35" s="54">
        <v>45917</v>
      </c>
      <c r="S35" s="54">
        <v>45931</v>
      </c>
      <c r="T35" s="54"/>
      <c r="U35" s="486" t="s">
        <v>527</v>
      </c>
      <c r="V35" s="31">
        <v>4975</v>
      </c>
      <c r="W35" s="1102">
        <v>4975</v>
      </c>
      <c r="X35" s="106">
        <f t="shared" si="6"/>
        <v>0</v>
      </c>
      <c r="Y35" s="22">
        <f t="shared" si="7"/>
        <v>1</v>
      </c>
      <c r="Z35" s="195">
        <v>45680</v>
      </c>
      <c r="AA35" s="355">
        <v>0</v>
      </c>
      <c r="AB35" s="355">
        <v>0</v>
      </c>
      <c r="AC35" s="816">
        <v>0</v>
      </c>
      <c r="AD35" s="69" t="s">
        <v>617</v>
      </c>
    </row>
    <row r="36" spans="1:30" ht="39.75" customHeight="1">
      <c r="A36" s="843" t="s">
        <v>618</v>
      </c>
      <c r="B36" s="824" t="s">
        <v>50</v>
      </c>
      <c r="C36" s="467">
        <v>45960</v>
      </c>
      <c r="D36" s="465" t="s">
        <v>259</v>
      </c>
      <c r="E36" s="467">
        <v>45927</v>
      </c>
      <c r="F36" s="465" t="s">
        <v>101</v>
      </c>
      <c r="G36" s="682" t="s">
        <v>619</v>
      </c>
      <c r="H36" s="469">
        <v>86</v>
      </c>
      <c r="I36" s="661" t="s">
        <v>318</v>
      </c>
      <c r="J36" s="469" t="s">
        <v>63</v>
      </c>
      <c r="K36" s="478"/>
      <c r="L36" s="467">
        <v>45917</v>
      </c>
      <c r="M36" s="469" t="s">
        <v>57</v>
      </c>
      <c r="N36" s="542">
        <v>45500</v>
      </c>
      <c r="O36" s="469" t="s">
        <v>57</v>
      </c>
      <c r="P36" s="807" t="s">
        <v>319</v>
      </c>
      <c r="Q36" s="471">
        <v>45917</v>
      </c>
      <c r="R36" s="471">
        <v>45944</v>
      </c>
      <c r="S36" s="471">
        <v>45951</v>
      </c>
      <c r="T36" s="471"/>
      <c r="U36" s="486" t="s">
        <v>527</v>
      </c>
      <c r="V36" s="472">
        <v>3242</v>
      </c>
      <c r="W36" s="743">
        <v>3228</v>
      </c>
      <c r="X36" s="983">
        <f t="shared" si="6"/>
        <v>14</v>
      </c>
      <c r="Y36" s="984">
        <f t="shared" si="7"/>
        <v>0.99568167797655771</v>
      </c>
      <c r="Z36" s="678">
        <v>45930</v>
      </c>
      <c r="AA36" s="355">
        <v>0</v>
      </c>
      <c r="AB36" s="355">
        <v>0</v>
      </c>
      <c r="AC36" s="788">
        <v>0</v>
      </c>
      <c r="AD36" s="881"/>
    </row>
    <row r="37" spans="1:30" ht="39.75" customHeight="1">
      <c r="A37" s="930" t="s">
        <v>620</v>
      </c>
      <c r="B37" s="824" t="s">
        <v>50</v>
      </c>
      <c r="C37" s="467">
        <v>45991</v>
      </c>
      <c r="D37" s="467" t="s">
        <v>72</v>
      </c>
      <c r="E37" s="476">
        <v>45743</v>
      </c>
      <c r="F37" s="475" t="s">
        <v>61</v>
      </c>
      <c r="G37" s="825" t="s">
        <v>621</v>
      </c>
      <c r="H37" s="478">
        <v>70</v>
      </c>
      <c r="I37" s="661" t="s">
        <v>318</v>
      </c>
      <c r="J37" s="469" t="s">
        <v>63</v>
      </c>
      <c r="K37" s="826"/>
      <c r="L37" s="476">
        <v>45741</v>
      </c>
      <c r="M37" s="469" t="s">
        <v>57</v>
      </c>
      <c r="N37" s="543">
        <v>67735.5</v>
      </c>
      <c r="O37" s="469" t="s">
        <v>57</v>
      </c>
      <c r="P37" s="807" t="s">
        <v>319</v>
      </c>
      <c r="Q37" s="479">
        <v>45779</v>
      </c>
      <c r="R37" s="479"/>
      <c r="S37" s="479"/>
      <c r="T37" s="479"/>
      <c r="U37" s="486" t="s">
        <v>527</v>
      </c>
      <c r="V37" s="41">
        <v>6152</v>
      </c>
      <c r="W37" s="743">
        <v>5723</v>
      </c>
      <c r="X37" s="106">
        <f>SUM(V37-W37)</f>
        <v>429</v>
      </c>
      <c r="Y37" s="657">
        <f>IFERROR($W37/$V37, 0)</f>
        <v>0.9302665799739922</v>
      </c>
      <c r="Z37" s="678">
        <v>45792</v>
      </c>
      <c r="AA37" s="355">
        <v>0</v>
      </c>
      <c r="AB37" s="355">
        <v>0</v>
      </c>
      <c r="AC37" s="645">
        <v>0</v>
      </c>
      <c r="AD37" s="353" t="s">
        <v>622</v>
      </c>
    </row>
    <row r="38" spans="1:30" ht="39.75" customHeight="1">
      <c r="A38" s="879" t="s">
        <v>623</v>
      </c>
      <c r="B38" s="824" t="s">
        <v>50</v>
      </c>
      <c r="C38" s="827">
        <v>45716</v>
      </c>
      <c r="D38" s="827" t="s">
        <v>72</v>
      </c>
      <c r="E38" s="827">
        <v>45701</v>
      </c>
      <c r="F38" s="475" t="s">
        <v>61</v>
      </c>
      <c r="G38" s="850" t="s">
        <v>532</v>
      </c>
      <c r="H38" s="829">
        <v>0</v>
      </c>
      <c r="I38" s="829" t="s">
        <v>319</v>
      </c>
      <c r="J38" s="829" t="s">
        <v>63</v>
      </c>
      <c r="K38" s="829"/>
      <c r="L38" s="827">
        <v>45705</v>
      </c>
      <c r="M38" s="829" t="s">
        <v>57</v>
      </c>
      <c r="N38" s="851">
        <v>1295</v>
      </c>
      <c r="O38" s="829" t="s">
        <v>57</v>
      </c>
      <c r="P38" s="807" t="s">
        <v>319</v>
      </c>
      <c r="Q38" s="513">
        <v>45706</v>
      </c>
      <c r="R38" s="513">
        <v>45826</v>
      </c>
      <c r="S38" s="513"/>
      <c r="T38" s="513"/>
      <c r="U38" s="486" t="s">
        <v>527</v>
      </c>
      <c r="V38" s="852">
        <v>153</v>
      </c>
      <c r="W38" s="742">
        <v>153</v>
      </c>
      <c r="X38" s="106">
        <f t="shared" si="6"/>
        <v>0</v>
      </c>
      <c r="Y38" s="657">
        <f t="shared" si="7"/>
        <v>1</v>
      </c>
      <c r="Z38" s="678">
        <v>45754</v>
      </c>
      <c r="AA38" s="473">
        <v>1</v>
      </c>
      <c r="AB38" s="473">
        <v>1</v>
      </c>
      <c r="AC38" s="816">
        <v>0</v>
      </c>
      <c r="AD38" s="173" t="s">
        <v>624</v>
      </c>
    </row>
    <row r="39" spans="1:30" ht="39.75" customHeight="1">
      <c r="A39" s="55"/>
      <c r="B39" s="145"/>
      <c r="C39" s="145"/>
      <c r="D39" s="145"/>
      <c r="E39" s="145"/>
      <c r="F39" s="55"/>
      <c r="G39" s="55"/>
      <c r="H39" s="145"/>
      <c r="I39" s="145"/>
      <c r="J39" s="145"/>
      <c r="K39" s="145"/>
      <c r="L39" s="55"/>
      <c r="M39" s="145"/>
      <c r="N39" s="548"/>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8"/>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J106" activePane="topRight" state="frozen"/>
      <selection pane="topRight" activeCell="A122" sqref="A122:XFD12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4">
        <v>57509</v>
      </c>
      <c r="O2" s="770" t="s">
        <v>57</v>
      </c>
      <c r="P2" s="376" t="s">
        <v>319</v>
      </c>
      <c r="Q2" s="652">
        <v>45709</v>
      </c>
      <c r="R2" s="41">
        <v>4836</v>
      </c>
      <c r="S2" s="472">
        <v>5095</v>
      </c>
      <c r="T2" s="816">
        <v>0</v>
      </c>
      <c r="U2" s="662">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2">
        <v>45718</v>
      </c>
      <c r="L3" s="52" t="s">
        <v>57</v>
      </c>
      <c r="M3" s="426">
        <v>200394.1</v>
      </c>
      <c r="N3" s="426">
        <v>209003.94</v>
      </c>
      <c r="O3" s="52" t="s">
        <v>57</v>
      </c>
      <c r="P3" s="437" t="s">
        <v>319</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318</v>
      </c>
      <c r="J4" s="52" t="s">
        <v>63</v>
      </c>
      <c r="K4" s="51">
        <v>45708</v>
      </c>
      <c r="L4" s="52" t="s">
        <v>57</v>
      </c>
      <c r="M4" s="426">
        <v>62460.45</v>
      </c>
      <c r="N4" s="554">
        <v>61491.05</v>
      </c>
      <c r="O4" s="52" t="s">
        <v>57</v>
      </c>
      <c r="P4" s="52" t="s">
        <v>319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318</v>
      </c>
      <c r="J5" s="376" t="s">
        <v>63</v>
      </c>
      <c r="K5" s="375">
        <v>45735</v>
      </c>
      <c r="L5" s="376" t="s">
        <v>57</v>
      </c>
      <c r="M5" s="429">
        <v>15690.1</v>
      </c>
      <c r="N5" s="554">
        <v>16153.75</v>
      </c>
      <c r="O5" s="376" t="s">
        <v>57</v>
      </c>
      <c r="P5" s="376" t="s">
        <v>319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649" t="s">
        <v>137</v>
      </c>
      <c r="E6" s="375">
        <v>45813</v>
      </c>
      <c r="F6" s="649" t="s">
        <v>187</v>
      </c>
      <c r="G6" s="573" t="s">
        <v>642</v>
      </c>
      <c r="H6" s="376">
        <v>0</v>
      </c>
      <c r="I6" s="667" t="s">
        <v>318</v>
      </c>
      <c r="J6" s="376" t="s">
        <v>63</v>
      </c>
      <c r="K6" s="375">
        <v>45793</v>
      </c>
      <c r="L6" s="376" t="s">
        <v>57</v>
      </c>
      <c r="M6" s="429">
        <v>104070.8</v>
      </c>
      <c r="N6" s="426">
        <v>106593.55</v>
      </c>
      <c r="O6" s="376" t="s">
        <v>57</v>
      </c>
      <c r="P6" s="437" t="s">
        <v>319</v>
      </c>
      <c r="Q6" s="471">
        <v>45793</v>
      </c>
      <c r="R6" s="472">
        <v>7848</v>
      </c>
      <c r="S6" s="472">
        <v>7859</v>
      </c>
      <c r="T6" s="1134">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318</v>
      </c>
      <c r="J7" s="376" t="s">
        <v>63</v>
      </c>
      <c r="K7" s="375">
        <v>45782</v>
      </c>
      <c r="L7" s="376" t="s">
        <v>57</v>
      </c>
      <c r="M7" s="429">
        <v>119135.3</v>
      </c>
      <c r="N7" s="426">
        <v>121256.65</v>
      </c>
      <c r="O7" s="376" t="s">
        <v>57</v>
      </c>
      <c r="P7" s="376" t="s">
        <v>319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1" t="s">
        <v>646</v>
      </c>
    </row>
    <row r="8" spans="1:27" ht="39.75" customHeight="1">
      <c r="A8" s="373" t="s">
        <v>647</v>
      </c>
      <c r="B8" s="50" t="s">
        <v>117</v>
      </c>
      <c r="C8" s="51">
        <v>45787</v>
      </c>
      <c r="D8" s="658" t="s">
        <v>137</v>
      </c>
      <c r="E8" s="51">
        <v>45715</v>
      </c>
      <c r="F8" s="50" t="s">
        <v>118</v>
      </c>
      <c r="G8" s="670" t="s">
        <v>648</v>
      </c>
      <c r="H8" s="52">
        <v>0</v>
      </c>
      <c r="I8" s="660" t="s">
        <v>318</v>
      </c>
      <c r="J8" s="52" t="s">
        <v>63</v>
      </c>
      <c r="K8" s="50" t="s">
        <v>319</v>
      </c>
      <c r="L8" s="52" t="s">
        <v>57</v>
      </c>
      <c r="M8" s="426">
        <v>12601.45</v>
      </c>
      <c r="N8" s="554">
        <v>13008.1</v>
      </c>
      <c r="O8" s="52" t="s">
        <v>57</v>
      </c>
      <c r="P8" s="52" t="s">
        <v>319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658" t="s">
        <v>137</v>
      </c>
      <c r="E9" s="51">
        <v>45828</v>
      </c>
      <c r="F9" s="658" t="s">
        <v>187</v>
      </c>
      <c r="G9" s="670" t="s">
        <v>650</v>
      </c>
      <c r="H9" s="52">
        <v>0</v>
      </c>
      <c r="I9" s="660" t="s">
        <v>318</v>
      </c>
      <c r="J9" s="52" t="s">
        <v>63</v>
      </c>
      <c r="K9" s="375">
        <v>45826</v>
      </c>
      <c r="L9" s="376" t="s">
        <v>57</v>
      </c>
      <c r="M9" s="429">
        <v>144886</v>
      </c>
      <c r="N9" s="426">
        <v>138688</v>
      </c>
      <c r="O9" s="376" t="s">
        <v>57</v>
      </c>
      <c r="P9" s="437" t="s">
        <v>319</v>
      </c>
      <c r="Q9" s="1357">
        <v>45840</v>
      </c>
      <c r="R9" s="965">
        <v>11054</v>
      </c>
      <c r="S9" s="965">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187</v>
      </c>
      <c r="G10" s="672" t="s">
        <v>73</v>
      </c>
      <c r="H10" s="376">
        <v>54</v>
      </c>
      <c r="I10" s="667" t="s">
        <v>616</v>
      </c>
      <c r="J10" s="376" t="s">
        <v>63</v>
      </c>
      <c r="K10" s="374" t="s">
        <v>319</v>
      </c>
      <c r="L10" s="667" t="s">
        <v>57</v>
      </c>
      <c r="M10" s="429">
        <v>47461.5</v>
      </c>
      <c r="N10" s="569">
        <v>45340</v>
      </c>
      <c r="O10" s="667" t="s">
        <v>57</v>
      </c>
      <c r="P10" s="376" t="s">
        <v>319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319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187</v>
      </c>
      <c r="G12" s="670" t="s">
        <v>657</v>
      </c>
      <c r="H12" s="52">
        <v>56</v>
      </c>
      <c r="I12" s="660" t="s">
        <v>616</v>
      </c>
      <c r="J12" s="52" t="s">
        <v>63</v>
      </c>
      <c r="K12" s="665">
        <v>45707</v>
      </c>
      <c r="L12" s="52" t="s">
        <v>57</v>
      </c>
      <c r="M12" s="426">
        <v>62522.54</v>
      </c>
      <c r="N12" s="554">
        <v>56001</v>
      </c>
      <c r="O12" s="52" t="s">
        <v>57</v>
      </c>
      <c r="P12" s="52" t="s">
        <v>319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187</v>
      </c>
      <c r="G13" s="573" t="s">
        <v>659</v>
      </c>
      <c r="H13" s="52">
        <v>82</v>
      </c>
      <c r="I13" s="660" t="s">
        <v>318</v>
      </c>
      <c r="J13" s="52" t="s">
        <v>63</v>
      </c>
      <c r="K13" s="665">
        <v>45756</v>
      </c>
      <c r="L13" s="52" t="s">
        <v>57</v>
      </c>
      <c r="M13" s="426">
        <v>67171.5</v>
      </c>
      <c r="N13" s="554">
        <v>64739</v>
      </c>
      <c r="O13" s="52" t="s">
        <v>57</v>
      </c>
      <c r="P13" s="52" t="s">
        <v>319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187</v>
      </c>
      <c r="G14" s="670" t="s">
        <v>661</v>
      </c>
      <c r="H14" s="52">
        <v>79</v>
      </c>
      <c r="I14" s="660" t="s">
        <v>318</v>
      </c>
      <c r="J14" s="52" t="s">
        <v>63</v>
      </c>
      <c r="K14" s="51">
        <v>45749</v>
      </c>
      <c r="L14" s="52" t="s">
        <v>57</v>
      </c>
      <c r="M14" s="426">
        <v>72492</v>
      </c>
      <c r="N14" s="554">
        <v>73087.5</v>
      </c>
      <c r="O14" s="52" t="s">
        <v>57</v>
      </c>
      <c r="P14" s="52" t="s">
        <v>319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318</v>
      </c>
      <c r="J15" s="52" t="s">
        <v>63</v>
      </c>
      <c r="K15" s="51">
        <v>45750</v>
      </c>
      <c r="L15" s="52" t="s">
        <v>57</v>
      </c>
      <c r="M15" s="426">
        <v>51295</v>
      </c>
      <c r="N15" s="554">
        <v>51485.5</v>
      </c>
      <c r="O15" s="52" t="s">
        <v>57</v>
      </c>
      <c r="P15" s="52" t="s">
        <v>319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318</v>
      </c>
      <c r="J16" s="52" t="s">
        <v>63</v>
      </c>
      <c r="K16" s="50" t="s">
        <v>319</v>
      </c>
      <c r="L16" s="660" t="s">
        <v>57</v>
      </c>
      <c r="M16" s="426">
        <v>26617</v>
      </c>
      <c r="N16" s="570">
        <v>25405</v>
      </c>
      <c r="O16" s="660" t="s">
        <v>57</v>
      </c>
      <c r="P16" s="52" t="s">
        <v>319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319</v>
      </c>
      <c r="L17" s="660" t="s">
        <v>57</v>
      </c>
      <c r="M17" s="426">
        <v>72118</v>
      </c>
      <c r="N17" s="673">
        <v>70778</v>
      </c>
      <c r="O17" s="660" t="s">
        <v>57</v>
      </c>
      <c r="P17" s="52" t="s">
        <v>319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319</v>
      </c>
      <c r="L18" s="660" t="s">
        <v>57</v>
      </c>
      <c r="M18" s="426">
        <v>69288</v>
      </c>
      <c r="N18" s="570">
        <v>70664</v>
      </c>
      <c r="O18" s="660" t="s">
        <v>57</v>
      </c>
      <c r="P18" s="52" t="s">
        <v>319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187</v>
      </c>
      <c r="G19" s="666" t="s">
        <v>673</v>
      </c>
      <c r="H19" s="52">
        <v>65</v>
      </c>
      <c r="I19" s="660" t="s">
        <v>616</v>
      </c>
      <c r="J19" s="52" t="s">
        <v>63</v>
      </c>
      <c r="K19" s="51">
        <v>45673</v>
      </c>
      <c r="L19" s="660" t="s">
        <v>57</v>
      </c>
      <c r="M19" s="426">
        <v>69555</v>
      </c>
      <c r="N19" s="673">
        <v>70432</v>
      </c>
      <c r="O19" s="660" t="s">
        <v>57</v>
      </c>
      <c r="P19" s="52" t="s">
        <v>319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319</v>
      </c>
      <c r="L20" s="660" t="s">
        <v>57</v>
      </c>
      <c r="M20" s="426">
        <v>83754</v>
      </c>
      <c r="N20" s="570">
        <v>80572.5</v>
      </c>
      <c r="O20" s="660" t="s">
        <v>57</v>
      </c>
      <c r="P20" s="52" t="s">
        <v>319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187</v>
      </c>
      <c r="G21" s="670" t="s">
        <v>677</v>
      </c>
      <c r="H21" s="52">
        <v>50</v>
      </c>
      <c r="I21" s="52" t="s">
        <v>616</v>
      </c>
      <c r="J21" s="52" t="s">
        <v>63</v>
      </c>
      <c r="K21" s="51">
        <v>45705</v>
      </c>
      <c r="L21" s="52" t="s">
        <v>57</v>
      </c>
      <c r="M21" s="426">
        <v>43895.5</v>
      </c>
      <c r="N21" s="570">
        <v>44479.5</v>
      </c>
      <c r="O21" s="52" t="s">
        <v>57</v>
      </c>
      <c r="P21" s="52" t="s">
        <v>319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187</v>
      </c>
      <c r="G22" s="670" t="s">
        <v>679</v>
      </c>
      <c r="H22" s="52">
        <v>52</v>
      </c>
      <c r="I22" s="52" t="s">
        <v>318</v>
      </c>
      <c r="J22" s="52" t="s">
        <v>63</v>
      </c>
      <c r="K22" s="51">
        <v>45733</v>
      </c>
      <c r="L22" s="52" t="s">
        <v>57</v>
      </c>
      <c r="M22" s="426">
        <v>50824.5</v>
      </c>
      <c r="N22" s="570">
        <v>50928.5</v>
      </c>
      <c r="O22" s="52" t="s">
        <v>57</v>
      </c>
      <c r="P22" s="52" t="s">
        <v>319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318</v>
      </c>
      <c r="J23" s="52" t="s">
        <v>63</v>
      </c>
      <c r="K23" s="51">
        <v>45737</v>
      </c>
      <c r="L23" s="52" t="s">
        <v>57</v>
      </c>
      <c r="M23" s="426">
        <v>83462</v>
      </c>
      <c r="N23" s="570">
        <v>83033</v>
      </c>
      <c r="O23" s="52" t="s">
        <v>57</v>
      </c>
      <c r="P23" s="52" t="s">
        <v>319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187</v>
      </c>
      <c r="G24" s="670" t="s">
        <v>683</v>
      </c>
      <c r="H24" s="52">
        <v>51</v>
      </c>
      <c r="I24" s="660" t="s">
        <v>616</v>
      </c>
      <c r="J24" s="52" t="s">
        <v>63</v>
      </c>
      <c r="K24" s="50" t="s">
        <v>319</v>
      </c>
      <c r="L24" s="52" t="s">
        <v>57</v>
      </c>
      <c r="M24" s="426">
        <v>47414</v>
      </c>
      <c r="N24" s="570">
        <v>45744</v>
      </c>
      <c r="O24" s="52" t="s">
        <v>57</v>
      </c>
      <c r="P24" s="52" t="s">
        <v>319</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187</v>
      </c>
      <c r="G25" s="670" t="s">
        <v>685</v>
      </c>
      <c r="H25" s="52">
        <v>59</v>
      </c>
      <c r="I25" s="660" t="s">
        <v>318</v>
      </c>
      <c r="J25" s="52" t="s">
        <v>63</v>
      </c>
      <c r="K25" s="51">
        <v>45736</v>
      </c>
      <c r="L25" s="52" t="s">
        <v>57</v>
      </c>
      <c r="M25" s="426">
        <v>59562.5</v>
      </c>
      <c r="N25" s="570">
        <v>52525.5</v>
      </c>
      <c r="O25" s="52" t="s">
        <v>57</v>
      </c>
      <c r="P25" s="52" t="s">
        <v>319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318</v>
      </c>
      <c r="J26" s="52" t="s">
        <v>63</v>
      </c>
      <c r="K26" s="51">
        <v>45735</v>
      </c>
      <c r="L26" s="52" t="s">
        <v>57</v>
      </c>
      <c r="M26" s="426">
        <v>41187</v>
      </c>
      <c r="N26" s="570">
        <v>39597.5</v>
      </c>
      <c r="O26" s="52" t="s">
        <v>57</v>
      </c>
      <c r="P26" s="52" t="s">
        <v>319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2" t="s">
        <v>689</v>
      </c>
      <c r="H27" s="52">
        <v>22</v>
      </c>
      <c r="I27" s="52" t="s">
        <v>318</v>
      </c>
      <c r="J27" s="52" t="s">
        <v>63</v>
      </c>
      <c r="K27" s="50" t="s">
        <v>319</v>
      </c>
      <c r="L27" s="52" t="s">
        <v>57</v>
      </c>
      <c r="M27" s="426">
        <v>14497.5</v>
      </c>
      <c r="N27" s="570">
        <v>14042</v>
      </c>
      <c r="O27" s="52" t="s">
        <v>57</v>
      </c>
      <c r="P27" s="52" t="s">
        <v>319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649" t="s">
        <v>137</v>
      </c>
      <c r="E28" s="649">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8">
        <v>4940</v>
      </c>
      <c r="S28" s="472">
        <v>4818</v>
      </c>
      <c r="T28" s="656">
        <v>0</v>
      </c>
      <c r="U28" s="876">
        <v>0.98</v>
      </c>
      <c r="V28" s="678">
        <v>45854</v>
      </c>
      <c r="W28" s="355">
        <v>1</v>
      </c>
      <c r="X28" s="355">
        <v>1</v>
      </c>
      <c r="Y28" s="355">
        <v>1</v>
      </c>
      <c r="Z28" s="347">
        <v>45875</v>
      </c>
      <c r="AA28" s="174" t="s">
        <v>692</v>
      </c>
    </row>
    <row r="29" spans="1:27" ht="39.75" customHeight="1">
      <c r="A29" s="373" t="s">
        <v>693</v>
      </c>
      <c r="B29" s="374" t="s">
        <v>117</v>
      </c>
      <c r="C29" s="51">
        <v>45868</v>
      </c>
      <c r="D29" s="649" t="s">
        <v>137</v>
      </c>
      <c r="E29" s="649">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8">
        <v>4009</v>
      </c>
      <c r="S29" s="646">
        <v>4039</v>
      </c>
      <c r="T29" s="1134">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187</v>
      </c>
      <c r="G30" s="374" t="s">
        <v>697</v>
      </c>
      <c r="H30" s="376">
        <v>66</v>
      </c>
      <c r="I30" s="376" t="s">
        <v>318</v>
      </c>
      <c r="J30" s="376" t="s">
        <v>63</v>
      </c>
      <c r="K30" s="375">
        <v>45833</v>
      </c>
      <c r="L30" s="376" t="s">
        <v>57</v>
      </c>
      <c r="M30" s="429">
        <v>32940.449999999997</v>
      </c>
      <c r="N30" s="426">
        <v>43258.2</v>
      </c>
      <c r="O30" s="376" t="s">
        <v>57</v>
      </c>
      <c r="P30" s="1045" t="s">
        <v>319</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649" t="s">
        <v>137</v>
      </c>
      <c r="E31" s="649">
        <v>45839</v>
      </c>
      <c r="F31" s="375" t="s">
        <v>118</v>
      </c>
      <c r="G31" s="374" t="s">
        <v>700</v>
      </c>
      <c r="H31" s="376">
        <v>43</v>
      </c>
      <c r="I31" s="376" t="s">
        <v>318</v>
      </c>
      <c r="J31" s="376" t="s">
        <v>63</v>
      </c>
      <c r="K31" s="375">
        <v>45840</v>
      </c>
      <c r="L31" s="376" t="s">
        <v>57</v>
      </c>
      <c r="M31" s="429">
        <v>23404.75</v>
      </c>
      <c r="N31" s="426">
        <v>18702.400000000001</v>
      </c>
      <c r="O31" s="376" t="s">
        <v>57</v>
      </c>
      <c r="P31" s="1053" t="s">
        <v>319</v>
      </c>
      <c r="Q31" s="124">
        <v>45840</v>
      </c>
      <c r="R31" s="106">
        <v>1667</v>
      </c>
      <c r="S31" s="1056">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318</v>
      </c>
      <c r="J32" s="52" t="s">
        <v>63</v>
      </c>
      <c r="K32" s="51">
        <v>45762</v>
      </c>
      <c r="L32" s="52" t="s">
        <v>57</v>
      </c>
      <c r="M32" s="426">
        <v>62502</v>
      </c>
      <c r="N32" s="554">
        <v>59129.5</v>
      </c>
      <c r="O32" s="52" t="s">
        <v>57</v>
      </c>
      <c r="P32" s="52" t="s">
        <v>319</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318</v>
      </c>
      <c r="J33" s="52" t="s">
        <v>63</v>
      </c>
      <c r="K33" s="51">
        <v>45762</v>
      </c>
      <c r="L33" s="52" t="s">
        <v>57</v>
      </c>
      <c r="M33" s="426">
        <v>70705.5</v>
      </c>
      <c r="N33" s="554">
        <v>67666</v>
      </c>
      <c r="O33" s="52" t="s">
        <v>57</v>
      </c>
      <c r="P33" s="52" t="s">
        <v>319</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318</v>
      </c>
      <c r="J34" s="52" t="s">
        <v>63</v>
      </c>
      <c r="K34" s="51">
        <v>45762</v>
      </c>
      <c r="L34" s="52" t="s">
        <v>57</v>
      </c>
      <c r="M34" s="426">
        <v>66004.5</v>
      </c>
      <c r="N34" s="554">
        <v>64943.5</v>
      </c>
      <c r="O34" s="52" t="s">
        <v>57</v>
      </c>
      <c r="P34" s="52" t="s">
        <v>319</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318</v>
      </c>
      <c r="J35" s="376" t="s">
        <v>63</v>
      </c>
      <c r="K35" s="375">
        <v>45790</v>
      </c>
      <c r="L35" s="376" t="s">
        <v>57</v>
      </c>
      <c r="M35" s="429">
        <v>57237</v>
      </c>
      <c r="N35" s="568">
        <v>55777</v>
      </c>
      <c r="O35" s="52" t="s">
        <v>57</v>
      </c>
      <c r="P35" s="376" t="s">
        <v>319</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0" t="s">
        <v>117</v>
      </c>
      <c r="C36" s="497">
        <v>45688</v>
      </c>
      <c r="D36" s="497" t="s">
        <v>713</v>
      </c>
      <c r="E36" s="497">
        <v>45684</v>
      </c>
      <c r="F36" s="511" t="s">
        <v>187</v>
      </c>
      <c r="G36" s="781" t="s">
        <v>714</v>
      </c>
      <c r="H36" s="116">
        <v>0</v>
      </c>
      <c r="I36" s="505" t="s">
        <v>319</v>
      </c>
      <c r="J36" s="116" t="s">
        <v>63</v>
      </c>
      <c r="K36" s="509">
        <v>45673</v>
      </c>
      <c r="L36" s="505" t="s">
        <v>57</v>
      </c>
      <c r="M36" s="777">
        <v>24886.5</v>
      </c>
      <c r="N36" s="808">
        <v>7262</v>
      </c>
      <c r="O36" s="505" t="s">
        <v>57</v>
      </c>
      <c r="P36" s="814" t="s">
        <v>319</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8">
        <v>45868</v>
      </c>
      <c r="D37" s="944" t="s">
        <v>137</v>
      </c>
      <c r="E37" s="908">
        <v>45849</v>
      </c>
      <c r="F37" s="909" t="s">
        <v>118</v>
      </c>
      <c r="G37" s="682"/>
      <c r="H37" s="910">
        <v>0</v>
      </c>
      <c r="I37" s="910" t="s">
        <v>318</v>
      </c>
      <c r="J37" s="910" t="s">
        <v>63</v>
      </c>
      <c r="K37" s="375">
        <v>45848</v>
      </c>
      <c r="L37" s="376" t="s">
        <v>57</v>
      </c>
      <c r="M37" s="1002">
        <v>23436.55</v>
      </c>
      <c r="N37" s="426">
        <v>15484.65</v>
      </c>
      <c r="O37" s="376" t="s">
        <v>57</v>
      </c>
      <c r="P37" s="1053" t="s">
        <v>319</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187</v>
      </c>
      <c r="G38" s="1163" t="s">
        <v>718</v>
      </c>
      <c r="H38" s="1164">
        <v>0</v>
      </c>
      <c r="I38" s="1165" t="s">
        <v>318</v>
      </c>
      <c r="J38" s="1164" t="s">
        <v>63</v>
      </c>
      <c r="K38" s="51" t="s">
        <v>52</v>
      </c>
      <c r="L38" s="376" t="s">
        <v>57</v>
      </c>
      <c r="M38" s="429">
        <v>1343</v>
      </c>
      <c r="N38" s="1167">
        <v>2310</v>
      </c>
      <c r="O38" s="376" t="s">
        <v>57</v>
      </c>
      <c r="P38" s="1053" t="s">
        <v>319</v>
      </c>
      <c r="Q38" s="124" t="s">
        <v>56</v>
      </c>
      <c r="R38" s="1035">
        <v>74</v>
      </c>
      <c r="S38" s="1166">
        <v>0</v>
      </c>
      <c r="T38" s="106">
        <v>0</v>
      </c>
      <c r="U38" s="876">
        <f>IFERROR(Table5[[#This Row],[Actual Redline Completed Footage UG]]/Table5[[#This Row],[Footage UG]], 0)</f>
        <v>0</v>
      </c>
      <c r="V38" s="945" t="s">
        <v>56</v>
      </c>
      <c r="W38" s="601">
        <v>0</v>
      </c>
      <c r="X38" s="601">
        <v>0</v>
      </c>
      <c r="Y38" s="601">
        <v>0</v>
      </c>
      <c r="Z38" s="124" t="s">
        <v>56</v>
      </c>
      <c r="AA38" s="974" t="s">
        <v>719</v>
      </c>
    </row>
    <row r="39" spans="1:27" ht="39.75" customHeight="1">
      <c r="A39" s="373" t="s">
        <v>720</v>
      </c>
      <c r="B39" s="1168" t="s">
        <v>117</v>
      </c>
      <c r="C39" s="971">
        <v>45899</v>
      </c>
      <c r="D39" s="944" t="s">
        <v>137</v>
      </c>
      <c r="E39" s="944">
        <v>45870</v>
      </c>
      <c r="F39" s="1169" t="s">
        <v>187</v>
      </c>
      <c r="G39" s="1033" t="s">
        <v>721</v>
      </c>
      <c r="H39" s="961">
        <v>0</v>
      </c>
      <c r="I39" s="961" t="s">
        <v>318</v>
      </c>
      <c r="J39" s="961" t="s">
        <v>63</v>
      </c>
      <c r="K39" s="944">
        <v>45870</v>
      </c>
      <c r="L39" s="961" t="s">
        <v>57</v>
      </c>
      <c r="M39" s="963">
        <v>49307.5</v>
      </c>
      <c r="N39" s="426">
        <v>47409</v>
      </c>
      <c r="O39" s="961" t="s">
        <v>57</v>
      </c>
      <c r="P39" s="1190" t="s">
        <v>319</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187</v>
      </c>
      <c r="G40" s="774" t="s">
        <v>724</v>
      </c>
      <c r="H40" s="376">
        <v>0</v>
      </c>
      <c r="I40" s="667" t="s">
        <v>318</v>
      </c>
      <c r="J40" s="376" t="s">
        <v>63</v>
      </c>
      <c r="K40" s="375">
        <v>45705</v>
      </c>
      <c r="L40" s="376" t="s">
        <v>57</v>
      </c>
      <c r="M40" s="429">
        <v>88491.8</v>
      </c>
      <c r="N40" s="426">
        <v>85791.25</v>
      </c>
      <c r="O40" s="376" t="s">
        <v>57</v>
      </c>
      <c r="P40" s="376" t="s">
        <v>319</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1">
        <v>45899</v>
      </c>
      <c r="D41" s="944" t="s">
        <v>137</v>
      </c>
      <c r="E41" s="944">
        <v>45870</v>
      </c>
      <c r="F41" s="1169" t="s">
        <v>187</v>
      </c>
      <c r="G41" s="1033" t="s">
        <v>727</v>
      </c>
      <c r="H41" s="961">
        <v>0</v>
      </c>
      <c r="I41" s="961" t="s">
        <v>318</v>
      </c>
      <c r="J41" s="961" t="s">
        <v>63</v>
      </c>
      <c r="K41" s="944">
        <v>45870</v>
      </c>
      <c r="L41" s="961" t="s">
        <v>57</v>
      </c>
      <c r="M41" s="963">
        <v>12886.4</v>
      </c>
      <c r="N41" s="1167">
        <v>18418.349999999999</v>
      </c>
      <c r="O41" s="961" t="s">
        <v>57</v>
      </c>
      <c r="P41" s="1191" t="s">
        <v>319</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318</v>
      </c>
      <c r="J42" s="1164" t="s">
        <v>63</v>
      </c>
      <c r="K42" s="944">
        <v>45868</v>
      </c>
      <c r="L42" s="961" t="s">
        <v>57</v>
      </c>
      <c r="M42" s="963">
        <v>14179.65</v>
      </c>
      <c r="N42" s="1167">
        <v>15936.8</v>
      </c>
      <c r="O42" s="961" t="s">
        <v>57</v>
      </c>
      <c r="P42" s="1190" t="s">
        <v>319</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318</v>
      </c>
      <c r="J43" s="1178" t="s">
        <v>63</v>
      </c>
      <c r="K43" s="908">
        <v>45902</v>
      </c>
      <c r="L43" s="910" t="s">
        <v>57</v>
      </c>
      <c r="M43" s="1174">
        <v>3067.9</v>
      </c>
      <c r="N43" s="1167">
        <v>8729.7000000000007</v>
      </c>
      <c r="O43" s="910" t="s">
        <v>57</v>
      </c>
      <c r="P43" s="1038" t="s">
        <v>319</v>
      </c>
      <c r="Q43" s="598">
        <v>45902</v>
      </c>
      <c r="R43" s="1170">
        <v>662</v>
      </c>
      <c r="S43" s="1192">
        <v>662</v>
      </c>
      <c r="T43" s="1179">
        <v>0</v>
      </c>
      <c r="U43" s="876">
        <v>1</v>
      </c>
      <c r="V43" s="878">
        <v>45909</v>
      </c>
      <c r="W43" s="972">
        <v>1</v>
      </c>
      <c r="X43" s="972">
        <v>1</v>
      </c>
      <c r="Y43" s="972">
        <v>1</v>
      </c>
      <c r="Z43" s="598">
        <v>45926</v>
      </c>
      <c r="AA43" s="1180" t="s">
        <v>733</v>
      </c>
    </row>
    <row r="44" spans="1:27" ht="39.75" customHeight="1">
      <c r="A44" s="1172" t="s">
        <v>734</v>
      </c>
      <c r="B44" s="906" t="s">
        <v>117</v>
      </c>
      <c r="C44" s="988">
        <v>45868</v>
      </c>
      <c r="D44" s="908" t="s">
        <v>72</v>
      </c>
      <c r="E44" s="908">
        <v>45849</v>
      </c>
      <c r="F44" s="909" t="s">
        <v>118</v>
      </c>
      <c r="G44" s="1188" t="s">
        <v>735</v>
      </c>
      <c r="H44" s="910">
        <v>0</v>
      </c>
      <c r="I44" s="910" t="s">
        <v>318</v>
      </c>
      <c r="J44" s="910" t="s">
        <v>63</v>
      </c>
      <c r="K44" s="375">
        <v>45848</v>
      </c>
      <c r="L44" s="376" t="s">
        <v>57</v>
      </c>
      <c r="M44" s="429">
        <v>1206</v>
      </c>
      <c r="N44" s="426">
        <v>1195</v>
      </c>
      <c r="O44" s="376" t="s">
        <v>57</v>
      </c>
      <c r="P44" s="1053" t="s">
        <v>319</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8">
        <v>45899</v>
      </c>
      <c r="D45" s="909" t="s">
        <v>72</v>
      </c>
      <c r="E45" s="909">
        <v>45882</v>
      </c>
      <c r="F45" s="906" t="s">
        <v>118</v>
      </c>
      <c r="G45" s="1173" t="s">
        <v>738</v>
      </c>
      <c r="H45" s="910">
        <v>0</v>
      </c>
      <c r="I45" s="911" t="s">
        <v>318</v>
      </c>
      <c r="J45" s="910" t="s">
        <v>63</v>
      </c>
      <c r="K45" s="908" t="s">
        <v>52</v>
      </c>
      <c r="L45" s="910" t="s">
        <v>57</v>
      </c>
      <c r="M45" s="1174">
        <v>18903.7</v>
      </c>
      <c r="N45" s="426">
        <v>7007.75</v>
      </c>
      <c r="O45" s="910" t="s">
        <v>57</v>
      </c>
      <c r="P45" s="1038" t="s">
        <v>319</v>
      </c>
      <c r="Q45" s="598">
        <v>45882</v>
      </c>
      <c r="R45" s="600">
        <v>575</v>
      </c>
      <c r="S45" s="600">
        <v>575</v>
      </c>
      <c r="T45" s="30">
        <v>0</v>
      </c>
      <c r="U45" s="876">
        <v>1</v>
      </c>
      <c r="V45" s="878">
        <v>45887</v>
      </c>
      <c r="W45" s="601">
        <v>1</v>
      </c>
      <c r="X45" s="601">
        <v>1</v>
      </c>
      <c r="Y45" s="601">
        <v>1</v>
      </c>
      <c r="Z45" s="124">
        <v>45926</v>
      </c>
      <c r="AA45" s="1176" t="s">
        <v>739</v>
      </c>
    </row>
    <row r="46" spans="1:27" ht="39.75" customHeight="1">
      <c r="A46" s="501" t="s">
        <v>740</v>
      </c>
      <c r="B46" s="489" t="s">
        <v>117</v>
      </c>
      <c r="C46" s="497">
        <v>45899</v>
      </c>
      <c r="D46" s="504" t="s">
        <v>72</v>
      </c>
      <c r="E46" s="497">
        <v>45806</v>
      </c>
      <c r="F46" s="489" t="s">
        <v>118</v>
      </c>
      <c r="G46" s="1032" t="s">
        <v>741</v>
      </c>
      <c r="H46" s="503">
        <v>0</v>
      </c>
      <c r="I46" s="939" t="s">
        <v>318</v>
      </c>
      <c r="J46" s="503" t="s">
        <v>63</v>
      </c>
      <c r="K46" s="504" t="s">
        <v>742</v>
      </c>
      <c r="L46" s="503" t="s">
        <v>57</v>
      </c>
      <c r="M46" s="896">
        <v>21888.65</v>
      </c>
      <c r="N46" s="426">
        <v>21950.85</v>
      </c>
      <c r="O46" s="503" t="s">
        <v>57</v>
      </c>
      <c r="P46" s="1099" t="s">
        <v>319</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4">
        <v>7741.4</v>
      </c>
      <c r="O47" s="52" t="s">
        <v>57</v>
      </c>
      <c r="P47" s="52" t="s">
        <v>319</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187</v>
      </c>
      <c r="G48" s="573" t="s">
        <v>747</v>
      </c>
      <c r="H48" s="376">
        <v>0</v>
      </c>
      <c r="I48" s="667" t="s">
        <v>318</v>
      </c>
      <c r="J48" s="376" t="s">
        <v>63</v>
      </c>
      <c r="K48" s="374" t="s">
        <v>319</v>
      </c>
      <c r="L48" s="376" t="s">
        <v>57</v>
      </c>
      <c r="M48" s="429">
        <v>3707.3</v>
      </c>
      <c r="N48" s="426">
        <v>8209.69</v>
      </c>
      <c r="O48" s="376" t="s">
        <v>57</v>
      </c>
      <c r="P48" s="376" t="s">
        <v>319</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319</v>
      </c>
      <c r="L49" s="52" t="s">
        <v>57</v>
      </c>
      <c r="M49" s="426">
        <v>21648.75</v>
      </c>
      <c r="N49" s="554">
        <v>35235</v>
      </c>
      <c r="O49" s="52" t="s">
        <v>57</v>
      </c>
      <c r="P49" s="52" t="s">
        <v>319</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89" t="s">
        <v>50</v>
      </c>
      <c r="C50" s="888">
        <v>45838</v>
      </c>
      <c r="D50" s="888" t="s">
        <v>141</v>
      </c>
      <c r="E50" s="888">
        <v>45818</v>
      </c>
      <c r="F50" s="894" t="s">
        <v>751</v>
      </c>
      <c r="G50" s="894" t="s">
        <v>752</v>
      </c>
      <c r="H50" s="792">
        <v>56</v>
      </c>
      <c r="I50" s="792" t="s">
        <v>318</v>
      </c>
      <c r="J50" s="792" t="s">
        <v>63</v>
      </c>
      <c r="K50" s="504">
        <v>45817</v>
      </c>
      <c r="L50" s="503" t="s">
        <v>57</v>
      </c>
      <c r="M50" s="896">
        <v>75953</v>
      </c>
      <c r="N50" s="970">
        <v>61562</v>
      </c>
      <c r="O50" s="503" t="s">
        <v>57</v>
      </c>
      <c r="P50" s="1356" t="s">
        <v>319</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318</v>
      </c>
      <c r="J51" s="52" t="s">
        <v>63</v>
      </c>
      <c r="K51" s="51">
        <v>45716</v>
      </c>
      <c r="L51" s="52" t="s">
        <v>57</v>
      </c>
      <c r="M51" s="426">
        <v>64727</v>
      </c>
      <c r="N51" s="554">
        <v>68203</v>
      </c>
      <c r="O51" s="52" t="s">
        <v>57</v>
      </c>
      <c r="P51" s="376" t="s">
        <v>319</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8" t="s">
        <v>758</v>
      </c>
      <c r="H52" s="52">
        <v>80</v>
      </c>
      <c r="I52" s="52" t="s">
        <v>319</v>
      </c>
      <c r="J52" s="52" t="s">
        <v>63</v>
      </c>
      <c r="K52" s="51">
        <v>45728</v>
      </c>
      <c r="L52" s="52" t="s">
        <v>57</v>
      </c>
      <c r="M52" s="426">
        <v>88033.5</v>
      </c>
      <c r="N52" s="554">
        <v>88045.5</v>
      </c>
      <c r="O52" s="52" t="s">
        <v>57</v>
      </c>
      <c r="P52" s="52" t="s">
        <v>319</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319</v>
      </c>
      <c r="J53" s="52" t="s">
        <v>63</v>
      </c>
      <c r="K53" s="51">
        <v>45728</v>
      </c>
      <c r="L53" s="52" t="s">
        <v>57</v>
      </c>
      <c r="M53" s="426">
        <v>82979.5</v>
      </c>
      <c r="N53" s="554">
        <v>78032</v>
      </c>
      <c r="O53" s="52" t="s">
        <v>57</v>
      </c>
      <c r="P53" s="376" t="s">
        <v>319</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2" t="s">
        <v>761</v>
      </c>
    </row>
    <row r="54" spans="1:27" ht="39.75" customHeight="1">
      <c r="A54" s="373" t="s">
        <v>762</v>
      </c>
      <c r="B54" s="669" t="s">
        <v>50</v>
      </c>
      <c r="C54" s="51">
        <v>45742</v>
      </c>
      <c r="D54" s="50" t="s">
        <v>596</v>
      </c>
      <c r="E54" s="51">
        <v>45716</v>
      </c>
      <c r="F54" s="50" t="s">
        <v>763</v>
      </c>
      <c r="G54" s="668" t="s">
        <v>764</v>
      </c>
      <c r="H54" s="52">
        <v>87</v>
      </c>
      <c r="I54" s="52" t="s">
        <v>319</v>
      </c>
      <c r="J54" s="52" t="s">
        <v>63</v>
      </c>
      <c r="K54" s="51">
        <v>45716</v>
      </c>
      <c r="L54" s="52" t="s">
        <v>57</v>
      </c>
      <c r="M54" s="426">
        <v>74446</v>
      </c>
      <c r="N54" s="568">
        <v>73894</v>
      </c>
      <c r="O54" s="52" t="s">
        <v>57</v>
      </c>
      <c r="P54" s="376" t="s">
        <v>319</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2">
        <v>45716</v>
      </c>
      <c r="L55" s="52" t="s">
        <v>57</v>
      </c>
      <c r="M55" s="674">
        <v>84935.5</v>
      </c>
      <c r="N55" s="569">
        <v>81445</v>
      </c>
      <c r="O55" s="52" t="s">
        <v>57</v>
      </c>
      <c r="P55" s="376" t="s">
        <v>319</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318</v>
      </c>
      <c r="J56" s="660" t="s">
        <v>63</v>
      </c>
      <c r="K56" s="658">
        <v>45692</v>
      </c>
      <c r="L56" s="660" t="s">
        <v>57</v>
      </c>
      <c r="M56" s="663">
        <v>90302</v>
      </c>
      <c r="N56" s="426">
        <v>98764.5</v>
      </c>
      <c r="O56" s="660" t="s">
        <v>57</v>
      </c>
      <c r="P56" s="376" t="s">
        <v>319</v>
      </c>
      <c r="Q56" s="196">
        <v>45694</v>
      </c>
      <c r="R56" s="890">
        <v>8420</v>
      </c>
      <c r="S56" s="1055">
        <v>8553</v>
      </c>
      <c r="T56" s="30">
        <v>0</v>
      </c>
      <c r="U56" s="662">
        <f>IFERROR(Table4[[#This Row],[Actual Redline Completed Footage UG]]/Table4[[#This Row],[Footage UG]], 0)</f>
        <v>1.0157957244655582</v>
      </c>
      <c r="V56" s="54">
        <v>45709</v>
      </c>
      <c r="W56" s="657">
        <v>1</v>
      </c>
      <c r="X56" s="657">
        <v>1</v>
      </c>
      <c r="Y56" s="657">
        <v>1</v>
      </c>
      <c r="Z56" s="54">
        <v>45867</v>
      </c>
      <c r="AA56" s="1061" t="s">
        <v>769</v>
      </c>
    </row>
    <row r="57" spans="1:27" ht="39.75" customHeight="1">
      <c r="A57" s="676" t="s">
        <v>770</v>
      </c>
      <c r="B57" s="378" t="s">
        <v>50</v>
      </c>
      <c r="C57" s="51">
        <v>45772</v>
      </c>
      <c r="D57" s="51" t="s">
        <v>596</v>
      </c>
      <c r="E57" s="658">
        <v>45695</v>
      </c>
      <c r="F57" s="50" t="s">
        <v>763</v>
      </c>
      <c r="G57" s="572" t="s">
        <v>604</v>
      </c>
      <c r="H57" s="380">
        <v>86</v>
      </c>
      <c r="I57" s="380" t="s">
        <v>318</v>
      </c>
      <c r="J57" s="380" t="s">
        <v>63</v>
      </c>
      <c r="K57" s="381">
        <v>45698</v>
      </c>
      <c r="L57" s="380" t="s">
        <v>57</v>
      </c>
      <c r="M57" s="640">
        <v>71361</v>
      </c>
      <c r="N57" s="554">
        <v>72125</v>
      </c>
      <c r="O57" s="380" t="s">
        <v>57</v>
      </c>
      <c r="P57" s="52" t="s">
        <v>319</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318</v>
      </c>
      <c r="J58" s="380" t="s">
        <v>63</v>
      </c>
      <c r="K58" s="381">
        <v>45700</v>
      </c>
      <c r="L58" s="380" t="s">
        <v>57</v>
      </c>
      <c r="M58" s="640">
        <v>76139.5</v>
      </c>
      <c r="N58" s="568">
        <v>79581.5</v>
      </c>
      <c r="O58" s="380" t="s">
        <v>57</v>
      </c>
      <c r="P58" s="376" t="s">
        <v>319</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318</v>
      </c>
      <c r="J59" s="380" t="s">
        <v>63</v>
      </c>
      <c r="K59" s="381">
        <v>45699</v>
      </c>
      <c r="L59" s="380" t="s">
        <v>57</v>
      </c>
      <c r="M59" s="640">
        <v>73583.5</v>
      </c>
      <c r="N59" s="554">
        <v>84066</v>
      </c>
      <c r="O59" s="770" t="s">
        <v>57</v>
      </c>
      <c r="P59" s="376" t="s">
        <v>319</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319</v>
      </c>
      <c r="L60" s="380" t="s">
        <v>57</v>
      </c>
      <c r="M60" s="640">
        <v>51958</v>
      </c>
      <c r="N60" s="554">
        <v>20330.259999999998</v>
      </c>
      <c r="O60" s="380" t="s">
        <v>57</v>
      </c>
      <c r="P60" s="52" t="s">
        <v>319</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3" t="s">
        <v>783</v>
      </c>
      <c r="H61" s="776">
        <v>86</v>
      </c>
      <c r="I61" s="791" t="s">
        <v>616</v>
      </c>
      <c r="J61" s="776" t="s">
        <v>63</v>
      </c>
      <c r="K61" s="497">
        <v>45677</v>
      </c>
      <c r="L61" s="962" t="s">
        <v>57</v>
      </c>
      <c r="M61" s="777">
        <v>78075.5</v>
      </c>
      <c r="N61" s="639">
        <v>75360</v>
      </c>
      <c r="O61" s="962" t="s">
        <v>57</v>
      </c>
      <c r="P61" s="1099" t="s">
        <v>319</v>
      </c>
      <c r="Q61" s="479">
        <v>45675</v>
      </c>
      <c r="R61" s="41">
        <v>6526</v>
      </c>
      <c r="S61" s="472">
        <v>6316</v>
      </c>
      <c r="T61" s="114">
        <v>0</v>
      </c>
      <c r="U61" s="810">
        <v>0.97</v>
      </c>
      <c r="V61" s="678">
        <v>45685</v>
      </c>
      <c r="W61" s="662">
        <v>1</v>
      </c>
      <c r="X61" s="662">
        <v>1</v>
      </c>
      <c r="Y61" s="816">
        <v>0</v>
      </c>
      <c r="Z61" s="471">
        <v>45894</v>
      </c>
      <c r="AA61" s="964"/>
    </row>
    <row r="62" spans="1:27" ht="39.75" customHeight="1">
      <c r="A62" s="373" t="s">
        <v>784</v>
      </c>
      <c r="B62" s="669" t="s">
        <v>50</v>
      </c>
      <c r="C62" s="658">
        <v>45688</v>
      </c>
      <c r="D62" s="658" t="s">
        <v>614</v>
      </c>
      <c r="E62" s="658">
        <v>45692</v>
      </c>
      <c r="F62" s="658" t="s">
        <v>239</v>
      </c>
      <c r="G62" s="659" t="s">
        <v>785</v>
      </c>
      <c r="H62" s="52">
        <v>86</v>
      </c>
      <c r="I62" s="660" t="s">
        <v>616</v>
      </c>
      <c r="J62" s="52" t="s">
        <v>63</v>
      </c>
      <c r="K62" s="374" t="s">
        <v>319</v>
      </c>
      <c r="L62" s="660" t="s">
        <v>57</v>
      </c>
      <c r="M62" s="426">
        <v>82480.5</v>
      </c>
      <c r="N62" s="426">
        <v>77870.5</v>
      </c>
      <c r="O62" s="660" t="s">
        <v>57</v>
      </c>
      <c r="P62" s="376" t="s">
        <v>319</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319</v>
      </c>
      <c r="L63" s="911" t="s">
        <v>57</v>
      </c>
      <c r="M63" s="429">
        <v>43130</v>
      </c>
      <c r="N63" s="426">
        <v>43560</v>
      </c>
      <c r="O63" s="667" t="s">
        <v>57</v>
      </c>
      <c r="P63" s="1053" t="s">
        <v>319</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2" t="s">
        <v>50</v>
      </c>
      <c r="C64" s="1140">
        <v>45688</v>
      </c>
      <c r="D64" s="988" t="s">
        <v>72</v>
      </c>
      <c r="E64" s="1140">
        <v>45686</v>
      </c>
      <c r="F64" s="1140" t="s">
        <v>61</v>
      </c>
      <c r="G64" s="1194" t="s">
        <v>791</v>
      </c>
      <c r="H64" s="979">
        <v>88</v>
      </c>
      <c r="I64" s="978" t="s">
        <v>616</v>
      </c>
      <c r="J64" s="979" t="s">
        <v>63</v>
      </c>
      <c r="K64" s="1195">
        <v>45706</v>
      </c>
      <c r="L64" s="978" t="s">
        <v>57</v>
      </c>
      <c r="M64" s="426">
        <v>69212.5</v>
      </c>
      <c r="N64" s="426">
        <v>70500</v>
      </c>
      <c r="O64" s="660" t="s">
        <v>57</v>
      </c>
      <c r="P64" s="1053" t="s">
        <v>319</v>
      </c>
      <c r="Q64" s="599">
        <v>45679</v>
      </c>
      <c r="R64" s="980">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4">
        <v>75008.5</v>
      </c>
      <c r="O65" s="376" t="s">
        <v>57</v>
      </c>
      <c r="P65" s="376" t="s">
        <v>319</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4">
        <v>72678</v>
      </c>
      <c r="O66" s="52" t="s">
        <v>57</v>
      </c>
      <c r="P66" s="52" t="s">
        <v>319</v>
      </c>
      <c r="Q66" s="195">
        <v>45749</v>
      </c>
      <c r="R66" s="31">
        <v>6028</v>
      </c>
      <c r="S66" s="1040">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2" t="s">
        <v>50</v>
      </c>
      <c r="C67" s="988">
        <v>45772</v>
      </c>
      <c r="D67" s="912" t="s">
        <v>610</v>
      </c>
      <c r="E67" s="988">
        <v>45743</v>
      </c>
      <c r="F67" s="912" t="s">
        <v>61</v>
      </c>
      <c r="G67" s="989" t="s">
        <v>801</v>
      </c>
      <c r="H67" s="979">
        <v>57</v>
      </c>
      <c r="I67" s="978" t="s">
        <v>318</v>
      </c>
      <c r="J67" s="910" t="s">
        <v>63</v>
      </c>
      <c r="K67" s="988">
        <v>45741</v>
      </c>
      <c r="L67" s="910" t="s">
        <v>57</v>
      </c>
      <c r="M67" s="426">
        <v>49071</v>
      </c>
      <c r="N67" s="426">
        <v>51376.61</v>
      </c>
      <c r="O67" s="376" t="s">
        <v>57</v>
      </c>
      <c r="P67" s="1053" t="s">
        <v>319</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239</v>
      </c>
      <c r="G68" s="659" t="s">
        <v>804</v>
      </c>
      <c r="H68" s="52">
        <v>73</v>
      </c>
      <c r="I68" s="667" t="s">
        <v>616</v>
      </c>
      <c r="J68" s="52" t="s">
        <v>63</v>
      </c>
      <c r="K68" s="51">
        <v>45698</v>
      </c>
      <c r="L68" s="660" t="s">
        <v>57</v>
      </c>
      <c r="M68" s="426">
        <v>60575.5</v>
      </c>
      <c r="N68" s="554">
        <v>59352</v>
      </c>
      <c r="O68" s="660" t="s">
        <v>57</v>
      </c>
      <c r="P68" s="376" t="s">
        <v>319</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239</v>
      </c>
      <c r="G69" s="572" t="s">
        <v>807</v>
      </c>
      <c r="H69" s="52">
        <v>65</v>
      </c>
      <c r="I69" s="380" t="s">
        <v>616</v>
      </c>
      <c r="J69" s="52" t="s">
        <v>63</v>
      </c>
      <c r="K69" s="51">
        <v>45698</v>
      </c>
      <c r="L69" s="380" t="s">
        <v>57</v>
      </c>
      <c r="M69" s="426">
        <v>65001</v>
      </c>
      <c r="N69" s="569">
        <v>68269</v>
      </c>
      <c r="O69" s="380" t="s">
        <v>57</v>
      </c>
      <c r="P69" s="376" t="s">
        <v>319</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69">
        <v>64186</v>
      </c>
      <c r="O70" s="376" t="s">
        <v>57</v>
      </c>
      <c r="P70" s="376" t="s">
        <v>319</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318</v>
      </c>
      <c r="J71" s="376" t="s">
        <v>63</v>
      </c>
      <c r="K71" s="51">
        <v>45741</v>
      </c>
      <c r="L71" s="376" t="s">
        <v>57</v>
      </c>
      <c r="M71" s="426">
        <v>63756.5</v>
      </c>
      <c r="N71" s="569">
        <v>64902.5</v>
      </c>
      <c r="O71" s="376" t="s">
        <v>57</v>
      </c>
      <c r="P71" s="376" t="s">
        <v>319</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4">
        <v>66607.5</v>
      </c>
      <c r="O72" s="52" t="s">
        <v>57</v>
      </c>
      <c r="P72" s="52" t="s">
        <v>319</v>
      </c>
      <c r="Q72" s="195">
        <v>45747</v>
      </c>
      <c r="R72" s="31">
        <v>5601</v>
      </c>
      <c r="S72" s="75">
        <v>5628</v>
      </c>
      <c r="T72" s="83">
        <v>0</v>
      </c>
      <c r="U72" s="662">
        <f>IFERROR(Table4[[#This Row],[Actual Redline Completed Footage UG]]/Table4[[#This Row],[Footage UG]], 0)</f>
        <v>1.004820567755758</v>
      </c>
      <c r="V72" s="427">
        <v>45761</v>
      </c>
      <c r="W72" s="1049">
        <v>1</v>
      </c>
      <c r="X72" s="1049">
        <v>1</v>
      </c>
      <c r="Y72" s="1049">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4">
        <v>54578.5</v>
      </c>
      <c r="O73" s="52" t="s">
        <v>57</v>
      </c>
      <c r="P73" s="52" t="s">
        <v>319</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318</v>
      </c>
      <c r="J74" s="376" t="s">
        <v>63</v>
      </c>
      <c r="K74" s="375">
        <v>45757</v>
      </c>
      <c r="L74" s="376" t="s">
        <v>57</v>
      </c>
      <c r="M74" s="429">
        <v>47432.5</v>
      </c>
      <c r="N74" s="554">
        <v>54385.09</v>
      </c>
      <c r="O74" s="376" t="s">
        <v>57</v>
      </c>
      <c r="P74" s="376" t="s">
        <v>319</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4">
        <v>61939</v>
      </c>
      <c r="O75" s="52" t="s">
        <v>57</v>
      </c>
      <c r="P75" s="52" t="s">
        <v>319</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4">
        <v>81941</v>
      </c>
      <c r="O76" s="376" t="s">
        <v>57</v>
      </c>
      <c r="P76" s="376" t="s">
        <v>319</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318</v>
      </c>
      <c r="J77" s="376" t="s">
        <v>63</v>
      </c>
      <c r="K77" s="375">
        <v>45757</v>
      </c>
      <c r="L77" s="376" t="s">
        <v>57</v>
      </c>
      <c r="M77" s="429">
        <v>68736.5</v>
      </c>
      <c r="N77" s="554">
        <v>68249</v>
      </c>
      <c r="O77" s="376" t="s">
        <v>57</v>
      </c>
      <c r="P77" s="376" t="s">
        <v>319</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318</v>
      </c>
      <c r="J78" s="376" t="s">
        <v>63</v>
      </c>
      <c r="K78" s="51">
        <v>45741</v>
      </c>
      <c r="L78" s="376" t="s">
        <v>57</v>
      </c>
      <c r="M78" s="426">
        <v>73491.5</v>
      </c>
      <c r="N78" s="568">
        <v>202651</v>
      </c>
      <c r="O78" s="376" t="s">
        <v>57</v>
      </c>
      <c r="P78" s="376" t="s">
        <v>319</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4">
        <v>0.98</v>
      </c>
      <c r="V79" s="678">
        <v>45769</v>
      </c>
      <c r="W79" s="355">
        <v>1</v>
      </c>
      <c r="X79" s="355">
        <v>1</v>
      </c>
      <c r="Y79" s="355">
        <v>1</v>
      </c>
      <c r="Z79" s="479">
        <v>45917</v>
      </c>
      <c r="AA79" s="1039" t="s">
        <v>631</v>
      </c>
    </row>
    <row r="80" spans="1:27" ht="39.75" customHeight="1">
      <c r="A80" s="373" t="s">
        <v>832</v>
      </c>
      <c r="B80" s="669" t="s">
        <v>50</v>
      </c>
      <c r="C80" s="51">
        <v>45772</v>
      </c>
      <c r="D80" s="50" t="s">
        <v>137</v>
      </c>
      <c r="E80" s="51">
        <v>45743</v>
      </c>
      <c r="F80" s="50" t="s">
        <v>61</v>
      </c>
      <c r="G80" s="670" t="s">
        <v>833</v>
      </c>
      <c r="H80" s="52">
        <v>81</v>
      </c>
      <c r="I80" s="660" t="s">
        <v>318</v>
      </c>
      <c r="J80" s="376" t="s">
        <v>63</v>
      </c>
      <c r="K80" s="51">
        <v>45741</v>
      </c>
      <c r="L80" s="376" t="s">
        <v>57</v>
      </c>
      <c r="M80" s="426">
        <v>74961</v>
      </c>
      <c r="N80" s="426">
        <v>77123</v>
      </c>
      <c r="O80" s="376" t="s">
        <v>57</v>
      </c>
      <c r="P80" s="376" t="s">
        <v>319</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8">
        <v>134171.5</v>
      </c>
      <c r="O81" s="376" t="s">
        <v>57</v>
      </c>
      <c r="P81" s="376" t="s">
        <v>319</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319</v>
      </c>
      <c r="L82" s="660" t="s">
        <v>57</v>
      </c>
      <c r="M82" s="426">
        <v>60625.5</v>
      </c>
      <c r="N82" s="554">
        <v>59084</v>
      </c>
      <c r="O82" s="660" t="s">
        <v>57</v>
      </c>
      <c r="P82" s="52" t="s">
        <v>319</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318</v>
      </c>
      <c r="J83" s="52" t="s">
        <v>63</v>
      </c>
      <c r="K83" s="51">
        <v>45721</v>
      </c>
      <c r="L83" s="52" t="s">
        <v>57</v>
      </c>
      <c r="M83" s="591">
        <v>79507</v>
      </c>
      <c r="N83" s="554">
        <v>86709.5</v>
      </c>
      <c r="O83" s="52" t="s">
        <v>57</v>
      </c>
      <c r="P83" s="52" t="s">
        <v>319</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319</v>
      </c>
      <c r="Q84" s="796">
        <v>45706</v>
      </c>
      <c r="R84" s="31">
        <v>6041</v>
      </c>
      <c r="S84" s="1057">
        <v>6024</v>
      </c>
      <c r="T84" s="30">
        <v>0</v>
      </c>
      <c r="U84" s="662">
        <f>IFERROR(Table4[[#This Row],[Actual Redline Completed Footage UG]]/Table4[[#This Row],[Footage UG]], 0)</f>
        <v>0.9971858963747724</v>
      </c>
      <c r="V84" s="555">
        <v>45714</v>
      </c>
      <c r="W84" s="657">
        <v>1</v>
      </c>
      <c r="X84" s="34">
        <v>1</v>
      </c>
      <c r="Y84" s="34">
        <v>1</v>
      </c>
      <c r="Z84" s="819">
        <v>45894</v>
      </c>
      <c r="AA84" s="1063"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8">
        <v>76965</v>
      </c>
      <c r="O85" s="52" t="s">
        <v>57</v>
      </c>
      <c r="P85" s="376" t="s">
        <v>319</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4">
        <v>48682.5</v>
      </c>
      <c r="O86" s="770" t="s">
        <v>57</v>
      </c>
      <c r="P86" s="376" t="s">
        <v>319</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318</v>
      </c>
      <c r="J87" s="52" t="s">
        <v>63</v>
      </c>
      <c r="K87" s="51">
        <v>45698</v>
      </c>
      <c r="L87" s="660" t="s">
        <v>57</v>
      </c>
      <c r="M87" s="426">
        <v>52222</v>
      </c>
      <c r="N87" s="554">
        <v>51838</v>
      </c>
      <c r="O87" s="660" t="s">
        <v>57</v>
      </c>
      <c r="P87" s="52" t="s">
        <v>319</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318</v>
      </c>
      <c r="J88" s="52" t="s">
        <v>63</v>
      </c>
      <c r="K88" s="51">
        <v>45698</v>
      </c>
      <c r="L88" s="1196" t="s">
        <v>57</v>
      </c>
      <c r="M88" s="426">
        <v>67892.5</v>
      </c>
      <c r="N88" s="426">
        <v>65771.429999999993</v>
      </c>
      <c r="O88" s="660" t="s">
        <v>57</v>
      </c>
      <c r="P88" s="354" t="s">
        <v>319</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319</v>
      </c>
      <c r="J89" s="52" t="s">
        <v>63</v>
      </c>
      <c r="K89" s="51">
        <v>45716</v>
      </c>
      <c r="L89" s="52" t="s">
        <v>57</v>
      </c>
      <c r="M89" s="591">
        <v>67463</v>
      </c>
      <c r="N89" s="554">
        <v>69992</v>
      </c>
      <c r="O89" s="52" t="s">
        <v>57</v>
      </c>
      <c r="P89" s="52" t="s">
        <v>319</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319</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239</v>
      </c>
      <c r="G91" s="795" t="s">
        <v>860</v>
      </c>
      <c r="H91" s="776">
        <v>85</v>
      </c>
      <c r="I91" s="782" t="s">
        <v>318</v>
      </c>
      <c r="J91" s="776" t="s">
        <v>63</v>
      </c>
      <c r="K91" s="57">
        <v>45707</v>
      </c>
      <c r="L91" s="776" t="s">
        <v>57</v>
      </c>
      <c r="M91" s="426" t="s">
        <v>861</v>
      </c>
      <c r="N91" s="569">
        <v>67080</v>
      </c>
      <c r="O91" s="52" t="s">
        <v>57</v>
      </c>
      <c r="P91" s="1053" t="s">
        <v>319</v>
      </c>
      <c r="Q91" s="1054">
        <v>45707</v>
      </c>
      <c r="R91" s="106">
        <v>5564</v>
      </c>
      <c r="S91" s="1056">
        <v>5576</v>
      </c>
      <c r="T91" s="603">
        <v>0</v>
      </c>
      <c r="U91" s="662">
        <f>IFERROR(Table4[[#This Row],[Actual Redline Completed Footage UG]]/Table4[[#This Row],[Footage UG]], 0)</f>
        <v>1.0021567217828899</v>
      </c>
      <c r="V91" s="54">
        <v>45727</v>
      </c>
      <c r="W91" s="1050">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318</v>
      </c>
      <c r="J92" s="792" t="s">
        <v>63</v>
      </c>
      <c r="K92" s="57">
        <v>45741</v>
      </c>
      <c r="L92" s="792" t="s">
        <v>57</v>
      </c>
      <c r="M92" s="426">
        <v>79069.5</v>
      </c>
      <c r="N92" s="568">
        <v>73300</v>
      </c>
      <c r="O92" s="376" t="s">
        <v>57</v>
      </c>
      <c r="P92" s="437" t="s">
        <v>319</v>
      </c>
      <c r="Q92" s="54">
        <v>45744</v>
      </c>
      <c r="R92" s="31">
        <v>6330</v>
      </c>
      <c r="S92" s="646">
        <v>6180</v>
      </c>
      <c r="T92" s="1058">
        <v>0</v>
      </c>
      <c r="U92" s="662">
        <f>IFERROR(Table4[[#This Row],[Actual Redline Completed Footage UG]]/Table4[[#This Row],[Footage UG]], 0)</f>
        <v>0.976303317535545</v>
      </c>
      <c r="V92" s="54">
        <v>45751</v>
      </c>
      <c r="W92" s="1059">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318</v>
      </c>
      <c r="J93" s="792" t="s">
        <v>63</v>
      </c>
      <c r="K93" s="57">
        <v>45741</v>
      </c>
      <c r="L93" s="792" t="s">
        <v>57</v>
      </c>
      <c r="M93" s="426">
        <v>16398</v>
      </c>
      <c r="N93" s="554">
        <v>15664</v>
      </c>
      <c r="O93" s="376" t="s">
        <v>57</v>
      </c>
      <c r="P93" s="1045" t="s">
        <v>319</v>
      </c>
      <c r="Q93" s="479">
        <v>45744</v>
      </c>
      <c r="R93" s="41">
        <v>1265</v>
      </c>
      <c r="S93" s="472">
        <v>1257</v>
      </c>
      <c r="T93" s="1058">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1" t="s">
        <v>867</v>
      </c>
      <c r="B94" s="824" t="s">
        <v>50</v>
      </c>
      <c r="C94" s="467">
        <v>45862</v>
      </c>
      <c r="D94" s="476" t="s">
        <v>846</v>
      </c>
      <c r="E94" s="476">
        <v>45694</v>
      </c>
      <c r="F94" s="475" t="s">
        <v>239</v>
      </c>
      <c r="G94" s="828" t="s">
        <v>868</v>
      </c>
      <c r="H94" s="478">
        <v>90</v>
      </c>
      <c r="I94" s="661" t="s">
        <v>318</v>
      </c>
      <c r="J94" s="478" t="s">
        <v>63</v>
      </c>
      <c r="K94" s="476">
        <v>45698</v>
      </c>
      <c r="L94" s="829" t="s">
        <v>57</v>
      </c>
      <c r="M94" s="778">
        <v>68216.5</v>
      </c>
      <c r="N94" s="639">
        <v>65624.5</v>
      </c>
      <c r="O94" s="829" t="s">
        <v>57</v>
      </c>
      <c r="P94" s="1038" t="s">
        <v>319</v>
      </c>
      <c r="Q94" s="599">
        <v>45698</v>
      </c>
      <c r="R94" s="980">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239</v>
      </c>
      <c r="G95" s="795" t="s">
        <v>871</v>
      </c>
      <c r="H95" s="776">
        <v>78</v>
      </c>
      <c r="I95" s="791" t="s">
        <v>319</v>
      </c>
      <c r="J95" s="776" t="s">
        <v>63</v>
      </c>
      <c r="K95" s="57">
        <v>45708</v>
      </c>
      <c r="L95" s="776" t="s">
        <v>57</v>
      </c>
      <c r="M95" s="639">
        <v>56854</v>
      </c>
      <c r="N95" s="808">
        <v>62254</v>
      </c>
      <c r="O95" s="776" t="s">
        <v>57</v>
      </c>
      <c r="P95" s="776" t="s">
        <v>319</v>
      </c>
      <c r="Q95" s="479">
        <v>45696</v>
      </c>
      <c r="R95" s="41">
        <v>5239</v>
      </c>
      <c r="S95" s="41">
        <v>5205</v>
      </c>
      <c r="T95" s="996">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2" t="s">
        <v>239</v>
      </c>
      <c r="G96" s="1043" t="s">
        <v>873</v>
      </c>
      <c r="H96" s="76">
        <v>87</v>
      </c>
      <c r="I96" s="103" t="s">
        <v>319</v>
      </c>
      <c r="J96" s="76" t="s">
        <v>63</v>
      </c>
      <c r="K96" s="77">
        <v>45708</v>
      </c>
      <c r="L96" s="103" t="s">
        <v>57</v>
      </c>
      <c r="M96" s="812">
        <v>73639</v>
      </c>
      <c r="N96" s="1052">
        <v>73025</v>
      </c>
      <c r="O96" s="103" t="s">
        <v>57</v>
      </c>
      <c r="P96" s="105" t="s">
        <v>319</v>
      </c>
      <c r="Q96" s="1048">
        <v>45696</v>
      </c>
      <c r="R96" s="898">
        <v>5868</v>
      </c>
      <c r="S96" s="646">
        <v>5979</v>
      </c>
      <c r="T96" s="996">
        <v>0</v>
      </c>
      <c r="U96" s="662">
        <f>IFERROR(Table4[[#This Row],[Actual Redline Completed Footage UG]]/Table4[[#This Row],[Footage UG]], 0)</f>
        <v>1.018916155419223</v>
      </c>
      <c r="V96" s="166">
        <v>45714</v>
      </c>
      <c r="W96" s="1060">
        <v>1</v>
      </c>
      <c r="X96" s="1060">
        <v>1</v>
      </c>
      <c r="Y96" s="1060">
        <v>1</v>
      </c>
      <c r="Z96" s="479">
        <v>45758</v>
      </c>
      <c r="AA96" s="115"/>
    </row>
    <row r="97" spans="1:30" ht="39.75" customHeight="1">
      <c r="A97" s="822" t="s">
        <v>874</v>
      </c>
      <c r="B97" s="102" t="s">
        <v>50</v>
      </c>
      <c r="C97" s="77">
        <v>45747</v>
      </c>
      <c r="D97" s="1042" t="s">
        <v>600</v>
      </c>
      <c r="E97" s="77">
        <v>45700</v>
      </c>
      <c r="F97" s="77" t="s">
        <v>757</v>
      </c>
      <c r="G97" s="1043" t="s">
        <v>875</v>
      </c>
      <c r="H97" s="76">
        <v>60</v>
      </c>
      <c r="I97" s="818" t="s">
        <v>319</v>
      </c>
      <c r="J97" s="76" t="s">
        <v>63</v>
      </c>
      <c r="K97" s="77">
        <v>45698</v>
      </c>
      <c r="L97" s="103" t="s">
        <v>57</v>
      </c>
      <c r="M97" s="812">
        <v>54861</v>
      </c>
      <c r="N97" s="813">
        <v>55197</v>
      </c>
      <c r="O97" s="103" t="s">
        <v>57</v>
      </c>
      <c r="P97" s="76" t="s">
        <v>319</v>
      </c>
      <c r="Q97" s="1046">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318</v>
      </c>
      <c r="J98" s="776" t="s">
        <v>63</v>
      </c>
      <c r="K98" s="57">
        <v>45735</v>
      </c>
      <c r="L98" s="776" t="s">
        <v>57</v>
      </c>
      <c r="M98" s="639">
        <v>41285</v>
      </c>
      <c r="N98" s="808">
        <v>40484</v>
      </c>
      <c r="O98" s="776" t="s">
        <v>57</v>
      </c>
      <c r="P98" s="792" t="s">
        <v>319</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4">
        <v>45716</v>
      </c>
      <c r="L99" s="776" t="s">
        <v>57</v>
      </c>
      <c r="M99" s="639">
        <v>21944.6</v>
      </c>
      <c r="N99" s="808">
        <v>26564</v>
      </c>
      <c r="O99" s="776" t="s">
        <v>57</v>
      </c>
      <c r="P99" s="792" t="s">
        <v>319</v>
      </c>
      <c r="Q99" s="1047">
        <v>45716</v>
      </c>
      <c r="R99" s="848">
        <v>1695</v>
      </c>
      <c r="S99" s="965">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319</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318</v>
      </c>
      <c r="J101" s="782" t="s">
        <v>63</v>
      </c>
      <c r="K101" s="894" t="s">
        <v>319</v>
      </c>
      <c r="L101" s="782" t="s">
        <v>57</v>
      </c>
      <c r="M101" s="892">
        <v>289634.75</v>
      </c>
      <c r="N101" s="808">
        <v>296306.83</v>
      </c>
      <c r="O101" s="893" t="s">
        <v>57</v>
      </c>
      <c r="P101" s="792" t="s">
        <v>319</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318</v>
      </c>
      <c r="J102" s="776" t="s">
        <v>63</v>
      </c>
      <c r="K102" s="476">
        <v>45741</v>
      </c>
      <c r="L102" s="469" t="s">
        <v>57</v>
      </c>
      <c r="M102" s="778">
        <v>47849</v>
      </c>
      <c r="N102" s="639">
        <v>51778</v>
      </c>
      <c r="O102" s="469" t="s">
        <v>57</v>
      </c>
      <c r="P102" s="786" t="s">
        <v>319</v>
      </c>
      <c r="Q102" s="479">
        <v>45744</v>
      </c>
      <c r="R102" s="41">
        <v>4194</v>
      </c>
      <c r="S102" s="472">
        <v>4448</v>
      </c>
      <c r="T102" s="495">
        <v>0</v>
      </c>
      <c r="U102" s="662">
        <v>1.06</v>
      </c>
      <c r="V102" s="479">
        <v>45784</v>
      </c>
      <c r="W102" s="473">
        <v>1</v>
      </c>
      <c r="X102" s="473">
        <v>1</v>
      </c>
      <c r="Y102" s="473">
        <v>1</v>
      </c>
      <c r="Z102" s="479">
        <v>45972</v>
      </c>
      <c r="AA102" s="882" t="s">
        <v>890</v>
      </c>
      <c r="AB102" s="500">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318</v>
      </c>
      <c r="J103" s="52" t="s">
        <v>63</v>
      </c>
      <c r="K103" s="988" t="s">
        <v>52</v>
      </c>
      <c r="L103" s="978" t="s">
        <v>57</v>
      </c>
      <c r="M103" s="1185">
        <v>1594</v>
      </c>
      <c r="N103" s="426">
        <v>1187.5</v>
      </c>
      <c r="O103" s="978" t="s">
        <v>57</v>
      </c>
      <c r="P103" s="1038" t="s">
        <v>319</v>
      </c>
      <c r="Q103" s="599">
        <v>45818</v>
      </c>
      <c r="R103" s="980">
        <v>65</v>
      </c>
      <c r="S103" s="600">
        <v>65</v>
      </c>
      <c r="T103" s="1186">
        <v>0</v>
      </c>
      <c r="U103" s="876">
        <v>1</v>
      </c>
      <c r="V103" s="878">
        <v>45831</v>
      </c>
      <c r="W103" s="601">
        <v>1</v>
      </c>
      <c r="X103" s="601">
        <v>1</v>
      </c>
      <c r="Y103" s="601">
        <v>1</v>
      </c>
      <c r="Z103" s="599">
        <v>45859</v>
      </c>
      <c r="AA103" s="1187" t="s">
        <v>893</v>
      </c>
    </row>
    <row r="104" spans="1:30" ht="39.75" customHeight="1">
      <c r="A104" s="1041"/>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5541815.3399999999</v>
      </c>
      <c r="N106" s="562">
        <v>5837687.5</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6"/>
      <c r="O110" s="52" t="s">
        <v>57</v>
      </c>
      <c r="P110" s="586" t="s">
        <v>319</v>
      </c>
      <c r="Q110" s="479">
        <v>45718</v>
      </c>
      <c r="R110" s="41">
        <v>7805</v>
      </c>
      <c r="S110" s="506">
        <v>7969</v>
      </c>
      <c r="T110" s="83">
        <v>0</v>
      </c>
      <c r="U110" s="71">
        <f>IFERROR(Table5[[#This Row],[Actual Redline Completed Footage UG]]/Table5[[#This Row],[Footage UG]], 0)</f>
        <v>1.0210121716848175</v>
      </c>
      <c r="V110" s="678">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89" t="s">
        <v>187</v>
      </c>
      <c r="G111" s="637"/>
      <c r="H111" s="376">
        <v>50</v>
      </c>
      <c r="I111" s="377" t="s">
        <v>318</v>
      </c>
      <c r="J111" s="376" t="s">
        <v>56</v>
      </c>
      <c r="K111" s="375">
        <v>45874</v>
      </c>
      <c r="L111" s="376" t="s">
        <v>57</v>
      </c>
      <c r="M111" s="429">
        <v>11894.25</v>
      </c>
      <c r="N111" s="96"/>
      <c r="O111" s="376" t="s">
        <v>57</v>
      </c>
      <c r="P111" s="587" t="s">
        <v>319</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1" t="s">
        <v>901</v>
      </c>
      <c r="B112" s="465" t="s">
        <v>117</v>
      </c>
      <c r="C112" s="467">
        <v>45868</v>
      </c>
      <c r="D112" s="488" t="s">
        <v>137</v>
      </c>
      <c r="E112" s="467">
        <v>45786</v>
      </c>
      <c r="F112" s="488" t="s">
        <v>118</v>
      </c>
      <c r="G112" s="465" t="s">
        <v>902</v>
      </c>
      <c r="H112" s="469">
        <v>0</v>
      </c>
      <c r="I112" s="469" t="s">
        <v>318</v>
      </c>
      <c r="J112" s="469" t="s">
        <v>63</v>
      </c>
      <c r="K112" s="467">
        <v>45786</v>
      </c>
      <c r="L112" s="469" t="s">
        <v>57</v>
      </c>
      <c r="M112" s="1002">
        <v>133172.15</v>
      </c>
      <c r="N112" s="736"/>
      <c r="O112" s="469" t="s">
        <v>57</v>
      </c>
      <c r="P112" s="750" t="s">
        <v>319</v>
      </c>
      <c r="Q112" s="471">
        <v>45789</v>
      </c>
      <c r="R112" s="472">
        <v>13306</v>
      </c>
      <c r="S112" s="498">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318</v>
      </c>
      <c r="J113" s="52" t="s">
        <v>63</v>
      </c>
      <c r="K113" s="51">
        <v>45918</v>
      </c>
      <c r="L113" s="376" t="s">
        <v>57</v>
      </c>
      <c r="M113" s="429">
        <v>10840.25</v>
      </c>
      <c r="N113" s="736"/>
      <c r="O113" s="376" t="s">
        <v>57</v>
      </c>
      <c r="P113" s="740" t="s">
        <v>319</v>
      </c>
      <c r="Q113" s="54">
        <v>45912</v>
      </c>
      <c r="R113" s="106">
        <v>865</v>
      </c>
      <c r="S113" s="630">
        <v>851</v>
      </c>
      <c r="T113" s="106">
        <v>0</v>
      </c>
      <c r="U113" s="657">
        <v>0.98</v>
      </c>
      <c r="V113" s="945">
        <v>45924</v>
      </c>
      <c r="W113" s="1011">
        <v>1</v>
      </c>
      <c r="X113" s="1011">
        <v>1</v>
      </c>
      <c r="Y113" s="604">
        <v>1</v>
      </c>
      <c r="Z113" s="599">
        <v>45972</v>
      </c>
      <c r="AA113" s="841"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0" t="s">
        <v>319</v>
      </c>
      <c r="Q114" s="124">
        <v>45853</v>
      </c>
      <c r="R114" s="106">
        <v>5276</v>
      </c>
      <c r="S114" s="630">
        <v>5289</v>
      </c>
      <c r="T114" s="30">
        <v>0</v>
      </c>
      <c r="U114" s="22">
        <v>1</v>
      </c>
      <c r="V114" s="945">
        <v>45874</v>
      </c>
      <c r="W114" s="604">
        <v>1</v>
      </c>
      <c r="X114" s="604">
        <v>1</v>
      </c>
      <c r="Y114" s="601">
        <v>1</v>
      </c>
      <c r="Z114" s="599">
        <v>45916</v>
      </c>
      <c r="AA114" s="602"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0" t="s">
        <v>319</v>
      </c>
      <c r="Q115" s="124">
        <v>45884</v>
      </c>
      <c r="R115" s="106">
        <v>4348</v>
      </c>
      <c r="S115" s="630">
        <v>4122</v>
      </c>
      <c r="T115" s="146">
        <v>0</v>
      </c>
      <c r="U115" s="876">
        <f>IFERROR(Table5[[#This Row],[Actual Redline Completed Footage UG]]/Table5[[#This Row],[Footage UG]], 0)</f>
        <v>0.94802207911683534</v>
      </c>
      <c r="V115" s="878">
        <v>45895</v>
      </c>
      <c r="W115" s="601">
        <v>1</v>
      </c>
      <c r="X115" s="601">
        <v>1</v>
      </c>
      <c r="Y115" s="601">
        <v>1</v>
      </c>
      <c r="Z115" s="599">
        <v>45917</v>
      </c>
      <c r="AA115" s="887" t="s">
        <v>910</v>
      </c>
    </row>
    <row r="116" spans="1:27" ht="39.75" customHeight="1" thickBot="1">
      <c r="A116" s="373" t="s">
        <v>911</v>
      </c>
      <c r="B116" s="374" t="s">
        <v>117</v>
      </c>
      <c r="C116" s="51">
        <v>45868</v>
      </c>
      <c r="D116" s="589" t="s">
        <v>137</v>
      </c>
      <c r="E116" s="375">
        <v>45796</v>
      </c>
      <c r="F116" s="589" t="s">
        <v>187</v>
      </c>
      <c r="G116" s="374" t="s">
        <v>912</v>
      </c>
      <c r="H116" s="376">
        <v>58</v>
      </c>
      <c r="I116" s="376" t="s">
        <v>318</v>
      </c>
      <c r="J116" s="376" t="s">
        <v>63</v>
      </c>
      <c r="K116" s="375">
        <v>45797</v>
      </c>
      <c r="L116" s="376" t="s">
        <v>57</v>
      </c>
      <c r="M116" s="429">
        <v>43097.65</v>
      </c>
      <c r="N116" s="736"/>
      <c r="O116" s="376" t="s">
        <v>57</v>
      </c>
      <c r="P116" s="740" t="s">
        <v>319</v>
      </c>
      <c r="Q116" s="124">
        <v>45810</v>
      </c>
      <c r="R116" s="106">
        <v>3309</v>
      </c>
      <c r="S116" s="630">
        <v>3194</v>
      </c>
      <c r="T116" s="30">
        <v>0</v>
      </c>
      <c r="U116" s="876">
        <f>IFERROR(Table5[[#This Row],[Actual Redline Completed Footage UG]]/Table5[[#This Row],[Footage UG]], 0)</f>
        <v>0.9652462979752191</v>
      </c>
      <c r="V116" s="878">
        <v>45832</v>
      </c>
      <c r="W116" s="601">
        <v>1</v>
      </c>
      <c r="X116" s="601">
        <v>1</v>
      </c>
      <c r="Y116" s="601">
        <v>1</v>
      </c>
      <c r="Z116" s="599">
        <v>45898</v>
      </c>
      <c r="AA116" s="602" t="s">
        <v>913</v>
      </c>
    </row>
    <row r="117" spans="1:27" ht="39.75" customHeight="1" thickBot="1">
      <c r="A117" s="1001" t="s">
        <v>914</v>
      </c>
      <c r="B117" s="475" t="s">
        <v>117</v>
      </c>
      <c r="C117" s="476">
        <v>45930</v>
      </c>
      <c r="D117" s="476" t="s">
        <v>137</v>
      </c>
      <c r="E117" s="827">
        <v>45880</v>
      </c>
      <c r="F117" s="428" t="s">
        <v>187</v>
      </c>
      <c r="G117" s="475" t="s">
        <v>915</v>
      </c>
      <c r="H117" s="478">
        <v>62</v>
      </c>
      <c r="I117" s="478" t="s">
        <v>318</v>
      </c>
      <c r="J117" s="478" t="s">
        <v>63</v>
      </c>
      <c r="K117" s="467">
        <v>45880</v>
      </c>
      <c r="L117" s="469" t="s">
        <v>57</v>
      </c>
      <c r="M117" s="1002">
        <v>56807.95</v>
      </c>
      <c r="N117" s="736"/>
      <c r="O117" s="469" t="s">
        <v>57</v>
      </c>
      <c r="P117" s="750" t="s">
        <v>319</v>
      </c>
      <c r="Q117" s="471">
        <v>45880</v>
      </c>
      <c r="R117" s="472">
        <v>3787</v>
      </c>
      <c r="S117" s="498">
        <v>4670</v>
      </c>
      <c r="T117" s="30">
        <v>0</v>
      </c>
      <c r="U117" s="657">
        <f>IFERROR(Table5[[#This Row],[Actual Redline Completed Footage UG]]/Table5[[#This Row],[Footage UG]], 0)</f>
        <v>1.2331660945339318</v>
      </c>
      <c r="V117" s="678">
        <v>45888</v>
      </c>
      <c r="W117" s="355">
        <v>1</v>
      </c>
      <c r="X117" s="355">
        <v>1</v>
      </c>
      <c r="Y117" s="601">
        <v>1</v>
      </c>
      <c r="Z117" s="598">
        <v>45917</v>
      </c>
      <c r="AA117" s="413" t="s">
        <v>916</v>
      </c>
    </row>
    <row r="118" spans="1:27" ht="39.75" customHeight="1" thickBot="1">
      <c r="A118" s="373" t="s">
        <v>917</v>
      </c>
      <c r="B118" s="374" t="s">
        <v>117</v>
      </c>
      <c r="C118" s="51">
        <v>45930</v>
      </c>
      <c r="D118" s="375" t="s">
        <v>137</v>
      </c>
      <c r="E118" s="649">
        <v>45882</v>
      </c>
      <c r="F118" s="649" t="s">
        <v>187</v>
      </c>
      <c r="G118" s="374" t="s">
        <v>918</v>
      </c>
      <c r="H118" s="376">
        <v>85</v>
      </c>
      <c r="I118" s="376" t="s">
        <v>318</v>
      </c>
      <c r="J118" s="376" t="s">
        <v>63</v>
      </c>
      <c r="K118" s="375">
        <v>45882</v>
      </c>
      <c r="L118" s="376" t="s">
        <v>57</v>
      </c>
      <c r="M118" s="429">
        <v>59869.5</v>
      </c>
      <c r="N118" s="736"/>
      <c r="O118" s="376" t="s">
        <v>57</v>
      </c>
      <c r="P118" s="587" t="s">
        <v>319</v>
      </c>
      <c r="Q118" s="641">
        <v>45882</v>
      </c>
      <c r="R118" s="902">
        <v>4537</v>
      </c>
      <c r="S118" s="498">
        <v>4604</v>
      </c>
      <c r="T118" s="30">
        <v>0</v>
      </c>
      <c r="U118" s="657">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89" t="s">
        <v>187</v>
      </c>
      <c r="G119" s="374" t="s">
        <v>691</v>
      </c>
      <c r="H119" s="376">
        <v>72</v>
      </c>
      <c r="I119" s="376" t="s">
        <v>318</v>
      </c>
      <c r="J119" s="376" t="s">
        <v>63</v>
      </c>
      <c r="K119" s="375">
        <v>45897</v>
      </c>
      <c r="L119" s="376" t="s">
        <v>57</v>
      </c>
      <c r="M119" s="429">
        <v>50874.95</v>
      </c>
      <c r="N119" s="736"/>
      <c r="O119" s="376" t="s">
        <v>57</v>
      </c>
      <c r="P119" s="595" t="s">
        <v>319</v>
      </c>
      <c r="Q119" s="193">
        <v>45897</v>
      </c>
      <c r="R119" s="106">
        <v>3012</v>
      </c>
      <c r="S119" s="877">
        <v>3012</v>
      </c>
      <c r="T119" s="106">
        <v>0</v>
      </c>
      <c r="U119" s="657">
        <v>1</v>
      </c>
      <c r="V119" s="196">
        <v>45916</v>
      </c>
      <c r="W119" s="439">
        <v>1</v>
      </c>
      <c r="X119" s="343">
        <v>1</v>
      </c>
      <c r="Y119" s="144">
        <v>1</v>
      </c>
      <c r="Z119" s="166">
        <v>45972</v>
      </c>
      <c r="AA119" s="149" t="s">
        <v>921</v>
      </c>
    </row>
    <row r="120" spans="1:27" ht="39.75" customHeight="1" thickBot="1">
      <c r="A120" s="373" t="s">
        <v>922</v>
      </c>
      <c r="B120" s="374" t="s">
        <v>117</v>
      </c>
      <c r="C120" s="51">
        <v>45868</v>
      </c>
      <c r="D120" s="589" t="s">
        <v>137</v>
      </c>
      <c r="E120" s="589">
        <v>45839</v>
      </c>
      <c r="F120" s="374" t="s">
        <v>118</v>
      </c>
      <c r="G120" s="374" t="s">
        <v>923</v>
      </c>
      <c r="H120" s="376">
        <v>77</v>
      </c>
      <c r="I120" s="376" t="s">
        <v>318</v>
      </c>
      <c r="J120" s="376" t="s">
        <v>63</v>
      </c>
      <c r="K120" s="375">
        <v>45840</v>
      </c>
      <c r="L120" s="376" t="s">
        <v>57</v>
      </c>
      <c r="M120" s="429">
        <v>10430.549999999999</v>
      </c>
      <c r="N120" s="736"/>
      <c r="O120" s="376" t="s">
        <v>57</v>
      </c>
      <c r="P120" s="741" t="s">
        <v>319</v>
      </c>
      <c r="Q120" s="124">
        <v>45840</v>
      </c>
      <c r="R120" s="106">
        <v>2773</v>
      </c>
      <c r="S120" s="900">
        <v>2659</v>
      </c>
      <c r="T120" s="146">
        <v>0</v>
      </c>
      <c r="U120" s="876">
        <f>IFERROR(Table5[[#This Row],[Actual Redline Completed Footage UG]]/Table5[[#This Row],[Footage UG]], 0)</f>
        <v>0.95888928957807429</v>
      </c>
      <c r="V120" s="195">
        <v>45859</v>
      </c>
      <c r="W120" s="34">
        <v>1</v>
      </c>
      <c r="X120" s="34">
        <v>1</v>
      </c>
      <c r="Y120" s="34">
        <v>1</v>
      </c>
      <c r="Z120" s="124">
        <v>45875</v>
      </c>
      <c r="AA120" s="903" t="s">
        <v>194</v>
      </c>
    </row>
    <row r="121" spans="1:27" ht="39.75" customHeight="1" thickBot="1">
      <c r="A121" s="373" t="s">
        <v>924</v>
      </c>
      <c r="B121" s="374" t="s">
        <v>117</v>
      </c>
      <c r="C121" s="51">
        <v>45930</v>
      </c>
      <c r="D121" s="375" t="s">
        <v>137</v>
      </c>
      <c r="E121" s="649">
        <v>45910</v>
      </c>
      <c r="F121" s="649" t="s">
        <v>187</v>
      </c>
      <c r="G121" s="374" t="s">
        <v>925</v>
      </c>
      <c r="H121" s="376">
        <v>87</v>
      </c>
      <c r="I121" s="376" t="s">
        <v>318</v>
      </c>
      <c r="J121" s="376" t="s">
        <v>63</v>
      </c>
      <c r="K121" s="375">
        <v>45912</v>
      </c>
      <c r="L121" s="376" t="s">
        <v>57</v>
      </c>
      <c r="M121" s="429">
        <v>60115.95</v>
      </c>
      <c r="N121" s="736"/>
      <c r="O121" s="376" t="s">
        <v>57</v>
      </c>
      <c r="P121" s="740" t="s">
        <v>319</v>
      </c>
      <c r="Q121" s="124">
        <v>45908</v>
      </c>
      <c r="R121" s="106">
        <v>4774</v>
      </c>
      <c r="S121" s="900">
        <v>4605</v>
      </c>
      <c r="T121" s="106">
        <v>0</v>
      </c>
      <c r="U121" s="22">
        <v>0.96</v>
      </c>
      <c r="V121" s="878">
        <v>45930</v>
      </c>
      <c r="W121" s="601">
        <v>1</v>
      </c>
      <c r="X121" s="601">
        <v>1</v>
      </c>
      <c r="Y121" s="604">
        <v>1</v>
      </c>
      <c r="Z121" s="54">
        <v>45972</v>
      </c>
      <c r="AA121" s="602" t="s">
        <v>926</v>
      </c>
    </row>
    <row r="122" spans="1:27" ht="39.75" customHeight="1" thickBot="1">
      <c r="A122" s="373" t="s">
        <v>927</v>
      </c>
      <c r="B122" s="374" t="s">
        <v>117</v>
      </c>
      <c r="C122" s="51">
        <v>45930</v>
      </c>
      <c r="D122" s="375" t="s">
        <v>137</v>
      </c>
      <c r="E122" s="649">
        <v>45910</v>
      </c>
      <c r="F122" s="374" t="s">
        <v>118</v>
      </c>
      <c r="G122" s="671"/>
      <c r="H122" s="376">
        <v>54</v>
      </c>
      <c r="I122" s="667" t="s">
        <v>318</v>
      </c>
      <c r="J122" s="376" t="s">
        <v>63</v>
      </c>
      <c r="K122" s="375">
        <v>45903</v>
      </c>
      <c r="L122" s="376" t="s">
        <v>57</v>
      </c>
      <c r="M122" s="429">
        <v>27186</v>
      </c>
      <c r="N122" s="736"/>
      <c r="O122" s="376" t="s">
        <v>57</v>
      </c>
      <c r="P122" s="740" t="s">
        <v>319</v>
      </c>
      <c r="Q122" s="124">
        <v>45903</v>
      </c>
      <c r="R122" s="106">
        <v>2084</v>
      </c>
      <c r="S122" s="630">
        <v>2039</v>
      </c>
      <c r="T122" s="106">
        <v>0</v>
      </c>
      <c r="U122" s="657">
        <v>0.98</v>
      </c>
      <c r="V122" s="878">
        <v>45918</v>
      </c>
      <c r="W122" s="601">
        <v>1</v>
      </c>
      <c r="X122" s="601">
        <v>1</v>
      </c>
      <c r="Y122" s="604">
        <v>1</v>
      </c>
      <c r="Z122" s="54">
        <v>45972</v>
      </c>
      <c r="AA122" s="841" t="s">
        <v>928</v>
      </c>
    </row>
    <row r="123" spans="1:27" ht="39.75" customHeight="1" thickBot="1">
      <c r="A123" s="373" t="s">
        <v>929</v>
      </c>
      <c r="B123" s="374" t="s">
        <v>117</v>
      </c>
      <c r="C123" s="51">
        <v>45899</v>
      </c>
      <c r="D123" s="375" t="s">
        <v>137</v>
      </c>
      <c r="E123" s="375">
        <v>45887</v>
      </c>
      <c r="F123" s="589" t="s">
        <v>187</v>
      </c>
      <c r="G123" s="637" t="s">
        <v>930</v>
      </c>
      <c r="H123" s="376">
        <v>73</v>
      </c>
      <c r="I123" s="377" t="s">
        <v>318</v>
      </c>
      <c r="J123" s="376" t="s">
        <v>63</v>
      </c>
      <c r="K123" s="375">
        <v>45887</v>
      </c>
      <c r="L123" s="376" t="s">
        <v>57</v>
      </c>
      <c r="M123" s="429">
        <v>37930</v>
      </c>
      <c r="N123" s="96"/>
      <c r="O123" s="376" t="s">
        <v>57</v>
      </c>
      <c r="P123" s="586" t="s">
        <v>319</v>
      </c>
      <c r="Q123" s="471">
        <v>45887</v>
      </c>
      <c r="R123" s="472">
        <v>2649</v>
      </c>
      <c r="S123" s="498">
        <v>2678</v>
      </c>
      <c r="T123" s="30">
        <v>0</v>
      </c>
      <c r="U123" s="876">
        <f>IFERROR(Table5[[#This Row],[Actual Redline Completed Footage UG]]/Table5[[#This Row],[Footage UG]], 0)</f>
        <v>1.0109475273688184</v>
      </c>
      <c r="V123" s="678">
        <v>45895</v>
      </c>
      <c r="W123" s="355">
        <v>1</v>
      </c>
      <c r="X123" s="355">
        <v>1</v>
      </c>
      <c r="Y123" s="662">
        <v>1</v>
      </c>
      <c r="Z123" s="54">
        <v>45917</v>
      </c>
      <c r="AA123" s="874"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7" t="s">
        <v>319</v>
      </c>
      <c r="Q124" s="471">
        <v>45887</v>
      </c>
      <c r="R124" s="472">
        <v>3836</v>
      </c>
      <c r="S124" s="498">
        <v>3836</v>
      </c>
      <c r="T124" s="30">
        <v>0</v>
      </c>
      <c r="U124" s="657">
        <v>1</v>
      </c>
      <c r="V124" s="678">
        <v>45896</v>
      </c>
      <c r="W124" s="355">
        <v>1</v>
      </c>
      <c r="X124" s="355">
        <v>1</v>
      </c>
      <c r="Y124" s="355">
        <v>1</v>
      </c>
      <c r="Z124" s="54">
        <v>45917</v>
      </c>
      <c r="AA124" s="874"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6"/>
      <c r="O125" s="376" t="s">
        <v>57</v>
      </c>
      <c r="P125" s="587" t="s">
        <v>319</v>
      </c>
      <c r="Q125" s="124">
        <v>45887</v>
      </c>
      <c r="R125" s="106">
        <v>4071</v>
      </c>
      <c r="S125" s="629">
        <v>4043</v>
      </c>
      <c r="T125" s="30">
        <v>0</v>
      </c>
      <c r="U125" s="657">
        <f>IFERROR(Table5[[#This Row],[Actual Redline Completed Footage UG]]/Table5[[#This Row],[Footage UG]], 0)</f>
        <v>0.99312208302628346</v>
      </c>
      <c r="V125" s="678">
        <v>45895</v>
      </c>
      <c r="W125" s="355">
        <v>1</v>
      </c>
      <c r="X125" s="355">
        <v>1</v>
      </c>
      <c r="Y125" s="645">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6"/>
      <c r="O126" s="376" t="s">
        <v>57</v>
      </c>
      <c r="P126" s="740" t="s">
        <v>319</v>
      </c>
      <c r="Q126" s="347">
        <v>45896</v>
      </c>
      <c r="R126" s="898">
        <v>4048</v>
      </c>
      <c r="S126" s="630">
        <v>5120</v>
      </c>
      <c r="T126" s="106">
        <v>0</v>
      </c>
      <c r="U126" s="22">
        <v>1.26</v>
      </c>
      <c r="V126" s="878">
        <v>45910</v>
      </c>
      <c r="W126" s="601">
        <v>1</v>
      </c>
      <c r="X126" s="601">
        <v>1</v>
      </c>
      <c r="Y126" s="604">
        <v>1</v>
      </c>
      <c r="Z126" s="54">
        <v>45972</v>
      </c>
      <c r="AA126" s="887" t="s">
        <v>939</v>
      </c>
    </row>
    <row r="127" spans="1:27" ht="39.75" customHeight="1" thickBot="1">
      <c r="A127" s="373" t="s">
        <v>940</v>
      </c>
      <c r="B127" s="50" t="s">
        <v>117</v>
      </c>
      <c r="C127" s="51">
        <v>45930</v>
      </c>
      <c r="D127" s="51" t="s">
        <v>137</v>
      </c>
      <c r="E127" s="51">
        <v>45915</v>
      </c>
      <c r="F127" s="658" t="s">
        <v>187</v>
      </c>
      <c r="G127" s="670"/>
      <c r="H127" s="52">
        <v>53</v>
      </c>
      <c r="I127" s="660" t="s">
        <v>318</v>
      </c>
      <c r="J127" s="52" t="s">
        <v>63</v>
      </c>
      <c r="K127" s="375">
        <v>45912</v>
      </c>
      <c r="L127" s="376" t="s">
        <v>57</v>
      </c>
      <c r="M127" s="429">
        <v>47676</v>
      </c>
      <c r="N127" s="736"/>
      <c r="O127" s="376" t="s">
        <v>57</v>
      </c>
      <c r="P127" s="740" t="s">
        <v>319</v>
      </c>
      <c r="Q127" s="124">
        <v>45912</v>
      </c>
      <c r="R127" s="106">
        <v>4022</v>
      </c>
      <c r="S127" s="630">
        <v>3933</v>
      </c>
      <c r="T127" s="106">
        <v>0</v>
      </c>
      <c r="U127" s="657">
        <v>0.98</v>
      </c>
      <c r="V127" s="878">
        <v>45931</v>
      </c>
      <c r="W127" s="601">
        <v>1</v>
      </c>
      <c r="X127" s="601">
        <v>1</v>
      </c>
      <c r="Y127" s="604">
        <v>1</v>
      </c>
      <c r="Z127" s="54">
        <v>45972</v>
      </c>
      <c r="AA127" s="841" t="s">
        <v>941</v>
      </c>
    </row>
    <row r="128" spans="1:27" ht="39.75" customHeight="1" thickBot="1">
      <c r="A128" s="373" t="s">
        <v>942</v>
      </c>
      <c r="B128" s="50" t="s">
        <v>117</v>
      </c>
      <c r="C128" s="51">
        <v>45945</v>
      </c>
      <c r="D128" s="51" t="s">
        <v>137</v>
      </c>
      <c r="E128" s="51">
        <v>45945</v>
      </c>
      <c r="F128" s="50" t="s">
        <v>138</v>
      </c>
      <c r="G128" s="670"/>
      <c r="H128" s="52">
        <v>59</v>
      </c>
      <c r="I128" s="660" t="s">
        <v>318</v>
      </c>
      <c r="J128" s="52" t="s">
        <v>63</v>
      </c>
      <c r="K128" s="375">
        <v>45933</v>
      </c>
      <c r="L128" s="376" t="s">
        <v>57</v>
      </c>
      <c r="M128" s="429">
        <v>44697.599999999999</v>
      </c>
      <c r="N128" s="736"/>
      <c r="O128" s="376" t="s">
        <v>57</v>
      </c>
      <c r="P128" s="740" t="s">
        <v>319</v>
      </c>
      <c r="Q128" s="124">
        <v>45933</v>
      </c>
      <c r="R128" s="106">
        <v>3495</v>
      </c>
      <c r="S128" s="630">
        <v>3448</v>
      </c>
      <c r="T128" s="106">
        <v>0</v>
      </c>
      <c r="U128" s="657">
        <v>0.99</v>
      </c>
      <c r="V128" s="878">
        <v>45945</v>
      </c>
      <c r="W128" s="601">
        <v>1</v>
      </c>
      <c r="X128" s="601">
        <v>1</v>
      </c>
      <c r="Y128" s="604">
        <v>1</v>
      </c>
      <c r="Z128" s="54">
        <v>45972</v>
      </c>
      <c r="AA128" s="1037" t="s">
        <v>943</v>
      </c>
    </row>
    <row r="129" spans="1:27" ht="39.75" customHeight="1" thickBot="1">
      <c r="A129" s="373" t="s">
        <v>944</v>
      </c>
      <c r="B129" s="50" t="s">
        <v>117</v>
      </c>
      <c r="C129" s="51">
        <v>45960</v>
      </c>
      <c r="D129" s="51" t="s">
        <v>229</v>
      </c>
      <c r="E129" s="51">
        <v>45950</v>
      </c>
      <c r="F129" s="50" t="s">
        <v>138</v>
      </c>
      <c r="G129" s="670"/>
      <c r="H129" s="52">
        <v>82</v>
      </c>
      <c r="I129" s="660" t="s">
        <v>318</v>
      </c>
      <c r="J129" s="52" t="s">
        <v>63</v>
      </c>
      <c r="K129" s="375">
        <v>45933</v>
      </c>
      <c r="L129" s="376" t="s">
        <v>57</v>
      </c>
      <c r="M129" s="429">
        <v>58864</v>
      </c>
      <c r="N129" s="736"/>
      <c r="O129" s="376" t="s">
        <v>57</v>
      </c>
      <c r="P129" s="740" t="s">
        <v>319</v>
      </c>
      <c r="Q129" s="124">
        <v>45933</v>
      </c>
      <c r="R129" s="106">
        <v>4747</v>
      </c>
      <c r="S129" s="630">
        <v>4925</v>
      </c>
      <c r="T129" s="106">
        <v>0</v>
      </c>
      <c r="U129" s="657">
        <v>1.04</v>
      </c>
      <c r="V129" s="878">
        <v>45951</v>
      </c>
      <c r="W129" s="601">
        <v>1</v>
      </c>
      <c r="X129" s="601">
        <v>1</v>
      </c>
      <c r="Y129" s="604">
        <v>1</v>
      </c>
      <c r="Z129" s="54">
        <v>45972</v>
      </c>
      <c r="AA129" s="887" t="s">
        <v>945</v>
      </c>
    </row>
    <row r="130" spans="1:27" ht="39.75" customHeight="1">
      <c r="A130" s="373" t="s">
        <v>946</v>
      </c>
      <c r="B130" s="669" t="s">
        <v>117</v>
      </c>
      <c r="C130" s="51">
        <v>45930</v>
      </c>
      <c r="D130" s="658" t="s">
        <v>72</v>
      </c>
      <c r="E130" s="51">
        <v>45902</v>
      </c>
      <c r="F130" s="50" t="s">
        <v>118</v>
      </c>
      <c r="G130" s="50"/>
      <c r="H130" s="52">
        <v>0</v>
      </c>
      <c r="I130" s="52" t="s">
        <v>318</v>
      </c>
      <c r="J130" s="52" t="s">
        <v>63</v>
      </c>
      <c r="K130" s="375">
        <v>45902</v>
      </c>
      <c r="L130" s="376" t="s">
        <v>57</v>
      </c>
      <c r="M130" s="429">
        <v>12695</v>
      </c>
      <c r="N130" s="736"/>
      <c r="O130" s="376" t="s">
        <v>57</v>
      </c>
      <c r="P130" s="740" t="s">
        <v>319</v>
      </c>
      <c r="Q130" s="124">
        <v>45902</v>
      </c>
      <c r="R130" s="1035">
        <v>1010</v>
      </c>
      <c r="S130" s="1036">
        <v>978</v>
      </c>
      <c r="T130" s="106">
        <v>0</v>
      </c>
      <c r="U130" s="657">
        <v>0.97</v>
      </c>
      <c r="V130" s="878">
        <v>45911</v>
      </c>
      <c r="W130" s="601">
        <v>1</v>
      </c>
      <c r="X130" s="601">
        <v>1</v>
      </c>
      <c r="Y130" s="604">
        <v>1</v>
      </c>
      <c r="Z130" s="54">
        <v>45972</v>
      </c>
      <c r="AA130" s="841" t="s">
        <v>947</v>
      </c>
    </row>
    <row r="131" spans="1:27" ht="39.75" customHeight="1">
      <c r="A131" s="766" t="s">
        <v>734</v>
      </c>
      <c r="B131" s="1168" t="s">
        <v>117</v>
      </c>
      <c r="C131" s="944">
        <v>45838</v>
      </c>
      <c r="D131" s="1169" t="s">
        <v>137</v>
      </c>
      <c r="E131" s="944">
        <v>45817</v>
      </c>
      <c r="F131" s="1169" t="s">
        <v>118</v>
      </c>
      <c r="G131" s="1182" t="s">
        <v>948</v>
      </c>
      <c r="H131" s="961">
        <v>0</v>
      </c>
      <c r="I131" s="1034" t="s">
        <v>318</v>
      </c>
      <c r="J131" s="961" t="s">
        <v>63</v>
      </c>
      <c r="K131" s="1183">
        <v>45821</v>
      </c>
      <c r="L131" s="1034" t="s">
        <v>57</v>
      </c>
      <c r="M131" s="963">
        <v>23436.55</v>
      </c>
      <c r="N131" s="736"/>
      <c r="O131" s="1034" t="s">
        <v>57</v>
      </c>
      <c r="P131" s="768" t="s">
        <v>319</v>
      </c>
      <c r="Q131" s="598">
        <v>45817</v>
      </c>
      <c r="R131" s="600">
        <v>1769</v>
      </c>
      <c r="S131" s="1175">
        <v>1044</v>
      </c>
      <c r="T131" s="656">
        <v>0</v>
      </c>
      <c r="U131" s="876">
        <f>IFERROR(Table5[[#This Row],[Actual Redline Completed Footage UG]]/Table5[[#This Row],[Footage UG]], 0)</f>
        <v>0.5901639344262295</v>
      </c>
      <c r="V131" s="878">
        <v>45831</v>
      </c>
      <c r="W131" s="601">
        <v>1</v>
      </c>
      <c r="X131" s="601">
        <v>1</v>
      </c>
      <c r="Y131" s="601">
        <v>1</v>
      </c>
      <c r="Z131" s="54">
        <v>45897</v>
      </c>
      <c r="AA131" s="1184" t="s">
        <v>949</v>
      </c>
    </row>
    <row r="132" spans="1:27" ht="39.75" customHeight="1" thickBot="1">
      <c r="A132" s="766" t="s">
        <v>950</v>
      </c>
      <c r="B132" s="1030" t="s">
        <v>117</v>
      </c>
      <c r="C132" s="971">
        <v>45899</v>
      </c>
      <c r="D132" s="944" t="s">
        <v>72</v>
      </c>
      <c r="E132" s="944">
        <v>45876</v>
      </c>
      <c r="F132" s="944" t="s">
        <v>118</v>
      </c>
      <c r="G132" s="1033" t="s">
        <v>951</v>
      </c>
      <c r="H132" s="961">
        <v>0</v>
      </c>
      <c r="I132" s="1034" t="s">
        <v>318</v>
      </c>
      <c r="J132" s="961" t="s">
        <v>63</v>
      </c>
      <c r="K132" s="944">
        <v>45876</v>
      </c>
      <c r="L132" s="961" t="s">
        <v>57</v>
      </c>
      <c r="M132" s="963">
        <v>1462.85</v>
      </c>
      <c r="N132" s="96"/>
      <c r="O132" s="961" t="s">
        <v>57</v>
      </c>
      <c r="P132" s="768" t="s">
        <v>319</v>
      </c>
      <c r="Q132" s="347">
        <v>45876</v>
      </c>
      <c r="R132" s="973">
        <v>116</v>
      </c>
      <c r="S132" s="899">
        <v>130</v>
      </c>
      <c r="T132" s="30">
        <v>0</v>
      </c>
      <c r="U132" s="876">
        <f>IFERROR(Table5[[#This Row],[Actual Redline Completed Footage UG]]/Table5[[#This Row],[Footage UG]], 0)</f>
        <v>1.1206896551724137</v>
      </c>
      <c r="V132" s="878">
        <v>45896</v>
      </c>
      <c r="W132" s="972">
        <v>1</v>
      </c>
      <c r="X132" s="972">
        <v>1</v>
      </c>
      <c r="Y132" s="972">
        <v>1</v>
      </c>
      <c r="Z132" s="124">
        <v>45926</v>
      </c>
      <c r="AA132" s="974" t="s">
        <v>952</v>
      </c>
    </row>
    <row r="133" spans="1:27" ht="39.75" customHeight="1" thickBot="1">
      <c r="A133" s="769" t="s">
        <v>953</v>
      </c>
      <c r="B133" s="894" t="s">
        <v>117</v>
      </c>
      <c r="C133" s="57">
        <v>45899</v>
      </c>
      <c r="D133" s="888" t="s">
        <v>137</v>
      </c>
      <c r="E133" s="888">
        <v>45882</v>
      </c>
      <c r="F133" s="1022" t="s">
        <v>187</v>
      </c>
      <c r="G133" s="1028" t="s">
        <v>954</v>
      </c>
      <c r="H133" s="792">
        <v>0</v>
      </c>
      <c r="I133" s="804" t="s">
        <v>318</v>
      </c>
      <c r="J133" s="792" t="s">
        <v>63</v>
      </c>
      <c r="K133" s="375">
        <v>45882</v>
      </c>
      <c r="L133" s="376" t="s">
        <v>57</v>
      </c>
      <c r="M133" s="429">
        <v>13056.5</v>
      </c>
      <c r="N133" s="785"/>
      <c r="O133" s="376" t="s">
        <v>57</v>
      </c>
      <c r="P133" s="587" t="s">
        <v>319</v>
      </c>
      <c r="Q133" s="471">
        <v>45882</v>
      </c>
      <c r="R133" s="416">
        <v>1100</v>
      </c>
      <c r="S133" s="749">
        <v>1110</v>
      </c>
      <c r="T133" s="30">
        <v>0</v>
      </c>
      <c r="U133" s="876">
        <f>IFERROR(Table5[[#This Row],[Actual Redline Completed Footage UG]]/Table5[[#This Row],[Footage UG]], 0)</f>
        <v>1.009090909090909</v>
      </c>
      <c r="V133" s="678">
        <v>45887</v>
      </c>
      <c r="W133" s="355">
        <v>1</v>
      </c>
      <c r="X133" s="355">
        <v>1</v>
      </c>
      <c r="Y133" s="355">
        <v>1</v>
      </c>
      <c r="Z133" s="124">
        <v>45926</v>
      </c>
      <c r="AA133" s="170" t="s">
        <v>955</v>
      </c>
    </row>
    <row r="134" spans="1:27" ht="39.75" customHeight="1" thickBot="1">
      <c r="A134" s="769" t="s">
        <v>956</v>
      </c>
      <c r="B134" s="894" t="s">
        <v>117</v>
      </c>
      <c r="C134" s="57">
        <v>45868</v>
      </c>
      <c r="D134" s="772" t="s">
        <v>72</v>
      </c>
      <c r="E134" s="888">
        <v>45853</v>
      </c>
      <c r="F134" s="1021" t="s">
        <v>118</v>
      </c>
      <c r="G134" s="1031" t="s">
        <v>957</v>
      </c>
      <c r="H134" s="792">
        <v>0</v>
      </c>
      <c r="I134" s="792" t="s">
        <v>318</v>
      </c>
      <c r="J134" s="792" t="s">
        <v>63</v>
      </c>
      <c r="K134" s="467">
        <v>45853</v>
      </c>
      <c r="L134" s="469" t="s">
        <v>57</v>
      </c>
      <c r="M134" s="1002">
        <v>68216.5</v>
      </c>
      <c r="N134" s="779"/>
      <c r="O134" s="469" t="s">
        <v>57</v>
      </c>
      <c r="P134" s="750" t="s">
        <v>319</v>
      </c>
      <c r="Q134" s="471">
        <v>45853</v>
      </c>
      <c r="R134" s="965">
        <v>581</v>
      </c>
      <c r="S134" s="966">
        <v>581</v>
      </c>
      <c r="T134" s="30">
        <v>0</v>
      </c>
      <c r="U134" s="876">
        <f>IFERROR(Table5[[#This Row],[Actual Redline Completed Footage UG]]/Table5[[#This Row],[Footage UG]], 0)</f>
        <v>1</v>
      </c>
      <c r="V134" s="678">
        <v>45868</v>
      </c>
      <c r="W134" s="355">
        <v>1</v>
      </c>
      <c r="X134" s="355">
        <v>1</v>
      </c>
      <c r="Y134" s="355">
        <v>1</v>
      </c>
      <c r="Z134" s="479">
        <v>45916</v>
      </c>
      <c r="AA134" s="873" t="s">
        <v>958</v>
      </c>
    </row>
    <row r="135" spans="1:27" ht="39.75" customHeight="1" thickBot="1">
      <c r="A135" s="886" t="s">
        <v>959</v>
      </c>
      <c r="B135" s="465" t="s">
        <v>117</v>
      </c>
      <c r="C135" s="476">
        <v>45868</v>
      </c>
      <c r="D135" s="467" t="s">
        <v>72</v>
      </c>
      <c r="E135" s="488">
        <v>45839</v>
      </c>
      <c r="F135" s="467" t="s">
        <v>118</v>
      </c>
      <c r="G135" s="477" t="s">
        <v>960</v>
      </c>
      <c r="H135" s="478">
        <v>0</v>
      </c>
      <c r="I135" s="478" t="s">
        <v>318</v>
      </c>
      <c r="J135" s="478" t="s">
        <v>63</v>
      </c>
      <c r="K135" s="509">
        <v>45838</v>
      </c>
      <c r="L135" s="1029" t="s">
        <v>57</v>
      </c>
      <c r="M135" s="778">
        <v>72566</v>
      </c>
      <c r="N135" s="736"/>
      <c r="O135" s="478" t="s">
        <v>57</v>
      </c>
      <c r="P135" s="750" t="s">
        <v>319</v>
      </c>
      <c r="Q135" s="479">
        <v>45838</v>
      </c>
      <c r="R135" s="41">
        <v>765</v>
      </c>
      <c r="S135" s="498">
        <v>786</v>
      </c>
      <c r="T135" s="30">
        <v>0</v>
      </c>
      <c r="U135" s="876">
        <f>IFERROR(Table5[[#This Row],[Actual Redline Completed Footage UG]]/Table5[[#This Row],[Footage UG]], 0)</f>
        <v>1.0274509803921568</v>
      </c>
      <c r="V135" s="678">
        <v>45845</v>
      </c>
      <c r="W135" s="355">
        <v>1</v>
      </c>
      <c r="X135" s="355">
        <v>1</v>
      </c>
      <c r="Y135" s="355">
        <v>1</v>
      </c>
      <c r="Z135" s="479">
        <v>45916</v>
      </c>
      <c r="AA135" s="901" t="s">
        <v>961</v>
      </c>
    </row>
    <row r="136" spans="1:27" ht="39.75" customHeight="1" thickBot="1">
      <c r="A136" s="373" t="s">
        <v>962</v>
      </c>
      <c r="B136" s="1019" t="s">
        <v>117</v>
      </c>
      <c r="C136" s="51">
        <v>45960</v>
      </c>
      <c r="D136" s="51" t="s">
        <v>72</v>
      </c>
      <c r="E136" s="51">
        <v>45945</v>
      </c>
      <c r="F136" s="50" t="s">
        <v>118</v>
      </c>
      <c r="G136" s="670" t="s">
        <v>963</v>
      </c>
      <c r="H136" s="52">
        <v>0</v>
      </c>
      <c r="I136" s="52" t="s">
        <v>318</v>
      </c>
      <c r="J136" s="52" t="s">
        <v>63</v>
      </c>
      <c r="K136" s="375">
        <v>45936</v>
      </c>
      <c r="L136" s="376" t="s">
        <v>57</v>
      </c>
      <c r="M136" s="429">
        <v>4235.8</v>
      </c>
      <c r="N136" s="736"/>
      <c r="O136" s="376" t="s">
        <v>57</v>
      </c>
      <c r="P136" s="587" t="s">
        <v>319</v>
      </c>
      <c r="Q136" s="471">
        <v>45939</v>
      </c>
      <c r="R136" s="416">
        <v>228</v>
      </c>
      <c r="S136" s="749">
        <v>240</v>
      </c>
      <c r="T136" s="898">
        <v>0</v>
      </c>
      <c r="U136" s="810">
        <v>1.05</v>
      </c>
      <c r="V136" s="678">
        <v>45926</v>
      </c>
      <c r="W136" s="355">
        <v>1</v>
      </c>
      <c r="X136" s="355">
        <v>1</v>
      </c>
      <c r="Y136" s="473">
        <v>1</v>
      </c>
      <c r="Z136" s="166">
        <v>45972</v>
      </c>
      <c r="AA136" s="515" t="s">
        <v>964</v>
      </c>
    </row>
    <row r="137" spans="1:27" ht="39.75" customHeight="1" thickBot="1">
      <c r="A137" s="769" t="s">
        <v>965</v>
      </c>
      <c r="B137" s="772" t="s">
        <v>117</v>
      </c>
      <c r="C137" s="57">
        <v>45930</v>
      </c>
      <c r="D137" s="57" t="s">
        <v>137</v>
      </c>
      <c r="E137" s="57">
        <v>45874</v>
      </c>
      <c r="F137" s="773" t="s">
        <v>187</v>
      </c>
      <c r="G137" s="775"/>
      <c r="H137" s="776">
        <v>208</v>
      </c>
      <c r="I137" s="782" t="s">
        <v>318</v>
      </c>
      <c r="J137" s="776" t="s">
        <v>56</v>
      </c>
      <c r="K137" s="467">
        <v>45876</v>
      </c>
      <c r="L137" s="469" t="s">
        <v>57</v>
      </c>
      <c r="M137" s="1002">
        <v>124980</v>
      </c>
      <c r="N137" s="785"/>
      <c r="O137" s="469" t="s">
        <v>57</v>
      </c>
      <c r="P137" s="750" t="s">
        <v>319</v>
      </c>
      <c r="Q137" s="471">
        <v>45876</v>
      </c>
      <c r="R137" s="416">
        <v>11700</v>
      </c>
      <c r="S137" s="749">
        <v>11820</v>
      </c>
      <c r="T137" s="114">
        <v>0</v>
      </c>
      <c r="U137" s="22">
        <v>1.01</v>
      </c>
      <c r="V137" s="678">
        <v>45890</v>
      </c>
      <c r="W137" s="355">
        <v>1</v>
      </c>
      <c r="X137" s="355">
        <v>1</v>
      </c>
      <c r="Y137" s="662">
        <v>1</v>
      </c>
      <c r="Z137" s="124">
        <v>45926</v>
      </c>
      <c r="AA137" s="515" t="s">
        <v>966</v>
      </c>
    </row>
    <row r="138" spans="1:27" ht="39.75" customHeight="1" thickBot="1">
      <c r="A138" s="769" t="s">
        <v>967</v>
      </c>
      <c r="B138" s="771" t="s">
        <v>50</v>
      </c>
      <c r="C138" s="57">
        <v>45772</v>
      </c>
      <c r="D138" s="772" t="s">
        <v>596</v>
      </c>
      <c r="E138" s="57">
        <v>45716</v>
      </c>
      <c r="F138" s="772" t="s">
        <v>763</v>
      </c>
      <c r="G138" s="889" t="s">
        <v>968</v>
      </c>
      <c r="H138" s="776">
        <v>56</v>
      </c>
      <c r="I138" s="776" t="s">
        <v>318</v>
      </c>
      <c r="J138" s="776" t="s">
        <v>63</v>
      </c>
      <c r="K138" s="504">
        <v>45716</v>
      </c>
      <c r="L138" s="116" t="s">
        <v>57</v>
      </c>
      <c r="M138" s="777">
        <v>45321.5</v>
      </c>
      <c r="N138" s="785"/>
      <c r="O138" s="116" t="s">
        <v>57</v>
      </c>
      <c r="P138" s="767" t="s">
        <v>319</v>
      </c>
      <c r="Q138" s="479">
        <v>45722</v>
      </c>
      <c r="R138" s="41">
        <v>3642</v>
      </c>
      <c r="S138" s="498">
        <v>3666</v>
      </c>
      <c r="T138" s="42">
        <v>0</v>
      </c>
      <c r="U138" s="884">
        <f>IFERROR(Table5[[#This Row],[Actual Redline Completed Footage UG]]/Table5[[#This Row],[Footage UG]], 0)</f>
        <v>1.0065897858319606</v>
      </c>
      <c r="V138" s="678">
        <v>45734</v>
      </c>
      <c r="W138" s="473">
        <v>1</v>
      </c>
      <c r="X138" s="473">
        <v>1</v>
      </c>
      <c r="Y138" s="473">
        <v>1</v>
      </c>
      <c r="Z138" s="479">
        <v>45917</v>
      </c>
      <c r="AA138" s="201"/>
    </row>
    <row r="139" spans="1:27" ht="39.75" customHeight="1">
      <c r="A139" s="769" t="s">
        <v>969</v>
      </c>
      <c r="B139" s="771" t="s">
        <v>50</v>
      </c>
      <c r="C139" s="57">
        <v>45772</v>
      </c>
      <c r="D139" s="772" t="s">
        <v>610</v>
      </c>
      <c r="E139" s="57">
        <v>45743</v>
      </c>
      <c r="F139" s="772" t="s">
        <v>763</v>
      </c>
      <c r="G139" s="775" t="s">
        <v>970</v>
      </c>
      <c r="H139" s="776">
        <v>63</v>
      </c>
      <c r="I139" s="782" t="s">
        <v>318</v>
      </c>
      <c r="J139" s="792" t="s">
        <v>63</v>
      </c>
      <c r="K139" s="1024">
        <v>45741</v>
      </c>
      <c r="L139" s="859" t="s">
        <v>57</v>
      </c>
      <c r="M139" s="1025">
        <v>41813</v>
      </c>
      <c r="N139" s="785"/>
      <c r="O139" s="859" t="s">
        <v>57</v>
      </c>
      <c r="P139" s="1017" t="s">
        <v>319</v>
      </c>
      <c r="Q139" s="356">
        <v>45745</v>
      </c>
      <c r="R139" s="32">
        <v>3243</v>
      </c>
      <c r="S139" s="900">
        <v>3290</v>
      </c>
      <c r="T139" s="32">
        <v>0</v>
      </c>
      <c r="U139" s="876">
        <f>IFERROR(Table5[[#This Row],[Actual Redline Completed Footage UG]]/Table5[[#This Row],[Footage UG]], 0)</f>
        <v>1.0144927536231885</v>
      </c>
      <c r="V139" s="356">
        <v>45761</v>
      </c>
      <c r="W139" s="330">
        <v>1</v>
      </c>
      <c r="X139" s="330">
        <v>1</v>
      </c>
      <c r="Y139" s="330">
        <v>1</v>
      </c>
      <c r="Z139" s="479">
        <v>45917</v>
      </c>
      <c r="AA139" s="1027" t="s">
        <v>971</v>
      </c>
    </row>
    <row r="140" spans="1:27" ht="39.75" customHeight="1">
      <c r="A140" s="769" t="s">
        <v>972</v>
      </c>
      <c r="B140" s="771" t="s">
        <v>50</v>
      </c>
      <c r="C140" s="57">
        <v>45772</v>
      </c>
      <c r="D140" s="773" t="s">
        <v>141</v>
      </c>
      <c r="E140" s="57">
        <v>45708</v>
      </c>
      <c r="F140" s="773" t="s">
        <v>751</v>
      </c>
      <c r="G140" s="780" t="s">
        <v>973</v>
      </c>
      <c r="H140" s="776">
        <v>82</v>
      </c>
      <c r="I140" s="782" t="s">
        <v>318</v>
      </c>
      <c r="J140" s="776" t="s">
        <v>63</v>
      </c>
      <c r="K140" s="497">
        <v>45698</v>
      </c>
      <c r="L140" s="505" t="s">
        <v>57</v>
      </c>
      <c r="M140" s="777">
        <v>71979</v>
      </c>
      <c r="N140" s="779"/>
      <c r="O140" s="505" t="s">
        <v>57</v>
      </c>
      <c r="P140" s="784" t="s">
        <v>319</v>
      </c>
      <c r="Q140" s="471">
        <v>45694</v>
      </c>
      <c r="R140" s="41">
        <v>5628</v>
      </c>
      <c r="S140" s="498">
        <v>3927</v>
      </c>
      <c r="T140" s="79">
        <v>0</v>
      </c>
      <c r="U140" s="876">
        <f>IFERROR(Table5[[#This Row],[Actual Redline Completed Footage UG]]/Table5[[#This Row],[Footage UG]], 0)</f>
        <v>0.69776119402985071</v>
      </c>
      <c r="V140" s="678">
        <v>45742</v>
      </c>
      <c r="W140" s="473">
        <v>1</v>
      </c>
      <c r="X140" s="473">
        <v>1</v>
      </c>
      <c r="Y140" s="473">
        <v>1</v>
      </c>
      <c r="Z140" s="513">
        <v>45894</v>
      </c>
      <c r="AA140" s="201"/>
    </row>
    <row r="141" spans="1:27" ht="39.75" customHeight="1">
      <c r="A141" s="769" t="s">
        <v>974</v>
      </c>
      <c r="B141" s="771" t="s">
        <v>50</v>
      </c>
      <c r="C141" s="888">
        <v>45862</v>
      </c>
      <c r="D141" s="772" t="s">
        <v>141</v>
      </c>
      <c r="E141" s="57">
        <v>45743</v>
      </c>
      <c r="F141" s="772" t="s">
        <v>751</v>
      </c>
      <c r="G141" s="775" t="s">
        <v>975</v>
      </c>
      <c r="H141" s="776">
        <v>88</v>
      </c>
      <c r="I141" s="804" t="s">
        <v>318</v>
      </c>
      <c r="J141" s="792" t="s">
        <v>63</v>
      </c>
      <c r="K141" s="497">
        <v>45741</v>
      </c>
      <c r="L141" s="503" t="s">
        <v>57</v>
      </c>
      <c r="M141" s="777">
        <v>75396.5</v>
      </c>
      <c r="N141" s="779"/>
      <c r="O141" s="503" t="s">
        <v>57</v>
      </c>
      <c r="P141" s="784" t="s">
        <v>319</v>
      </c>
      <c r="Q141" s="479">
        <v>45749</v>
      </c>
      <c r="R141" s="41">
        <v>6061</v>
      </c>
      <c r="S141" s="498">
        <v>6217</v>
      </c>
      <c r="T141" s="1026">
        <v>0</v>
      </c>
      <c r="U141" s="876">
        <f>IFERROR(Table5[[#This Row],[Actual Redline Completed Footage UG]]/Table5[[#This Row],[Footage UG]], 0)</f>
        <v>1.0257383270087443</v>
      </c>
      <c r="V141" s="678">
        <v>45785</v>
      </c>
      <c r="W141" s="355">
        <v>0</v>
      </c>
      <c r="X141" s="355">
        <v>0</v>
      </c>
      <c r="Y141" s="355">
        <v>0</v>
      </c>
      <c r="Z141" s="479">
        <v>45887</v>
      </c>
      <c r="AA141" s="201"/>
    </row>
    <row r="142" spans="1:27" ht="39.75" customHeight="1">
      <c r="A142" s="1020" t="s">
        <v>976</v>
      </c>
      <c r="B142" s="466" t="s">
        <v>50</v>
      </c>
      <c r="C142" s="476">
        <v>45747</v>
      </c>
      <c r="D142" s="476" t="s">
        <v>137</v>
      </c>
      <c r="E142" s="428">
        <v>45698</v>
      </c>
      <c r="F142" s="428" t="s">
        <v>61</v>
      </c>
      <c r="G142" s="943" t="s">
        <v>977</v>
      </c>
      <c r="H142" s="478">
        <v>87</v>
      </c>
      <c r="I142" s="483" t="s">
        <v>319</v>
      </c>
      <c r="J142" s="478" t="s">
        <v>63</v>
      </c>
      <c r="K142" s="476">
        <v>45699</v>
      </c>
      <c r="L142" s="483" t="s">
        <v>57</v>
      </c>
      <c r="M142" s="778">
        <v>72566</v>
      </c>
      <c r="N142" s="96"/>
      <c r="O142" s="483" t="s">
        <v>57</v>
      </c>
      <c r="P142" s="750" t="s">
        <v>319</v>
      </c>
      <c r="Q142" s="513">
        <v>45699</v>
      </c>
      <c r="R142" s="41">
        <v>6133</v>
      </c>
      <c r="S142" s="498">
        <v>6133</v>
      </c>
      <c r="T142" s="32">
        <v>0</v>
      </c>
      <c r="U142" s="876">
        <f>IFERROR(Table5[[#This Row],[Actual Redline Completed Footage UG]]/Table5[[#This Row],[Footage UG]], 0)</f>
        <v>1</v>
      </c>
      <c r="V142" s="678">
        <v>45721</v>
      </c>
      <c r="W142" s="500">
        <v>1</v>
      </c>
      <c r="X142" s="500">
        <v>1</v>
      </c>
      <c r="Y142" s="500">
        <v>1</v>
      </c>
      <c r="Z142" s="479">
        <v>45917</v>
      </c>
      <c r="AA142" s="897" t="s">
        <v>978</v>
      </c>
    </row>
    <row r="143" spans="1:27" ht="39.75" customHeight="1">
      <c r="A143" s="1001" t="s">
        <v>979</v>
      </c>
      <c r="B143" s="466" t="s">
        <v>50</v>
      </c>
      <c r="C143" s="476">
        <v>45742</v>
      </c>
      <c r="D143" s="475" t="s">
        <v>141</v>
      </c>
      <c r="E143" s="476">
        <v>45708</v>
      </c>
      <c r="F143" s="428" t="s">
        <v>751</v>
      </c>
      <c r="G143" s="477" t="s">
        <v>980</v>
      </c>
      <c r="H143" s="478">
        <v>0</v>
      </c>
      <c r="I143" s="469" t="s">
        <v>319</v>
      </c>
      <c r="J143" s="478" t="s">
        <v>63</v>
      </c>
      <c r="K143" s="476">
        <v>45712</v>
      </c>
      <c r="L143" s="478" t="s">
        <v>57</v>
      </c>
      <c r="M143" s="778">
        <v>14262</v>
      </c>
      <c r="N143" s="736"/>
      <c r="O143" s="478" t="s">
        <v>57</v>
      </c>
      <c r="P143" s="750" t="s">
        <v>319</v>
      </c>
      <c r="Q143" s="479">
        <v>45712</v>
      </c>
      <c r="R143" s="493">
        <v>826</v>
      </c>
      <c r="S143" s="506">
        <v>810</v>
      </c>
      <c r="T143" s="79">
        <v>0</v>
      </c>
      <c r="U143" s="876">
        <f>IFERROR(Table5[[#This Row],[Actual Redline Completed Footage UG]]/Table5[[#This Row],[Footage UG]], 0)</f>
        <v>0.98062953995157387</v>
      </c>
      <c r="V143" s="678">
        <v>45741</v>
      </c>
      <c r="W143" s="355">
        <v>1</v>
      </c>
      <c r="X143" s="355">
        <v>1</v>
      </c>
      <c r="Y143" s="355">
        <v>1</v>
      </c>
      <c r="Z143" s="479">
        <v>45867</v>
      </c>
      <c r="AA143" s="201"/>
    </row>
    <row r="144" spans="1:27" ht="39.75" customHeight="1">
      <c r="A144" s="769" t="s">
        <v>981</v>
      </c>
      <c r="B144" s="789" t="s">
        <v>50</v>
      </c>
      <c r="C144" s="57">
        <v>45711</v>
      </c>
      <c r="D144" s="57" t="s">
        <v>529</v>
      </c>
      <c r="E144" s="57">
        <v>45694</v>
      </c>
      <c r="F144" s="57" t="s">
        <v>757</v>
      </c>
      <c r="G144" s="795" t="s">
        <v>982</v>
      </c>
      <c r="H144" s="776">
        <v>0</v>
      </c>
      <c r="I144" s="791" t="s">
        <v>616</v>
      </c>
      <c r="J144" s="776" t="s">
        <v>63</v>
      </c>
      <c r="K144" s="476">
        <v>45686</v>
      </c>
      <c r="L144" s="829" t="s">
        <v>57</v>
      </c>
      <c r="M144" s="778">
        <v>22755.7</v>
      </c>
      <c r="N144" s="785"/>
      <c r="O144" s="829" t="s">
        <v>57</v>
      </c>
      <c r="P144" s="750" t="s">
        <v>319</v>
      </c>
      <c r="Q144" s="479">
        <v>45693</v>
      </c>
      <c r="R144" s="41">
        <v>1735</v>
      </c>
      <c r="S144" s="498">
        <v>1725</v>
      </c>
      <c r="T144" s="79">
        <v>0</v>
      </c>
      <c r="U144" s="876">
        <f>IFERROR(Table5[[#This Row],[Actual Redline Completed Footage UG]]/Table5[[#This Row],[Footage UG]], 0)</f>
        <v>0.99423631123919309</v>
      </c>
      <c r="V144" s="678">
        <v>45729</v>
      </c>
      <c r="W144" s="662">
        <v>1</v>
      </c>
      <c r="X144" s="662">
        <v>1</v>
      </c>
      <c r="Y144" s="662">
        <v>1</v>
      </c>
      <c r="Z144" s="479">
        <v>45895</v>
      </c>
      <c r="AA144" s="173" t="s">
        <v>983</v>
      </c>
    </row>
    <row r="145" spans="1:30" ht="39.75" customHeight="1">
      <c r="A145" s="769" t="s">
        <v>984</v>
      </c>
      <c r="B145" s="771" t="s">
        <v>50</v>
      </c>
      <c r="C145" s="57">
        <v>45742</v>
      </c>
      <c r="D145" s="772" t="s">
        <v>846</v>
      </c>
      <c r="E145" s="57">
        <v>45708</v>
      </c>
      <c r="F145" s="773" t="s">
        <v>239</v>
      </c>
      <c r="G145" s="775" t="s">
        <v>985</v>
      </c>
      <c r="H145" s="776">
        <v>0</v>
      </c>
      <c r="I145" s="776" t="s">
        <v>318</v>
      </c>
      <c r="J145" s="776" t="s">
        <v>63</v>
      </c>
      <c r="K145" s="476">
        <v>45714</v>
      </c>
      <c r="L145" s="478" t="s">
        <v>57</v>
      </c>
      <c r="M145" s="778">
        <v>93462.85</v>
      </c>
      <c r="N145" s="779"/>
      <c r="O145" s="478" t="s">
        <v>57</v>
      </c>
      <c r="P145" s="750" t="s">
        <v>319</v>
      </c>
      <c r="Q145" s="513">
        <v>45709</v>
      </c>
      <c r="R145" s="493">
        <v>7497</v>
      </c>
      <c r="S145" s="506">
        <v>7251</v>
      </c>
      <c r="T145" s="79">
        <v>0</v>
      </c>
      <c r="U145" s="876">
        <f>IFERROR(Table5[[#This Row],[Actual Redline Completed Footage UG]]/Table5[[#This Row],[Footage UG]], 0)</f>
        <v>0.96718687474989995</v>
      </c>
      <c r="V145" s="678">
        <v>45728</v>
      </c>
      <c r="W145" s="473">
        <v>1</v>
      </c>
      <c r="X145" s="473">
        <v>1</v>
      </c>
      <c r="Y145" s="473">
        <v>1</v>
      </c>
      <c r="Z145" s="479">
        <v>45916</v>
      </c>
      <c r="AA145" s="115"/>
      <c r="AB145" s="145"/>
      <c r="AC145" s="145"/>
      <c r="AD145" s="149"/>
    </row>
    <row r="146" spans="1:30" ht="39.75" customHeight="1">
      <c r="A146" s="769" t="s">
        <v>986</v>
      </c>
      <c r="B146" s="789" t="s">
        <v>50</v>
      </c>
      <c r="C146" s="57">
        <v>45924</v>
      </c>
      <c r="D146" s="793" t="s">
        <v>137</v>
      </c>
      <c r="E146" s="57">
        <v>45772</v>
      </c>
      <c r="F146" s="772" t="s">
        <v>61</v>
      </c>
      <c r="G146" s="772" t="s">
        <v>987</v>
      </c>
      <c r="H146" s="776">
        <v>0</v>
      </c>
      <c r="I146" s="776" t="s">
        <v>318</v>
      </c>
      <c r="J146" s="776" t="s">
        <v>63</v>
      </c>
      <c r="K146" s="475" t="s">
        <v>52</v>
      </c>
      <c r="L146" s="469" t="s">
        <v>57</v>
      </c>
      <c r="M146" s="1002">
        <v>4397.6499999999996</v>
      </c>
      <c r="N146" s="779"/>
      <c r="O146" s="469" t="s">
        <v>57</v>
      </c>
      <c r="P146" s="750" t="s">
        <v>319</v>
      </c>
      <c r="Q146" s="471">
        <v>45852</v>
      </c>
      <c r="R146" s="472">
        <v>129</v>
      </c>
      <c r="S146" s="1018">
        <v>129</v>
      </c>
      <c r="T146" s="495">
        <f>SUM(R146-S146)</f>
        <v>0</v>
      </c>
      <c r="U146" s="657">
        <v>1</v>
      </c>
      <c r="V146" s="678">
        <v>45856</v>
      </c>
      <c r="W146" s="355">
        <v>0</v>
      </c>
      <c r="X146" s="355">
        <v>0</v>
      </c>
      <c r="Y146" s="645">
        <v>0</v>
      </c>
      <c r="Z146" s="479">
        <v>45972</v>
      </c>
      <c r="AA146" s="174" t="s">
        <v>988</v>
      </c>
      <c r="AB146" s="425" t="s">
        <v>46</v>
      </c>
      <c r="AC146" s="425" t="s">
        <v>47</v>
      </c>
      <c r="AD146" s="875" t="s">
        <v>48</v>
      </c>
    </row>
    <row r="147" spans="1:30" ht="39.75" customHeight="1">
      <c r="A147" s="373" t="s">
        <v>989</v>
      </c>
      <c r="B147" s="1019" t="s">
        <v>339</v>
      </c>
      <c r="C147" s="51">
        <v>46045</v>
      </c>
      <c r="D147" s="658" t="s">
        <v>137</v>
      </c>
      <c r="E147" s="51"/>
      <c r="F147" s="50" t="s">
        <v>340</v>
      </c>
      <c r="G147" s="670"/>
      <c r="H147" s="1351">
        <v>80</v>
      </c>
      <c r="I147" s="660" t="s">
        <v>318</v>
      </c>
      <c r="J147" s="52" t="s">
        <v>63</v>
      </c>
      <c r="K147" s="51" t="s">
        <v>52</v>
      </c>
      <c r="L147" s="478" t="s">
        <v>57</v>
      </c>
      <c r="M147" s="1078">
        <v>170</v>
      </c>
      <c r="N147" s="736"/>
      <c r="O147" s="478" t="s">
        <v>57</v>
      </c>
      <c r="P147" s="1355" t="s">
        <v>319</v>
      </c>
      <c r="Q147" s="471" t="s">
        <v>52</v>
      </c>
      <c r="R147" s="1082">
        <v>7137</v>
      </c>
      <c r="S147" s="498">
        <v>7141</v>
      </c>
      <c r="T147" s="1012">
        <v>0</v>
      </c>
      <c r="U147" s="876">
        <v>1</v>
      </c>
      <c r="V147" s="652">
        <v>45964</v>
      </c>
      <c r="W147" s="355">
        <v>1</v>
      </c>
      <c r="X147" s="355">
        <v>0</v>
      </c>
      <c r="Y147" s="41">
        <v>0</v>
      </c>
      <c r="Z147" s="471">
        <v>45999</v>
      </c>
      <c r="AA147" s="1354" t="s">
        <v>990</v>
      </c>
      <c r="AB147" s="425"/>
      <c r="AC147" s="425"/>
      <c r="AD147" s="875"/>
    </row>
    <row r="148" spans="1:30" ht="39.75" customHeight="1">
      <c r="A148" s="769" t="s">
        <v>991</v>
      </c>
      <c r="B148" s="1352" t="s">
        <v>339</v>
      </c>
      <c r="C148" s="57">
        <v>46045</v>
      </c>
      <c r="D148" s="793" t="s">
        <v>137</v>
      </c>
      <c r="E148" s="57"/>
      <c r="F148" s="772" t="s">
        <v>340</v>
      </c>
      <c r="G148" s="790"/>
      <c r="H148" s="1353">
        <v>89</v>
      </c>
      <c r="I148" s="791" t="s">
        <v>318</v>
      </c>
      <c r="J148" s="776" t="s">
        <v>63</v>
      </c>
      <c r="K148" s="57" t="s">
        <v>52</v>
      </c>
      <c r="L148" s="478" t="s">
        <v>57</v>
      </c>
      <c r="M148" s="1078">
        <v>26696</v>
      </c>
      <c r="N148" s="779"/>
      <c r="O148" s="478" t="s">
        <v>57</v>
      </c>
      <c r="P148" s="750" t="s">
        <v>319</v>
      </c>
      <c r="Q148" s="471" t="s">
        <v>52</v>
      </c>
      <c r="R148" s="1082">
        <v>8153</v>
      </c>
      <c r="S148" s="498">
        <v>8114</v>
      </c>
      <c r="T148" s="1082">
        <v>0</v>
      </c>
      <c r="U148" s="863">
        <v>1</v>
      </c>
      <c r="V148" s="471">
        <v>45964</v>
      </c>
      <c r="W148" s="355">
        <v>1</v>
      </c>
      <c r="X148" s="355">
        <v>0</v>
      </c>
      <c r="Y148" s="41">
        <v>0</v>
      </c>
      <c r="Z148" s="471">
        <v>45999</v>
      </c>
      <c r="AA148" s="1084" t="s">
        <v>992</v>
      </c>
      <c r="AB148" s="425"/>
      <c r="AC148" s="425"/>
      <c r="AD148" s="875"/>
    </row>
    <row r="149" spans="1:30" ht="39.75" customHeight="1">
      <c r="A149" s="96"/>
      <c r="B149" s="96"/>
      <c r="C149" s="96"/>
      <c r="D149" s="96"/>
      <c r="E149" s="96"/>
      <c r="F149" s="96"/>
      <c r="G149" s="96"/>
      <c r="H149" s="96"/>
      <c r="I149" s="96"/>
      <c r="J149" s="96"/>
      <c r="K149" s="96"/>
      <c r="L149" s="96"/>
      <c r="M149" s="96"/>
      <c r="N149" s="96"/>
      <c r="O149" s="883"/>
      <c r="P149" s="885"/>
      <c r="Q149" s="43"/>
      <c r="R149" s="43"/>
      <c r="S149" s="43"/>
      <c r="T149" s="43"/>
      <c r="U149" s="169"/>
      <c r="V149" s="169"/>
      <c r="W149" s="43"/>
      <c r="X149" s="43"/>
      <c r="Y149" s="43"/>
      <c r="Z149" s="43"/>
      <c r="AA149" s="43"/>
      <c r="AB149" s="500">
        <v>1</v>
      </c>
      <c r="AC149" s="41">
        <v>3830</v>
      </c>
      <c r="AD149" s="664"/>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43"/>
      <c r="V150" s="43"/>
      <c r="W150" s="43"/>
      <c r="X150" s="43"/>
      <c r="Y150" s="43"/>
      <c r="Z150" s="43"/>
      <c r="AA150" s="43"/>
      <c r="AB150" s="500">
        <v>1</v>
      </c>
      <c r="AC150" s="41">
        <v>3371</v>
      </c>
      <c r="AD150" s="664"/>
    </row>
    <row r="151" spans="1:30" ht="39.75" customHeight="1">
      <c r="A151" s="55" t="s">
        <v>993</v>
      </c>
      <c r="B151" s="145"/>
      <c r="C151" s="145"/>
      <c r="D151" s="145"/>
      <c r="E151" s="145"/>
      <c r="F151" s="55"/>
      <c r="G151" s="55"/>
      <c r="H151" s="145"/>
      <c r="I151" s="145"/>
      <c r="J151" s="145"/>
      <c r="K151" s="145"/>
      <c r="L151" s="55"/>
      <c r="M151" s="145"/>
      <c r="N151" s="548"/>
      <c r="O151" s="145"/>
      <c r="P151" s="145"/>
      <c r="Q151" s="145"/>
      <c r="R151" s="145"/>
      <c r="S151" s="145"/>
      <c r="T151" s="145"/>
      <c r="U151" s="145"/>
      <c r="V151" s="145"/>
      <c r="W151" s="145"/>
      <c r="X151" s="145"/>
      <c r="Y151" s="145"/>
      <c r="Z151" s="145"/>
      <c r="AA151" s="145"/>
      <c r="AB151" s="662">
        <v>1</v>
      </c>
      <c r="AC151" s="848">
        <v>5569</v>
      </c>
      <c r="AD151" s="664"/>
    </row>
    <row r="152" spans="1:30" ht="39.75" customHeight="1">
      <c r="A152" s="516" t="s">
        <v>375</v>
      </c>
      <c r="B152" s="516" t="s">
        <v>20</v>
      </c>
      <c r="C152" s="516" t="s">
        <v>21</v>
      </c>
      <c r="D152" s="516" t="s">
        <v>22</v>
      </c>
      <c r="E152" s="516" t="s">
        <v>23</v>
      </c>
      <c r="F152" s="516" t="s">
        <v>24</v>
      </c>
      <c r="G152" s="516" t="s">
        <v>25</v>
      </c>
      <c r="H152" s="516" t="s">
        <v>26</v>
      </c>
      <c r="I152" s="516" t="s">
        <v>27</v>
      </c>
      <c r="J152" s="516" t="s">
        <v>28</v>
      </c>
      <c r="K152" s="516" t="s">
        <v>29</v>
      </c>
      <c r="L152" s="516" t="s">
        <v>30</v>
      </c>
      <c r="M152" s="516" t="s">
        <v>31</v>
      </c>
      <c r="N152" s="547" t="s">
        <v>32</v>
      </c>
      <c r="O152" s="516" t="s">
        <v>33</v>
      </c>
      <c r="P152" s="516" t="s">
        <v>34</v>
      </c>
      <c r="Q152" s="425" t="s">
        <v>35</v>
      </c>
      <c r="R152" s="425" t="s">
        <v>36</v>
      </c>
      <c r="S152" s="425" t="s">
        <v>37</v>
      </c>
      <c r="T152" s="425" t="s">
        <v>38</v>
      </c>
      <c r="U152" s="425" t="s">
        <v>39</v>
      </c>
      <c r="V152" s="425" t="s">
        <v>40</v>
      </c>
      <c r="W152" s="425" t="s">
        <v>41</v>
      </c>
      <c r="X152" s="425" t="s">
        <v>42</v>
      </c>
      <c r="Y152" s="425" t="s">
        <v>43</v>
      </c>
      <c r="Z152" s="425" t="s">
        <v>44</v>
      </c>
      <c r="AA152" s="517" t="s">
        <v>45</v>
      </c>
      <c r="AB152" s="662">
        <v>1</v>
      </c>
      <c r="AC152" s="352">
        <v>145</v>
      </c>
      <c r="AD152" s="664"/>
    </row>
    <row r="153" spans="1:30" ht="39.75" customHeight="1">
      <c r="A153" s="895" t="s">
        <v>994</v>
      </c>
      <c r="B153" s="831" t="s">
        <v>238</v>
      </c>
      <c r="C153" s="476">
        <v>45807</v>
      </c>
      <c r="D153" s="465" t="s">
        <v>51</v>
      </c>
      <c r="E153" s="475" t="s">
        <v>52</v>
      </c>
      <c r="F153" s="465" t="s">
        <v>782</v>
      </c>
      <c r="G153" s="682" t="s">
        <v>538</v>
      </c>
      <c r="H153" s="469">
        <v>60</v>
      </c>
      <c r="I153" s="829" t="s">
        <v>318</v>
      </c>
      <c r="J153" s="478" t="s">
        <v>56</v>
      </c>
      <c r="K153" s="844"/>
      <c r="L153" s="467">
        <v>45716</v>
      </c>
      <c r="M153" s="478" t="s">
        <v>57</v>
      </c>
      <c r="N153" s="542">
        <v>2075.6999999999998</v>
      </c>
      <c r="O153" s="478" t="s">
        <v>57</v>
      </c>
      <c r="P153" s="920" t="s">
        <v>319</v>
      </c>
      <c r="Q153" s="352" t="s">
        <v>56</v>
      </c>
      <c r="R153" s="352" t="s">
        <v>56</v>
      </c>
      <c r="S153" s="352" t="s">
        <v>56</v>
      </c>
      <c r="T153" s="352" t="s">
        <v>56</v>
      </c>
      <c r="U153" s="352" t="s">
        <v>56</v>
      </c>
      <c r="V153" s="41">
        <v>0</v>
      </c>
      <c r="W153" s="352">
        <v>0</v>
      </c>
      <c r="X153" s="472">
        <f t="shared" ref="X153:X159" si="0">SUM(V153-W153)</f>
        <v>0</v>
      </c>
      <c r="Y153" s="863">
        <f t="shared" ref="Y153:Y159" si="1">IFERROR($W153/$V153, 0)</f>
        <v>0</v>
      </c>
      <c r="Z153" s="479">
        <v>45744</v>
      </c>
      <c r="AA153" s="500">
        <v>1</v>
      </c>
      <c r="AB153" s="662">
        <v>1</v>
      </c>
      <c r="AC153" s="852">
        <v>1408</v>
      </c>
      <c r="AD153" s="115" t="s">
        <v>995</v>
      </c>
    </row>
    <row r="154" spans="1:30" ht="39.75" customHeight="1">
      <c r="A154" s="895" t="s">
        <v>996</v>
      </c>
      <c r="B154" s="831" t="s">
        <v>238</v>
      </c>
      <c r="C154" s="476">
        <v>45807</v>
      </c>
      <c r="D154" s="475" t="s">
        <v>51</v>
      </c>
      <c r="E154" s="475" t="s">
        <v>52</v>
      </c>
      <c r="F154" s="475" t="s">
        <v>782</v>
      </c>
      <c r="G154" s="825" t="s">
        <v>997</v>
      </c>
      <c r="H154" s="478">
        <v>79</v>
      </c>
      <c r="I154" s="829" t="s">
        <v>318</v>
      </c>
      <c r="J154" s="478" t="s">
        <v>56</v>
      </c>
      <c r="K154" s="487"/>
      <c r="L154" s="467">
        <v>45716</v>
      </c>
      <c r="M154" s="478" t="s">
        <v>57</v>
      </c>
      <c r="N154" s="543">
        <v>2947.5</v>
      </c>
      <c r="O154" s="478" t="s">
        <v>57</v>
      </c>
      <c r="P154" s="921" t="s">
        <v>319</v>
      </c>
      <c r="Q154" s="352" t="s">
        <v>56</v>
      </c>
      <c r="R154" s="352" t="s">
        <v>56</v>
      </c>
      <c r="S154" s="352" t="s">
        <v>56</v>
      </c>
      <c r="T154" s="352" t="s">
        <v>56</v>
      </c>
      <c r="U154" s="352" t="s">
        <v>56</v>
      </c>
      <c r="V154" s="41">
        <v>0</v>
      </c>
      <c r="W154" s="352">
        <v>0</v>
      </c>
      <c r="X154" s="472">
        <f t="shared" si="0"/>
        <v>0</v>
      </c>
      <c r="Y154" s="863">
        <f t="shared" si="1"/>
        <v>0</v>
      </c>
      <c r="Z154" s="479">
        <v>45744</v>
      </c>
      <c r="AA154" s="500">
        <v>1</v>
      </c>
      <c r="AB154" s="662">
        <v>1</v>
      </c>
      <c r="AC154" s="41">
        <v>5915</v>
      </c>
      <c r="AD154" s="664"/>
    </row>
    <row r="155" spans="1:30" ht="39.75" customHeight="1">
      <c r="A155" s="895" t="s">
        <v>998</v>
      </c>
      <c r="B155" s="831" t="s">
        <v>238</v>
      </c>
      <c r="C155" s="476">
        <v>45807</v>
      </c>
      <c r="D155" s="475" t="s">
        <v>51</v>
      </c>
      <c r="E155" s="475" t="s">
        <v>52</v>
      </c>
      <c r="F155" s="475" t="s">
        <v>782</v>
      </c>
      <c r="G155" s="825" t="s">
        <v>999</v>
      </c>
      <c r="H155" s="478">
        <v>83</v>
      </c>
      <c r="I155" s="829" t="s">
        <v>318</v>
      </c>
      <c r="J155" s="478" t="s">
        <v>56</v>
      </c>
      <c r="K155" s="487"/>
      <c r="L155" s="467">
        <v>45716</v>
      </c>
      <c r="M155" s="478" t="s">
        <v>57</v>
      </c>
      <c r="N155" s="543">
        <v>2908.95</v>
      </c>
      <c r="O155" s="478" t="s">
        <v>57</v>
      </c>
      <c r="P155" s="921" t="s">
        <v>319</v>
      </c>
      <c r="Q155" s="352" t="s">
        <v>56</v>
      </c>
      <c r="R155" s="352" t="s">
        <v>56</v>
      </c>
      <c r="S155" s="352" t="s">
        <v>56</v>
      </c>
      <c r="T155" s="352" t="s">
        <v>56</v>
      </c>
      <c r="U155" s="352" t="s">
        <v>56</v>
      </c>
      <c r="V155" s="41">
        <v>0</v>
      </c>
      <c r="W155" s="352">
        <v>0</v>
      </c>
      <c r="X155" s="472">
        <f t="shared" si="0"/>
        <v>0</v>
      </c>
      <c r="Y155" s="863">
        <f t="shared" si="1"/>
        <v>0</v>
      </c>
      <c r="Z155" s="479">
        <v>45744</v>
      </c>
      <c r="AA155" s="500">
        <v>1</v>
      </c>
    </row>
    <row r="156" spans="1:30" ht="39.75" customHeight="1">
      <c r="A156" s="895" t="s">
        <v>1000</v>
      </c>
      <c r="B156" s="824" t="s">
        <v>50</v>
      </c>
      <c r="C156" s="476">
        <v>45807</v>
      </c>
      <c r="D156" s="475" t="s">
        <v>51</v>
      </c>
      <c r="E156" s="475" t="s">
        <v>52</v>
      </c>
      <c r="F156" s="475" t="s">
        <v>53</v>
      </c>
      <c r="G156" s="825" t="s">
        <v>1001</v>
      </c>
      <c r="H156" s="478">
        <v>68</v>
      </c>
      <c r="I156" s="478" t="s">
        <v>319</v>
      </c>
      <c r="J156" s="478" t="s">
        <v>56</v>
      </c>
      <c r="K156" s="478"/>
      <c r="L156" s="830">
        <v>45716</v>
      </c>
      <c r="M156" s="478" t="s">
        <v>57</v>
      </c>
      <c r="N156" s="543">
        <v>1134</v>
      </c>
      <c r="O156" s="478" t="s">
        <v>57</v>
      </c>
      <c r="P156" s="922" t="s">
        <v>319</v>
      </c>
      <c r="Q156" s="352" t="s">
        <v>56</v>
      </c>
      <c r="R156" s="352" t="s">
        <v>56</v>
      </c>
      <c r="S156" s="352" t="s">
        <v>56</v>
      </c>
      <c r="T156" s="352" t="s">
        <v>56</v>
      </c>
      <c r="U156" s="352" t="s">
        <v>56</v>
      </c>
      <c r="V156" s="41">
        <v>0</v>
      </c>
      <c r="W156" s="472">
        <v>0</v>
      </c>
      <c r="X156" s="472">
        <f t="shared" si="0"/>
        <v>0</v>
      </c>
      <c r="Y156" s="863">
        <f t="shared" si="1"/>
        <v>0</v>
      </c>
      <c r="Z156" s="479">
        <v>45812</v>
      </c>
      <c r="AA156" s="662">
        <v>1</v>
      </c>
    </row>
    <row r="157" spans="1:30" ht="39.75" customHeight="1">
      <c r="A157" s="895" t="s">
        <v>1002</v>
      </c>
      <c r="B157" s="824" t="s">
        <v>50</v>
      </c>
      <c r="C157" s="476">
        <v>45772</v>
      </c>
      <c r="D157" s="475" t="s">
        <v>51</v>
      </c>
      <c r="E157" s="475" t="s">
        <v>52</v>
      </c>
      <c r="F157" s="475" t="s">
        <v>53</v>
      </c>
      <c r="G157" s="847" t="s">
        <v>1003</v>
      </c>
      <c r="H157" s="478">
        <v>38</v>
      </c>
      <c r="I157" s="478" t="s">
        <v>319</v>
      </c>
      <c r="J157" s="478" t="s">
        <v>56</v>
      </c>
      <c r="K157" s="487"/>
      <c r="L157" s="467">
        <v>45716</v>
      </c>
      <c r="M157" s="478" t="s">
        <v>57</v>
      </c>
      <c r="N157" s="543">
        <v>870</v>
      </c>
      <c r="O157" s="478" t="s">
        <v>57</v>
      </c>
      <c r="P157" s="922" t="s">
        <v>319</v>
      </c>
      <c r="Q157" s="352" t="s">
        <v>56</v>
      </c>
      <c r="R157" s="352" t="s">
        <v>56</v>
      </c>
      <c r="S157" s="352" t="s">
        <v>56</v>
      </c>
      <c r="T157" s="352" t="s">
        <v>56</v>
      </c>
      <c r="U157" s="352" t="s">
        <v>56</v>
      </c>
      <c r="V157" s="41">
        <v>0</v>
      </c>
      <c r="W157" s="486">
        <v>0</v>
      </c>
      <c r="X157" s="472">
        <f t="shared" si="0"/>
        <v>0</v>
      </c>
      <c r="Y157" s="863">
        <f t="shared" si="1"/>
        <v>0</v>
      </c>
      <c r="Z157" s="479">
        <v>45742</v>
      </c>
      <c r="AA157" s="662">
        <v>1</v>
      </c>
      <c r="AB157" s="601">
        <v>0</v>
      </c>
      <c r="AC157" s="918">
        <v>0</v>
      </c>
      <c r="AD157" s="919" t="s">
        <v>1004</v>
      </c>
    </row>
    <row r="158" spans="1:30" ht="39.75" customHeight="1">
      <c r="A158" s="895" t="s">
        <v>1005</v>
      </c>
      <c r="B158" s="824" t="s">
        <v>50</v>
      </c>
      <c r="C158" s="476">
        <v>45772</v>
      </c>
      <c r="D158" s="827" t="s">
        <v>600</v>
      </c>
      <c r="E158" s="827">
        <v>45698</v>
      </c>
      <c r="F158" s="476" t="s">
        <v>757</v>
      </c>
      <c r="G158" s="828" t="s">
        <v>1006</v>
      </c>
      <c r="H158" s="478">
        <v>82</v>
      </c>
      <c r="I158" s="478" t="s">
        <v>318</v>
      </c>
      <c r="J158" s="478" t="s">
        <v>63</v>
      </c>
      <c r="K158" s="478"/>
      <c r="L158" s="830">
        <v>45716</v>
      </c>
      <c r="M158" s="829" t="s">
        <v>57</v>
      </c>
      <c r="N158" s="543">
        <v>2025.6</v>
      </c>
      <c r="O158" s="829" t="s">
        <v>57</v>
      </c>
      <c r="P158" s="922" t="s">
        <v>319</v>
      </c>
      <c r="Q158" s="352" t="s">
        <v>56</v>
      </c>
      <c r="R158" s="352" t="s">
        <v>56</v>
      </c>
      <c r="S158" s="352" t="s">
        <v>56</v>
      </c>
      <c r="T158" s="352" t="s">
        <v>56</v>
      </c>
      <c r="U158" s="352" t="s">
        <v>56</v>
      </c>
      <c r="V158" s="41">
        <v>0</v>
      </c>
      <c r="W158" s="472">
        <v>0</v>
      </c>
      <c r="X158" s="472">
        <f t="shared" si="0"/>
        <v>0</v>
      </c>
      <c r="Y158" s="863">
        <f t="shared" si="1"/>
        <v>0</v>
      </c>
      <c r="Z158" s="479">
        <v>45716</v>
      </c>
      <c r="AA158" s="662">
        <v>1</v>
      </c>
      <c r="AB158" s="61">
        <v>0</v>
      </c>
      <c r="AC158" s="867">
        <v>0</v>
      </c>
      <c r="AD158" s="869" t="s">
        <v>1007</v>
      </c>
    </row>
    <row r="159" spans="1:30" ht="39.75" customHeight="1">
      <c r="A159" s="895" t="s">
        <v>1008</v>
      </c>
      <c r="B159" s="824" t="s">
        <v>50</v>
      </c>
      <c r="C159" s="476">
        <v>45742</v>
      </c>
      <c r="D159" s="475" t="s">
        <v>51</v>
      </c>
      <c r="E159" s="476">
        <v>45715</v>
      </c>
      <c r="F159" s="475" t="s">
        <v>53</v>
      </c>
      <c r="G159" s="825" t="s">
        <v>1009</v>
      </c>
      <c r="H159" s="478">
        <v>84</v>
      </c>
      <c r="I159" s="478" t="s">
        <v>319</v>
      </c>
      <c r="J159" s="478" t="s">
        <v>56</v>
      </c>
      <c r="K159" s="478"/>
      <c r="L159" s="476">
        <v>45715</v>
      </c>
      <c r="M159" s="478" t="s">
        <v>57</v>
      </c>
      <c r="N159" s="543">
        <v>3801.75</v>
      </c>
      <c r="O159" s="478" t="s">
        <v>57</v>
      </c>
      <c r="P159" s="922" t="s">
        <v>319</v>
      </c>
      <c r="Q159" s="352" t="s">
        <v>56</v>
      </c>
      <c r="R159" s="352" t="s">
        <v>56</v>
      </c>
      <c r="S159" s="352" t="s">
        <v>56</v>
      </c>
      <c r="T159" s="352" t="s">
        <v>56</v>
      </c>
      <c r="U159" s="352" t="s">
        <v>56</v>
      </c>
      <c r="V159" s="41">
        <v>0</v>
      </c>
      <c r="W159" s="352">
        <v>0</v>
      </c>
      <c r="X159" s="472">
        <f t="shared" si="0"/>
        <v>0</v>
      </c>
      <c r="Y159" s="863">
        <f t="shared" si="1"/>
        <v>0</v>
      </c>
      <c r="Z159" s="479">
        <v>45716</v>
      </c>
      <c r="AA159" s="662">
        <v>1</v>
      </c>
    </row>
    <row r="160" spans="1:30" ht="39.75" customHeight="1">
      <c r="A160" s="96"/>
      <c r="B160" s="96"/>
      <c r="C160" s="96"/>
      <c r="D160" s="96"/>
      <c r="E160" s="96"/>
      <c r="F160" s="96"/>
      <c r="G160" s="96"/>
      <c r="H160" s="96"/>
      <c r="I160" s="96"/>
      <c r="J160" s="96"/>
      <c r="K160" s="96"/>
      <c r="L160" s="96"/>
      <c r="M160" s="96"/>
      <c r="N160" s="96"/>
      <c r="O160" s="883"/>
      <c r="P160" s="885"/>
      <c r="Q160" s="43"/>
      <c r="R160" s="43"/>
      <c r="S160" s="43"/>
      <c r="T160" s="43"/>
      <c r="U160" s="43"/>
      <c r="V160" s="43"/>
      <c r="W160" s="43"/>
      <c r="X160" s="43"/>
      <c r="Y160" s="43"/>
      <c r="Z160" s="43"/>
      <c r="AA160" s="43"/>
    </row>
    <row r="161" spans="1:27" ht="39.75" customHeight="1">
      <c r="A161" s="904" t="s">
        <v>1010</v>
      </c>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5" t="s">
        <v>1011</v>
      </c>
      <c r="B162" s="906" t="s">
        <v>117</v>
      </c>
      <c r="C162" s="907"/>
      <c r="D162" s="908" t="s">
        <v>72</v>
      </c>
      <c r="E162" s="908">
        <v>45768</v>
      </c>
      <c r="F162" s="909" t="s">
        <v>187</v>
      </c>
      <c r="G162" s="906"/>
      <c r="H162" s="910">
        <v>0</v>
      </c>
      <c r="I162" s="911" t="s">
        <v>319</v>
      </c>
      <c r="J162" s="910" t="s">
        <v>56</v>
      </c>
      <c r="K162" s="907"/>
      <c r="L162" s="912" t="s">
        <v>56</v>
      </c>
      <c r="M162" s="910" t="s">
        <v>91</v>
      </c>
      <c r="N162" s="913">
        <v>0</v>
      </c>
      <c r="O162" s="910" t="s">
        <v>91</v>
      </c>
      <c r="P162" s="914" t="s">
        <v>319</v>
      </c>
      <c r="Q162" s="915" t="s">
        <v>56</v>
      </c>
      <c r="R162" s="916" t="s">
        <v>184</v>
      </c>
      <c r="S162" s="916" t="s">
        <v>184</v>
      </c>
      <c r="T162" s="916" t="s">
        <v>184</v>
      </c>
      <c r="U162" s="915"/>
      <c r="V162" s="916">
        <v>3</v>
      </c>
      <c r="W162" s="916">
        <v>3</v>
      </c>
      <c r="X162" s="600">
        <f t="shared" ref="X162:X163" si="2">SUM(V162-W162)</f>
        <v>0</v>
      </c>
      <c r="Y162" s="917">
        <f t="shared" ref="Y162:Y163" si="3">IFERROR($W162/$V162, 0)</f>
        <v>1</v>
      </c>
      <c r="Z162" s="599">
        <v>45768</v>
      </c>
      <c r="AA162" s="601">
        <v>0</v>
      </c>
    </row>
    <row r="163" spans="1:27" ht="39.75" customHeight="1">
      <c r="A163" s="855" t="s">
        <v>1012</v>
      </c>
      <c r="B163" s="858" t="s">
        <v>117</v>
      </c>
      <c r="C163" s="864"/>
      <c r="D163" s="857" t="s">
        <v>72</v>
      </c>
      <c r="E163" s="857">
        <v>45768</v>
      </c>
      <c r="F163" s="856" t="s">
        <v>187</v>
      </c>
      <c r="G163" s="858"/>
      <c r="H163" s="859">
        <v>0</v>
      </c>
      <c r="I163" s="865" t="s">
        <v>319</v>
      </c>
      <c r="J163" s="859" t="s">
        <v>56</v>
      </c>
      <c r="K163" s="864"/>
      <c r="L163" s="866" t="s">
        <v>56</v>
      </c>
      <c r="M163" s="859" t="s">
        <v>91</v>
      </c>
      <c r="N163" s="860">
        <v>0</v>
      </c>
      <c r="O163" s="859" t="s">
        <v>91</v>
      </c>
      <c r="P163" s="861" t="s">
        <v>319</v>
      </c>
      <c r="Q163" s="79" t="s">
        <v>56</v>
      </c>
      <c r="R163" s="328" t="s">
        <v>184</v>
      </c>
      <c r="S163" s="328" t="s">
        <v>184</v>
      </c>
      <c r="T163" s="328" t="s">
        <v>184</v>
      </c>
      <c r="U163" s="79"/>
      <c r="V163" s="328">
        <v>3</v>
      </c>
      <c r="W163" s="328">
        <v>3</v>
      </c>
      <c r="X163" s="495">
        <f t="shared" si="2"/>
        <v>0</v>
      </c>
      <c r="Y163" s="868">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3"/>
      <c r="P164" s="885"/>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row>
    <row r="1109" spans="1:3">
      <c r="A1109" t="s">
        <v>99</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row>
    <row r="1116" spans="1:3">
      <c r="A1116" t="s">
        <v>324</v>
      </c>
    </row>
    <row r="1117" spans="1:3">
      <c r="A1117" t="s">
        <v>136</v>
      </c>
      <c r="B1117">
        <v>1095</v>
      </c>
      <c r="C1117">
        <v>1095</v>
      </c>
    </row>
    <row r="1118" spans="1:3">
      <c r="A1118" t="s">
        <v>150</v>
      </c>
    </row>
    <row r="1119" spans="1:3">
      <c r="A1119" t="s">
        <v>248</v>
      </c>
    </row>
    <row r="1120" spans="1:3">
      <c r="A1120" t="s">
        <v>333</v>
      </c>
    </row>
    <row r="1121" spans="1:3">
      <c r="A1121" t="s">
        <v>1017</v>
      </c>
      <c r="B1121">
        <v>1847</v>
      </c>
      <c r="C1121">
        <v>1847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5"/>
  <sheetViews>
    <sheetView workbookViewId="0">
      <pane ySplit="1" topLeftCell="A2283" activePane="bottomLeft" state="frozen"/>
      <selection pane="bottomLeft" activeCell="E2303" sqref="E230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5"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6" t="s">
        <v>883</v>
      </c>
      <c r="B1115" s="304" t="s">
        <v>1026</v>
      </c>
      <c r="C1115" s="56">
        <v>45790</v>
      </c>
      <c r="F1115" s="43" t="s">
        <v>1434</v>
      </c>
      <c r="G1115" t="str">
        <f t="shared" si="20"/>
        <v>May</v>
      </c>
    </row>
    <row r="1116" spans="1:7">
      <c r="A1116" s="616"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7" t="s">
        <v>531</v>
      </c>
      <c r="B1331" s="157" t="s">
        <v>397</v>
      </c>
      <c r="C1331" s="56">
        <v>45849</v>
      </c>
      <c r="D1331" s="43">
        <v>198</v>
      </c>
      <c r="G1331" t="s">
        <v>1506</v>
      </c>
    </row>
    <row r="1332" spans="1:7">
      <c r="A1332" s="247" t="s">
        <v>959</v>
      </c>
      <c r="B1332" s="398" t="s">
        <v>1026</v>
      </c>
      <c r="C1332" s="56">
        <v>45852</v>
      </c>
      <c r="F1332" s="43" t="s">
        <v>1169</v>
      </c>
      <c r="G1332" t="s">
        <v>1506</v>
      </c>
    </row>
    <row r="1333" spans="1:7">
      <c r="A1333" s="617"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8"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8"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8"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4"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49" t="s">
        <v>539</v>
      </c>
      <c r="B1418" s="311" t="s">
        <v>397</v>
      </c>
      <c r="C1418" s="56">
        <v>45875</v>
      </c>
      <c r="D1418" s="43">
        <v>840</v>
      </c>
      <c r="G1418" t="s">
        <v>1545</v>
      </c>
    </row>
    <row r="1419" spans="1:7">
      <c r="A1419" s="141" t="s">
        <v>525</v>
      </c>
      <c r="B1419" s="550"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5" t="s">
        <v>137</v>
      </c>
      <c r="C1422" s="56">
        <v>45876</v>
      </c>
      <c r="D1422" s="43">
        <v>674</v>
      </c>
      <c r="G1422" t="s">
        <v>1545</v>
      </c>
    </row>
    <row r="1423" spans="1:7">
      <c r="A1423" s="525" t="s">
        <v>539</v>
      </c>
      <c r="B1423" s="525"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1" t="s">
        <v>539</v>
      </c>
      <c r="B1426" s="311" t="s">
        <v>397</v>
      </c>
      <c r="C1426" s="56">
        <v>45877</v>
      </c>
      <c r="D1426" s="43">
        <v>718</v>
      </c>
      <c r="G1426" t="s">
        <v>1545</v>
      </c>
    </row>
    <row r="1427" spans="1:7">
      <c r="A1427" s="524"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1"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1"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1" t="s">
        <v>539</v>
      </c>
      <c r="B1447" s="311" t="s">
        <v>397</v>
      </c>
      <c r="C1447" s="56">
        <v>45883</v>
      </c>
      <c r="D1447" s="43">
        <v>554</v>
      </c>
      <c r="G1447" t="s">
        <v>1545</v>
      </c>
    </row>
    <row r="1448" spans="1:7">
      <c r="A1448" s="43" t="s">
        <v>299</v>
      </c>
      <c r="B1448" s="398" t="s">
        <v>1026</v>
      </c>
      <c r="C1448" s="56">
        <v>45883</v>
      </c>
      <c r="F1448" s="43" t="s">
        <v>1302</v>
      </c>
      <c r="G1448" t="s">
        <v>1545</v>
      </c>
    </row>
    <row r="1449" spans="1:7">
      <c r="A1449" s="524"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1" t="s">
        <v>539</v>
      </c>
      <c r="B1453" s="311" t="s">
        <v>397</v>
      </c>
      <c r="C1453" s="56">
        <v>45884</v>
      </c>
      <c r="D1453" s="43">
        <v>89</v>
      </c>
      <c r="G1453" t="s">
        <v>1545</v>
      </c>
    </row>
    <row r="1454" spans="1:7">
      <c r="A1454" s="304" t="s">
        <v>299</v>
      </c>
      <c r="B1454" s="304" t="s">
        <v>1026</v>
      </c>
      <c r="C1454" s="56">
        <v>45884</v>
      </c>
      <c r="D1454" s="43">
        <v>391</v>
      </c>
      <c r="G1454" t="s">
        <v>1545</v>
      </c>
    </row>
    <row r="1455" spans="1:7">
      <c r="A1455" s="524"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0" t="s">
        <v>953</v>
      </c>
      <c r="B1459" s="322" t="s">
        <v>137</v>
      </c>
      <c r="C1459" s="56">
        <v>45887</v>
      </c>
      <c r="D1459" s="155">
        <v>1109</v>
      </c>
      <c r="F1459" s="43" t="s">
        <v>1558</v>
      </c>
      <c r="G1459" t="s">
        <v>1545</v>
      </c>
    </row>
    <row r="1460" spans="1:7">
      <c r="A1460" s="551"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5" t="s">
        <v>914</v>
      </c>
      <c r="B1465" s="311" t="s">
        <v>137</v>
      </c>
      <c r="C1465" s="56">
        <v>45888</v>
      </c>
      <c r="D1465" s="155">
        <v>1460</v>
      </c>
      <c r="F1465" s="43" t="s">
        <v>1559</v>
      </c>
      <c r="G1465" t="s">
        <v>1545</v>
      </c>
    </row>
    <row r="1466" spans="1:7">
      <c r="A1466" s="551" t="s">
        <v>539</v>
      </c>
      <c r="B1466" s="311" t="s">
        <v>397</v>
      </c>
      <c r="C1466" s="56">
        <v>45888</v>
      </c>
      <c r="D1466" s="43">
        <v>408</v>
      </c>
      <c r="F1466" s="115"/>
      <c r="G1466" t="s">
        <v>1545</v>
      </c>
    </row>
    <row r="1467" spans="1:7">
      <c r="A1467" s="583"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0" t="s">
        <v>914</v>
      </c>
      <c r="B1473" s="322" t="s">
        <v>137</v>
      </c>
      <c r="C1473" s="56">
        <v>45889</v>
      </c>
      <c r="D1473" s="155">
        <v>1428</v>
      </c>
      <c r="F1473" s="43" t="s">
        <v>1466</v>
      </c>
      <c r="G1473" t="s">
        <v>1545</v>
      </c>
    </row>
    <row r="1474" spans="1:7">
      <c r="A1474" s="551" t="s">
        <v>539</v>
      </c>
      <c r="B1474" s="311" t="s">
        <v>397</v>
      </c>
      <c r="C1474" s="56">
        <v>45889</v>
      </c>
      <c r="D1474" s="43">
        <v>607</v>
      </c>
      <c r="F1474" s="43" t="s">
        <v>1561</v>
      </c>
      <c r="G1474" t="s">
        <v>1545</v>
      </c>
    </row>
    <row r="1475" spans="1:7">
      <c r="A1475" s="583"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0"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1" t="s">
        <v>539</v>
      </c>
      <c r="B1482" s="311" t="s">
        <v>397</v>
      </c>
      <c r="C1482" s="56">
        <v>45890</v>
      </c>
      <c r="D1482" s="155">
        <v>1022</v>
      </c>
      <c r="G1482" t="s">
        <v>1545</v>
      </c>
    </row>
    <row r="1483" spans="1:7">
      <c r="A1483" s="583"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1" t="s">
        <v>539</v>
      </c>
      <c r="B1488" s="311" t="s">
        <v>397</v>
      </c>
      <c r="C1488" s="56">
        <v>45891</v>
      </c>
      <c r="E1488" s="321">
        <v>6090</v>
      </c>
      <c r="F1488" s="43" t="s">
        <v>1565</v>
      </c>
      <c r="G1488" t="s">
        <v>1545</v>
      </c>
    </row>
    <row r="1489" spans="1:7">
      <c r="A1489" s="583"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0" t="s">
        <v>917</v>
      </c>
      <c r="B1494" s="322" t="s">
        <v>137</v>
      </c>
      <c r="C1494" s="56">
        <v>45894</v>
      </c>
      <c r="D1494" s="43">
        <v>735</v>
      </c>
      <c r="F1494" s="43" t="s">
        <v>1567</v>
      </c>
      <c r="G1494" t="s">
        <v>1545</v>
      </c>
    </row>
    <row r="1495" spans="1:7">
      <c r="A1495" s="551" t="s">
        <v>539</v>
      </c>
      <c r="B1495" s="311" t="s">
        <v>397</v>
      </c>
      <c r="C1495" s="56">
        <v>45894</v>
      </c>
      <c r="D1495" s="43">
        <v>639</v>
      </c>
      <c r="G1495" t="s">
        <v>1545</v>
      </c>
    </row>
    <row r="1496" spans="1:7">
      <c r="A1496" s="583"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0"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8" t="s">
        <v>929</v>
      </c>
      <c r="B1503" s="43" t="s">
        <v>137</v>
      </c>
      <c r="C1503" s="56">
        <v>45895</v>
      </c>
      <c r="D1503" s="155">
        <v>1224</v>
      </c>
      <c r="F1503" s="43" t="s">
        <v>1569</v>
      </c>
      <c r="G1503" t="s">
        <v>1545</v>
      </c>
    </row>
    <row r="1504" spans="1:7">
      <c r="A1504" s="583" t="s">
        <v>536</v>
      </c>
      <c r="B1504" s="631" t="s">
        <v>1026</v>
      </c>
      <c r="C1504" s="56">
        <v>45895</v>
      </c>
      <c r="D1504" s="43">
        <v>295</v>
      </c>
      <c r="G1504" t="s">
        <v>1545</v>
      </c>
    </row>
    <row r="1505" spans="1:7">
      <c r="A1505" s="628"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0"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8" t="s">
        <v>929</v>
      </c>
      <c r="B1510" s="43" t="s">
        <v>137</v>
      </c>
      <c r="C1510" s="56">
        <v>45896</v>
      </c>
      <c r="D1510" s="43">
        <v>967</v>
      </c>
      <c r="F1510" s="43" t="s">
        <v>1573</v>
      </c>
      <c r="G1510" t="s">
        <v>1545</v>
      </c>
    </row>
    <row r="1511" spans="1:7">
      <c r="A1511" s="583" t="s">
        <v>299</v>
      </c>
      <c r="B1511" s="631" t="s">
        <v>1026</v>
      </c>
      <c r="C1511" s="56">
        <v>45896</v>
      </c>
      <c r="D1511" s="43">
        <v>400</v>
      </c>
      <c r="G1511" t="s">
        <v>1545</v>
      </c>
    </row>
    <row r="1512" spans="1:7">
      <c r="A1512" s="628" t="s">
        <v>396</v>
      </c>
      <c r="B1512" s="348" t="s">
        <v>397</v>
      </c>
      <c r="C1512" s="56">
        <v>45896</v>
      </c>
      <c r="D1512" s="43">
        <v>358</v>
      </c>
      <c r="F1512" s="43" t="s">
        <v>1574</v>
      </c>
      <c r="G1512" t="s">
        <v>1545</v>
      </c>
    </row>
    <row r="1513" spans="1:7">
      <c r="A1513" s="643"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8"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1" t="s">
        <v>539</v>
      </c>
      <c r="B1518" s="311" t="s">
        <v>397</v>
      </c>
      <c r="C1518" s="56">
        <v>45897</v>
      </c>
      <c r="F1518" s="43" t="s">
        <v>1164</v>
      </c>
      <c r="G1518" t="s">
        <v>1545</v>
      </c>
    </row>
    <row r="1519" spans="1:7">
      <c r="A1519" s="583" t="s">
        <v>299</v>
      </c>
      <c r="B1519" s="631" t="s">
        <v>1026</v>
      </c>
      <c r="C1519" s="56">
        <v>45897</v>
      </c>
      <c r="D1519" s="43">
        <v>320</v>
      </c>
      <c r="G1519" t="s">
        <v>1545</v>
      </c>
    </row>
    <row r="1520" spans="1:7">
      <c r="A1520" s="628"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3" t="s">
        <v>1069</v>
      </c>
      <c r="B1523" s="315" t="s">
        <v>1579</v>
      </c>
      <c r="C1523" s="56">
        <v>45898</v>
      </c>
      <c r="D1523" s="155">
        <v>1131</v>
      </c>
      <c r="G1523" t="s">
        <v>1545</v>
      </c>
    </row>
    <row r="1524" spans="1:7">
      <c r="A1524" s="644"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5" t="s">
        <v>1026</v>
      </c>
      <c r="C1527" s="56">
        <v>45898</v>
      </c>
      <c r="E1527" s="321">
        <v>390</v>
      </c>
      <c r="F1527" s="43" t="s">
        <v>1582</v>
      </c>
      <c r="G1527" t="s">
        <v>1583</v>
      </c>
    </row>
    <row r="1528" spans="1:7">
      <c r="A1528" s="141"/>
      <c r="B1528" s="525"/>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4"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7" t="s">
        <v>932</v>
      </c>
      <c r="B1537" s="315" t="s">
        <v>1579</v>
      </c>
      <c r="C1537" s="56">
        <v>45903</v>
      </c>
      <c r="D1537" s="155">
        <v>2819</v>
      </c>
      <c r="F1537" s="43" t="s">
        <v>1591</v>
      </c>
      <c r="G1537" t="s">
        <v>1583</v>
      </c>
    </row>
    <row r="1538" spans="1:7">
      <c r="A1538" s="653" t="s">
        <v>922</v>
      </c>
      <c r="B1538" s="315" t="s">
        <v>1026</v>
      </c>
      <c r="C1538" s="56">
        <v>45903</v>
      </c>
      <c r="D1538" s="43">
        <v>130</v>
      </c>
      <c r="F1538" s="43" t="s">
        <v>1592</v>
      </c>
      <c r="G1538" t="s">
        <v>1583</v>
      </c>
    </row>
    <row r="1539" spans="1:7">
      <c r="A1539" s="583" t="s">
        <v>536</v>
      </c>
      <c r="B1539" s="318" t="s">
        <v>1026</v>
      </c>
      <c r="C1539" s="56">
        <v>45903</v>
      </c>
      <c r="D1539" s="43">
        <v>65</v>
      </c>
      <c r="F1539" s="141" t="s">
        <v>1593</v>
      </c>
      <c r="G1539" t="s">
        <v>1583</v>
      </c>
    </row>
    <row r="1540" spans="1:7">
      <c r="A1540" s="648"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8" t="s">
        <v>548</v>
      </c>
      <c r="B1544" s="43" t="s">
        <v>137</v>
      </c>
      <c r="C1544" s="56">
        <v>45904</v>
      </c>
      <c r="D1544" s="43">
        <v>903</v>
      </c>
      <c r="F1544" s="43" t="s">
        <v>1596</v>
      </c>
      <c r="G1544" t="s">
        <v>1583</v>
      </c>
    </row>
    <row r="1545" spans="1:7">
      <c r="A1545" s="653"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3" t="s">
        <v>536</v>
      </c>
      <c r="B1547" s="318" t="s">
        <v>1026</v>
      </c>
      <c r="C1547" s="56">
        <v>45904</v>
      </c>
      <c r="D1547" s="43">
        <v>6</v>
      </c>
      <c r="F1547" s="43" t="s">
        <v>1598</v>
      </c>
      <c r="G1547" t="s">
        <v>1583</v>
      </c>
    </row>
    <row r="1548" spans="1:7">
      <c r="A1548" s="371" t="s">
        <v>1050</v>
      </c>
      <c r="B1548" s="655" t="s">
        <v>1026</v>
      </c>
      <c r="C1548" s="56">
        <v>45905</v>
      </c>
      <c r="D1548" s="43">
        <v>125</v>
      </c>
      <c r="G1548" t="s">
        <v>1583</v>
      </c>
    </row>
    <row r="1549" spans="1:7">
      <c r="A1549" s="247" t="s">
        <v>541</v>
      </c>
      <c r="B1549" s="655" t="s">
        <v>1026</v>
      </c>
      <c r="C1549" s="56">
        <v>45905</v>
      </c>
      <c r="D1549" s="43">
        <v>285</v>
      </c>
      <c r="G1549" t="s">
        <v>1583</v>
      </c>
    </row>
    <row r="1550" spans="1:7">
      <c r="A1550" s="247" t="s">
        <v>914</v>
      </c>
      <c r="B1550" s="731" t="s">
        <v>137</v>
      </c>
      <c r="C1550" s="56">
        <v>45905</v>
      </c>
      <c r="D1550" s="43">
        <v>128</v>
      </c>
      <c r="E1550" s="139">
        <v>2000</v>
      </c>
      <c r="F1550" s="43" t="s">
        <v>1599</v>
      </c>
      <c r="G1550" t="s">
        <v>1583</v>
      </c>
    </row>
    <row r="1551" spans="1:7">
      <c r="A1551" s="247" t="s">
        <v>932</v>
      </c>
      <c r="B1551" s="655" t="s">
        <v>1026</v>
      </c>
      <c r="C1551" s="56">
        <v>45905</v>
      </c>
      <c r="E1551" s="321">
        <v>2062</v>
      </c>
      <c r="G1551" t="s">
        <v>1583</v>
      </c>
    </row>
    <row r="1552" spans="1:7">
      <c r="A1552" s="732" t="s">
        <v>548</v>
      </c>
      <c r="B1552" s="228" t="s">
        <v>141</v>
      </c>
      <c r="C1552" s="56">
        <v>45908</v>
      </c>
      <c r="D1552" s="43">
        <v>254</v>
      </c>
      <c r="F1552" s="43" t="s">
        <v>1600</v>
      </c>
      <c r="G1552" t="s">
        <v>1583</v>
      </c>
    </row>
    <row r="1553" spans="1:7">
      <c r="A1553" s="683" t="s">
        <v>1068</v>
      </c>
      <c r="B1553" s="131" t="s">
        <v>137</v>
      </c>
      <c r="C1553" s="56">
        <v>45908</v>
      </c>
      <c r="D1553" s="155">
        <v>2498</v>
      </c>
      <c r="G1553" t="s">
        <v>1583</v>
      </c>
    </row>
    <row r="1554" spans="1:7">
      <c r="A1554" s="69" t="s">
        <v>909</v>
      </c>
      <c r="B1554" s="684"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3" t="s">
        <v>1068</v>
      </c>
      <c r="B1556" s="131" t="s">
        <v>137</v>
      </c>
      <c r="C1556" s="56">
        <v>45909</v>
      </c>
      <c r="D1556" s="155">
        <v>1192</v>
      </c>
      <c r="F1556" s="43" t="s">
        <v>1603</v>
      </c>
      <c r="G1556" t="s">
        <v>1583</v>
      </c>
    </row>
    <row r="1557" spans="1:7">
      <c r="A1557" s="69" t="s">
        <v>732</v>
      </c>
      <c r="B1557" s="684"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3" t="s">
        <v>1068</v>
      </c>
      <c r="B1560" s="131" t="s">
        <v>137</v>
      </c>
      <c r="C1560" s="56">
        <v>45910</v>
      </c>
      <c r="D1560" s="155">
        <v>1925</v>
      </c>
      <c r="G1560" t="s">
        <v>1583</v>
      </c>
    </row>
    <row r="1561" spans="1:7">
      <c r="A1561" s="69" t="s">
        <v>732</v>
      </c>
      <c r="B1561" s="684" t="s">
        <v>1464</v>
      </c>
      <c r="C1561" s="56">
        <v>45910</v>
      </c>
      <c r="D1561" s="43">
        <v>333</v>
      </c>
      <c r="G1561" t="s">
        <v>1583</v>
      </c>
    </row>
    <row r="1562" spans="1:7">
      <c r="A1562" s="713" t="s">
        <v>938</v>
      </c>
      <c r="B1562" s="131" t="s">
        <v>137</v>
      </c>
      <c r="C1562" s="56">
        <v>45910</v>
      </c>
      <c r="D1562" s="43">
        <v>740</v>
      </c>
      <c r="F1562" s="43" t="s">
        <v>1605</v>
      </c>
      <c r="G1562" t="s">
        <v>1583</v>
      </c>
    </row>
    <row r="1563" spans="1:7">
      <c r="A1563" s="628" t="s">
        <v>376</v>
      </c>
      <c r="B1563" s="631" t="s">
        <v>377</v>
      </c>
      <c r="C1563" s="56">
        <v>45910</v>
      </c>
      <c r="D1563" s="43">
        <v>307</v>
      </c>
      <c r="G1563" t="s">
        <v>1583</v>
      </c>
    </row>
    <row r="1564" spans="1:7">
      <c r="A1564" s="157" t="s">
        <v>541</v>
      </c>
      <c r="B1564" s="684"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4" t="s">
        <v>1464</v>
      </c>
      <c r="C1568" s="56">
        <v>45911</v>
      </c>
      <c r="E1568" s="139">
        <v>662</v>
      </c>
      <c r="F1568" s="43" t="s">
        <v>1186</v>
      </c>
      <c r="G1568" t="s">
        <v>1583</v>
      </c>
    </row>
    <row r="1569" spans="1:7">
      <c r="A1569" s="683"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4" t="s">
        <v>1464</v>
      </c>
      <c r="C1573" s="56">
        <v>45912</v>
      </c>
      <c r="F1573" s="730"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0" t="s">
        <v>1169</v>
      </c>
      <c r="G1575" t="s">
        <v>1583</v>
      </c>
    </row>
    <row r="1576" spans="1:7">
      <c r="A1576" s="88" t="s">
        <v>1050</v>
      </c>
      <c r="B1576" s="398" t="s">
        <v>1026</v>
      </c>
      <c r="C1576" s="56">
        <v>45915</v>
      </c>
      <c r="D1576" s="43">
        <v>42</v>
      </c>
      <c r="F1576" s="69"/>
      <c r="G1576" t="s">
        <v>1583</v>
      </c>
    </row>
    <row r="1577" spans="1:7">
      <c r="A1577" s="69" t="s">
        <v>938</v>
      </c>
      <c r="B1577" s="684" t="s">
        <v>137</v>
      </c>
      <c r="C1577" s="56">
        <v>45915</v>
      </c>
      <c r="D1577" s="155">
        <v>1238</v>
      </c>
      <c r="F1577" s="69"/>
      <c r="G1577" t="s">
        <v>1583</v>
      </c>
    </row>
    <row r="1578" spans="1:7">
      <c r="A1578" s="683"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3" t="s">
        <v>1499</v>
      </c>
      <c r="G1580" t="s">
        <v>1583</v>
      </c>
    </row>
    <row r="1581" spans="1:7">
      <c r="A1581" s="88" t="s">
        <v>1050</v>
      </c>
      <c r="B1581" s="131" t="s">
        <v>1026</v>
      </c>
      <c r="C1581" s="56">
        <v>45916</v>
      </c>
      <c r="D1581" s="43">
        <v>219</v>
      </c>
      <c r="F1581" s="734" t="s">
        <v>1608</v>
      </c>
      <c r="G1581" t="s">
        <v>1583</v>
      </c>
    </row>
    <row r="1582" spans="1:7">
      <c r="A1582" s="69" t="s">
        <v>938</v>
      </c>
      <c r="B1582" s="684" t="s">
        <v>137</v>
      </c>
      <c r="C1582" s="56">
        <v>45916</v>
      </c>
      <c r="D1582" s="155">
        <v>1531</v>
      </c>
      <c r="F1582" s="734"/>
      <c r="G1582" t="s">
        <v>1583</v>
      </c>
    </row>
    <row r="1583" spans="1:7">
      <c r="A1583" s="683" t="s">
        <v>946</v>
      </c>
      <c r="B1583" s="131" t="s">
        <v>1026</v>
      </c>
      <c r="C1583" s="56">
        <v>45916</v>
      </c>
      <c r="E1583" s="321"/>
      <c r="F1583" s="734" t="s">
        <v>1609</v>
      </c>
      <c r="G1583" t="s">
        <v>1583</v>
      </c>
    </row>
    <row r="1584" spans="1:7">
      <c r="A1584" s="69" t="s">
        <v>920</v>
      </c>
      <c r="B1584" s="684" t="s">
        <v>137</v>
      </c>
      <c r="C1584" s="56">
        <v>45916</v>
      </c>
      <c r="D1584" s="155">
        <v>1808</v>
      </c>
      <c r="F1584" s="734"/>
      <c r="G1584" t="s">
        <v>1583</v>
      </c>
    </row>
    <row r="1585" spans="1:7">
      <c r="A1585" s="134" t="s">
        <v>376</v>
      </c>
      <c r="B1585" s="247" t="s">
        <v>377</v>
      </c>
      <c r="C1585" s="56">
        <v>45916</v>
      </c>
      <c r="F1585" s="734" t="s">
        <v>1152</v>
      </c>
      <c r="G1585" t="s">
        <v>1583</v>
      </c>
    </row>
    <row r="1586" spans="1:7">
      <c r="A1586" s="157" t="s">
        <v>396</v>
      </c>
      <c r="B1586" s="247" t="s">
        <v>1026</v>
      </c>
      <c r="C1586" s="56">
        <v>45916</v>
      </c>
      <c r="F1586" s="735" t="s">
        <v>1610</v>
      </c>
      <c r="G1586" t="s">
        <v>1583</v>
      </c>
    </row>
    <row r="1587" spans="1:7">
      <c r="A1587" s="115" t="s">
        <v>536</v>
      </c>
      <c r="B1587" s="371" t="s">
        <v>1026</v>
      </c>
      <c r="C1587" s="56">
        <v>45916</v>
      </c>
      <c r="F1587" s="733" t="s">
        <v>1610</v>
      </c>
      <c r="G1587" t="s">
        <v>1583</v>
      </c>
    </row>
    <row r="1588" spans="1:7">
      <c r="A1588" s="648" t="s">
        <v>399</v>
      </c>
      <c r="B1588" s="141" t="s">
        <v>249</v>
      </c>
      <c r="C1588" s="56">
        <v>45916</v>
      </c>
      <c r="D1588" s="43">
        <v>251</v>
      </c>
      <c r="F1588" s="734"/>
      <c r="G1588" t="s">
        <v>1583</v>
      </c>
    </row>
    <row r="1589" spans="1:7">
      <c r="A1589" s="134" t="s">
        <v>1072</v>
      </c>
      <c r="B1589" s="311" t="s">
        <v>1026</v>
      </c>
      <c r="C1589" s="56">
        <v>45917</v>
      </c>
      <c r="D1589" s="43">
        <v>75</v>
      </c>
      <c r="F1589" s="734"/>
      <c r="G1589" t="s">
        <v>1583</v>
      </c>
    </row>
    <row r="1590" spans="1:7">
      <c r="A1590" s="141" t="s">
        <v>938</v>
      </c>
      <c r="B1590" s="351" t="s">
        <v>137</v>
      </c>
      <c r="C1590" s="56">
        <v>45917</v>
      </c>
      <c r="D1590" s="155">
        <v>1250</v>
      </c>
      <c r="F1590" s="734" t="s">
        <v>1611</v>
      </c>
      <c r="G1590" t="s">
        <v>1583</v>
      </c>
    </row>
    <row r="1591" spans="1:7">
      <c r="A1591" s="737" t="s">
        <v>548</v>
      </c>
      <c r="B1591" s="315" t="s">
        <v>141</v>
      </c>
      <c r="C1591" s="56">
        <v>45917</v>
      </c>
      <c r="D1591" s="43">
        <v>250</v>
      </c>
      <c r="F1591" s="734" t="s">
        <v>1612</v>
      </c>
      <c r="G1591" t="s">
        <v>1583</v>
      </c>
    </row>
    <row r="1592" spans="1:7">
      <c r="A1592" s="141" t="s">
        <v>920</v>
      </c>
      <c r="B1592" s="739" t="s">
        <v>137</v>
      </c>
      <c r="C1592" s="56">
        <v>45917</v>
      </c>
      <c r="F1592" s="734" t="s">
        <v>1613</v>
      </c>
      <c r="G1592" t="s">
        <v>1583</v>
      </c>
    </row>
    <row r="1593" spans="1:7">
      <c r="A1593" s="134" t="s">
        <v>376</v>
      </c>
      <c r="B1593" s="141" t="s">
        <v>377</v>
      </c>
      <c r="C1593" s="56">
        <v>45917</v>
      </c>
      <c r="D1593" s="43">
        <v>863</v>
      </c>
      <c r="F1593" s="734"/>
      <c r="G1593" t="s">
        <v>1583</v>
      </c>
    </row>
    <row r="1594" spans="1:7">
      <c r="A1594" s="738" t="s">
        <v>399</v>
      </c>
      <c r="B1594" s="305" t="s">
        <v>249</v>
      </c>
      <c r="C1594" s="56">
        <v>45917</v>
      </c>
      <c r="D1594" s="43">
        <v>253</v>
      </c>
      <c r="F1594" s="734"/>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4"/>
      <c r="G1596" t="s">
        <v>1583</v>
      </c>
    </row>
    <row r="1597" spans="1:7">
      <c r="A1597" s="88" t="s">
        <v>518</v>
      </c>
      <c r="B1597" s="398" t="s">
        <v>1026</v>
      </c>
      <c r="C1597" s="56">
        <v>45918</v>
      </c>
      <c r="D1597" s="43">
        <v>97</v>
      </c>
      <c r="F1597" s="734" t="s">
        <v>1614</v>
      </c>
      <c r="G1597" t="s">
        <v>1583</v>
      </c>
    </row>
    <row r="1598" spans="1:7">
      <c r="A1598" s="88" t="s">
        <v>1050</v>
      </c>
      <c r="B1598" s="398" t="s">
        <v>1026</v>
      </c>
      <c r="C1598" s="56">
        <v>45918</v>
      </c>
      <c r="F1598" s="734" t="s">
        <v>1615</v>
      </c>
      <c r="G1598" t="s">
        <v>1583</v>
      </c>
    </row>
    <row r="1599" spans="1:7">
      <c r="A1599" s="69" t="s">
        <v>938</v>
      </c>
      <c r="B1599" s="684" t="s">
        <v>137</v>
      </c>
      <c r="C1599" s="56">
        <v>45918</v>
      </c>
      <c r="D1599" s="43">
        <v>361</v>
      </c>
      <c r="F1599" s="734" t="s">
        <v>1616</v>
      </c>
      <c r="G1599" t="s">
        <v>1583</v>
      </c>
    </row>
    <row r="1600" spans="1:7">
      <c r="A1600" s="69" t="s">
        <v>920</v>
      </c>
      <c r="B1600" s="684" t="s">
        <v>137</v>
      </c>
      <c r="C1600" s="56">
        <v>45918</v>
      </c>
      <c r="D1600" s="155">
        <v>1204</v>
      </c>
      <c r="F1600" s="734" t="s">
        <v>1617</v>
      </c>
      <c r="G1600" t="s">
        <v>1583</v>
      </c>
    </row>
    <row r="1601" spans="1:7">
      <c r="A1601" s="69" t="s">
        <v>550</v>
      </c>
      <c r="B1601" s="684" t="s">
        <v>137</v>
      </c>
      <c r="C1601" s="56">
        <v>45918</v>
      </c>
      <c r="D1601" s="155">
        <v>562</v>
      </c>
      <c r="F1601" s="734"/>
      <c r="G1601" t="s">
        <v>1583</v>
      </c>
    </row>
    <row r="1602" spans="1:7">
      <c r="A1602" s="69" t="s">
        <v>927</v>
      </c>
      <c r="B1602" s="684" t="s">
        <v>137</v>
      </c>
      <c r="C1602" s="56">
        <v>45918</v>
      </c>
      <c r="D1602" s="155">
        <v>754</v>
      </c>
      <c r="F1602" s="734" t="s">
        <v>1618</v>
      </c>
      <c r="G1602" t="s">
        <v>1583</v>
      </c>
    </row>
    <row r="1603" spans="1:7">
      <c r="A1603" s="134" t="s">
        <v>376</v>
      </c>
      <c r="B1603" s="247" t="s">
        <v>377</v>
      </c>
      <c r="C1603" s="56">
        <v>45918</v>
      </c>
      <c r="D1603" s="43">
        <v>499</v>
      </c>
      <c r="F1603" s="734"/>
      <c r="G1603" t="s">
        <v>1583</v>
      </c>
    </row>
    <row r="1604" spans="1:7">
      <c r="A1604" s="648" t="s">
        <v>399</v>
      </c>
      <c r="B1604" s="141" t="s">
        <v>249</v>
      </c>
      <c r="C1604" s="56">
        <v>45918</v>
      </c>
      <c r="D1604" s="155">
        <v>1076</v>
      </c>
      <c r="F1604" s="734"/>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4"/>
      <c r="G1606" t="s">
        <v>1583</v>
      </c>
    </row>
    <row r="1607" spans="1:7">
      <c r="A1607" s="744" t="s">
        <v>946</v>
      </c>
      <c r="B1607" s="398" t="s">
        <v>1026</v>
      </c>
      <c r="C1607" s="56">
        <v>45919</v>
      </c>
      <c r="E1607" s="321">
        <v>1210</v>
      </c>
      <c r="F1607" s="734" t="s">
        <v>1619</v>
      </c>
      <c r="G1607" t="s">
        <v>1583</v>
      </c>
    </row>
    <row r="1608" spans="1:7">
      <c r="A1608" s="134" t="s">
        <v>376</v>
      </c>
      <c r="B1608" s="247" t="s">
        <v>377</v>
      </c>
      <c r="C1608" s="56">
        <v>45919</v>
      </c>
      <c r="D1608" s="43">
        <v>475</v>
      </c>
      <c r="F1608" s="734"/>
      <c r="G1608" t="s">
        <v>1583</v>
      </c>
    </row>
    <row r="1609" spans="1:7">
      <c r="A1609" s="648" t="s">
        <v>399</v>
      </c>
      <c r="B1609" s="141" t="s">
        <v>249</v>
      </c>
      <c r="C1609" s="56">
        <v>45919</v>
      </c>
      <c r="F1609" s="337" t="s">
        <v>1302</v>
      </c>
      <c r="G1609" t="s">
        <v>1583</v>
      </c>
    </row>
    <row r="1610" spans="1:7">
      <c r="A1610" s="683" t="s">
        <v>1068</v>
      </c>
      <c r="B1610" s="131" t="s">
        <v>137</v>
      </c>
      <c r="C1610" s="56">
        <v>45919</v>
      </c>
      <c r="F1610" s="141" t="s">
        <v>1620</v>
      </c>
      <c r="G1610" t="s">
        <v>1583</v>
      </c>
    </row>
    <row r="1611" spans="1:7">
      <c r="A1611" s="326" t="s">
        <v>78</v>
      </c>
      <c r="B1611" s="398" t="s">
        <v>1026</v>
      </c>
      <c r="C1611" s="56">
        <v>45922</v>
      </c>
      <c r="D1611" s="43">
        <v>153</v>
      </c>
      <c r="F1611" s="765"/>
      <c r="G1611" t="s">
        <v>1583</v>
      </c>
    </row>
    <row r="1612" spans="1:7">
      <c r="A1612" s="318" t="s">
        <v>1073</v>
      </c>
      <c r="B1612" s="141" t="s">
        <v>233</v>
      </c>
      <c r="C1612" s="56">
        <v>45922</v>
      </c>
      <c r="D1612" s="43">
        <v>329</v>
      </c>
      <c r="F1612" s="734"/>
      <c r="G1612" t="s">
        <v>1583</v>
      </c>
    </row>
    <row r="1613" spans="1:7">
      <c r="A1613" s="304" t="s">
        <v>550</v>
      </c>
      <c r="B1613" s="739" t="s">
        <v>137</v>
      </c>
      <c r="C1613" s="56">
        <v>45922</v>
      </c>
      <c r="D1613" s="43">
        <v>978</v>
      </c>
      <c r="F1613" s="734" t="s">
        <v>1621</v>
      </c>
      <c r="G1613" t="s">
        <v>1583</v>
      </c>
    </row>
    <row r="1614" spans="1:7">
      <c r="A1614" s="305" t="s">
        <v>927</v>
      </c>
      <c r="B1614" s="746" t="s">
        <v>137</v>
      </c>
      <c r="C1614" s="56">
        <v>45922</v>
      </c>
      <c r="D1614" s="43">
        <v>1285</v>
      </c>
      <c r="F1614" s="734" t="s">
        <v>1622</v>
      </c>
      <c r="G1614" t="s">
        <v>1583</v>
      </c>
    </row>
    <row r="1615" spans="1:7">
      <c r="A1615" s="745" t="s">
        <v>581</v>
      </c>
      <c r="B1615" s="311" t="s">
        <v>1026</v>
      </c>
      <c r="C1615" s="56">
        <v>45922</v>
      </c>
      <c r="D1615" s="43">
        <v>335</v>
      </c>
      <c r="F1615" s="734" t="s">
        <v>1466</v>
      </c>
      <c r="G1615" t="s">
        <v>1583</v>
      </c>
    </row>
    <row r="1616" spans="1:7">
      <c r="A1616" s="134" t="s">
        <v>376</v>
      </c>
      <c r="B1616" s="141" t="s">
        <v>377</v>
      </c>
      <c r="C1616" s="56">
        <v>45922</v>
      </c>
      <c r="D1616" s="43">
        <v>839</v>
      </c>
      <c r="F1616" s="734"/>
      <c r="G1616" t="s">
        <v>1583</v>
      </c>
    </row>
    <row r="1617" spans="1:7">
      <c r="A1617" s="747" t="s">
        <v>399</v>
      </c>
      <c r="B1617" s="304" t="s">
        <v>249</v>
      </c>
      <c r="C1617" s="56">
        <v>45922</v>
      </c>
      <c r="F1617" s="311" t="s">
        <v>1623</v>
      </c>
      <c r="G1617" t="s">
        <v>1583</v>
      </c>
    </row>
    <row r="1618" spans="1:7">
      <c r="A1618" s="325" t="s">
        <v>531</v>
      </c>
      <c r="B1618" s="305" t="s">
        <v>72</v>
      </c>
      <c r="C1618" s="56">
        <v>45922</v>
      </c>
      <c r="D1618" s="43">
        <v>60</v>
      </c>
      <c r="E1618" s="139">
        <v>1005</v>
      </c>
      <c r="F1618" s="734"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4" t="s">
        <v>1073</v>
      </c>
      <c r="B1621" s="757" t="s">
        <v>233</v>
      </c>
      <c r="C1621" s="56">
        <v>45923</v>
      </c>
      <c r="D1621" s="43">
        <v>427</v>
      </c>
      <c r="F1621" s="69"/>
      <c r="G1621" t="s">
        <v>1583</v>
      </c>
    </row>
    <row r="1622" spans="1:7">
      <c r="A1622" s="69" t="s">
        <v>550</v>
      </c>
      <c r="B1622" s="752" t="s">
        <v>137</v>
      </c>
      <c r="C1622" s="56">
        <v>45923</v>
      </c>
      <c r="D1622" s="43">
        <v>675</v>
      </c>
      <c r="F1622" s="69"/>
      <c r="G1622" t="s">
        <v>1583</v>
      </c>
    </row>
    <row r="1623" spans="1:7">
      <c r="A1623" s="69" t="s">
        <v>553</v>
      </c>
      <c r="B1623" s="753" t="s">
        <v>137</v>
      </c>
      <c r="C1623" s="56">
        <v>45923</v>
      </c>
      <c r="D1623" s="155">
        <v>1231</v>
      </c>
      <c r="F1623" s="69" t="s">
        <v>1626</v>
      </c>
      <c r="G1623" t="s">
        <v>1583</v>
      </c>
    </row>
    <row r="1624" spans="1:7">
      <c r="A1624" s="751" t="s">
        <v>581</v>
      </c>
      <c r="B1624" s="754" t="s">
        <v>1026</v>
      </c>
      <c r="C1624" s="56">
        <v>45923</v>
      </c>
      <c r="E1624" s="139">
        <v>335</v>
      </c>
      <c r="F1624" s="69" t="s">
        <v>1627</v>
      </c>
      <c r="G1624" t="s">
        <v>1583</v>
      </c>
    </row>
    <row r="1625" spans="1:7">
      <c r="A1625" s="755" t="s">
        <v>376</v>
      </c>
      <c r="B1625" s="247" t="s">
        <v>377</v>
      </c>
      <c r="C1625" s="56">
        <v>45923</v>
      </c>
      <c r="F1625" s="760" t="s">
        <v>1628</v>
      </c>
      <c r="G1625" t="s">
        <v>1583</v>
      </c>
    </row>
    <row r="1626" spans="1:7">
      <c r="A1626" s="648" t="s">
        <v>399</v>
      </c>
      <c r="B1626" s="757" t="s">
        <v>249</v>
      </c>
      <c r="C1626" s="56">
        <v>45923</v>
      </c>
      <c r="D1626" s="43">
        <v>120</v>
      </c>
      <c r="F1626" s="69"/>
      <c r="G1626" t="s">
        <v>1583</v>
      </c>
    </row>
    <row r="1627" spans="1:7">
      <c r="A1627" s="157" t="s">
        <v>396</v>
      </c>
      <c r="B1627" s="247" t="s">
        <v>72</v>
      </c>
      <c r="C1627" s="56">
        <v>45923</v>
      </c>
      <c r="F1627" s="141" t="s">
        <v>1499</v>
      </c>
      <c r="G1627" t="s">
        <v>1583</v>
      </c>
    </row>
    <row r="1628" spans="1:7">
      <c r="A1628" s="756"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4" t="s">
        <v>1073</v>
      </c>
      <c r="B1630" s="141" t="s">
        <v>233</v>
      </c>
      <c r="C1630" s="56">
        <v>45924</v>
      </c>
      <c r="D1630" s="43">
        <v>537</v>
      </c>
      <c r="F1630" s="69"/>
      <c r="G1630" t="s">
        <v>1583</v>
      </c>
    </row>
    <row r="1631" spans="1:7">
      <c r="A1631" s="148" t="s">
        <v>556</v>
      </c>
      <c r="B1631" s="762" t="s">
        <v>137</v>
      </c>
      <c r="C1631" s="336">
        <v>45924</v>
      </c>
      <c r="D1631" s="155">
        <v>1205</v>
      </c>
      <c r="F1631" s="69" t="s">
        <v>1629</v>
      </c>
      <c r="G1631" t="s">
        <v>1583</v>
      </c>
    </row>
    <row r="1632" spans="1:7">
      <c r="A1632" s="69" t="s">
        <v>553</v>
      </c>
      <c r="B1632" s="395" t="s">
        <v>137</v>
      </c>
      <c r="C1632" s="56">
        <v>45924</v>
      </c>
      <c r="D1632" s="764">
        <v>1538</v>
      </c>
      <c r="F1632" s="69" t="s">
        <v>1630</v>
      </c>
      <c r="G1632" t="s">
        <v>1583</v>
      </c>
    </row>
    <row r="1633" spans="1:7">
      <c r="A1633" s="761" t="s">
        <v>904</v>
      </c>
      <c r="B1633" s="395" t="s">
        <v>1026</v>
      </c>
      <c r="C1633" s="56">
        <v>45924</v>
      </c>
      <c r="D1633" s="161">
        <v>240</v>
      </c>
      <c r="F1633" s="69"/>
      <c r="G1633" t="s">
        <v>1583</v>
      </c>
    </row>
    <row r="1634" spans="1:7">
      <c r="A1634" s="761" t="s">
        <v>938</v>
      </c>
      <c r="B1634" s="395" t="s">
        <v>137</v>
      </c>
      <c r="C1634" s="56">
        <v>45924</v>
      </c>
      <c r="D1634" s="161"/>
      <c r="F1634" s="337" t="s">
        <v>1631</v>
      </c>
      <c r="G1634" t="s">
        <v>1583</v>
      </c>
    </row>
    <row r="1635" spans="1:7">
      <c r="A1635" s="69" t="s">
        <v>550</v>
      </c>
      <c r="B1635" s="752" t="s">
        <v>137</v>
      </c>
      <c r="C1635" s="56">
        <v>45924</v>
      </c>
      <c r="D1635" s="161">
        <v>170</v>
      </c>
      <c r="F1635" s="141" t="s">
        <v>1632</v>
      </c>
      <c r="G1635" t="s">
        <v>1583</v>
      </c>
    </row>
    <row r="1636" spans="1:7">
      <c r="A1636" s="763" t="s">
        <v>376</v>
      </c>
      <c r="B1636" s="399" t="s">
        <v>377</v>
      </c>
      <c r="C1636" s="344">
        <v>45924</v>
      </c>
      <c r="D1636" s="43">
        <v>616</v>
      </c>
      <c r="F1636" s="91"/>
      <c r="G1636" t="s">
        <v>1583</v>
      </c>
    </row>
    <row r="1637" spans="1:7">
      <c r="A1637" s="648" t="s">
        <v>399</v>
      </c>
      <c r="B1637" s="757" t="s">
        <v>249</v>
      </c>
      <c r="C1637" s="56">
        <v>45924</v>
      </c>
      <c r="D1637" s="43">
        <v>190</v>
      </c>
      <c r="F1637" s="69"/>
      <c r="G1637" t="s">
        <v>1583</v>
      </c>
    </row>
    <row r="1638" spans="1:7">
      <c r="A1638" s="157" t="s">
        <v>299</v>
      </c>
      <c r="B1638" s="247" t="s">
        <v>1026</v>
      </c>
      <c r="C1638" s="56">
        <v>45924</v>
      </c>
      <c r="D1638" s="43">
        <v>362</v>
      </c>
      <c r="F1638" s="30"/>
      <c r="G1638" t="s">
        <v>1583</v>
      </c>
    </row>
    <row r="1639" spans="1:7">
      <c r="A1639" s="756" t="s">
        <v>1074</v>
      </c>
      <c r="B1639" s="432" t="s">
        <v>823</v>
      </c>
      <c r="C1639" s="56">
        <v>45924</v>
      </c>
      <c r="F1639" s="311" t="s">
        <v>1633</v>
      </c>
      <c r="G1639" t="s">
        <v>1583</v>
      </c>
    </row>
    <row r="1640" spans="1:7">
      <c r="A1640" s="783" t="s">
        <v>525</v>
      </c>
      <c r="B1640" s="131" t="s">
        <v>249</v>
      </c>
      <c r="C1640" s="56">
        <v>45924</v>
      </c>
      <c r="D1640" s="43">
        <v>406</v>
      </c>
      <c r="F1640" s="30"/>
      <c r="G1640" t="s">
        <v>1583</v>
      </c>
    </row>
    <row r="1641" spans="1:7">
      <c r="A1641" s="757" t="s">
        <v>938</v>
      </c>
      <c r="B1641" s="631" t="s">
        <v>1026</v>
      </c>
      <c r="C1641" s="56">
        <v>45924</v>
      </c>
      <c r="E1641" s="321">
        <v>1837</v>
      </c>
      <c r="F1641" s="69" t="s">
        <v>1634</v>
      </c>
      <c r="G1641" t="s">
        <v>1583</v>
      </c>
    </row>
    <row r="1642" spans="1:7">
      <c r="A1642" s="757" t="s">
        <v>920</v>
      </c>
      <c r="B1642" s="631" t="s">
        <v>1026</v>
      </c>
      <c r="C1642" s="56">
        <v>45924</v>
      </c>
      <c r="E1642" s="139">
        <v>731</v>
      </c>
      <c r="F1642" s="69" t="s">
        <v>1634</v>
      </c>
      <c r="G1642" t="s">
        <v>1583</v>
      </c>
    </row>
    <row r="1643" spans="1:7">
      <c r="A1643" s="757" t="s">
        <v>550</v>
      </c>
      <c r="B1643" s="631" t="s">
        <v>1026</v>
      </c>
      <c r="C1643" s="56">
        <v>45924</v>
      </c>
      <c r="E1643" s="139">
        <v>178</v>
      </c>
      <c r="F1643" s="69" t="s">
        <v>1634</v>
      </c>
      <c r="G1643" t="s">
        <v>1583</v>
      </c>
    </row>
    <row r="1644" spans="1:7">
      <c r="A1644" s="757" t="s">
        <v>1076</v>
      </c>
      <c r="B1644" s="631"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4" t="s">
        <v>1073</v>
      </c>
      <c r="B1646" s="141" t="s">
        <v>233</v>
      </c>
      <c r="C1646" s="56">
        <v>45925</v>
      </c>
      <c r="D1646" s="43">
        <v>646</v>
      </c>
      <c r="F1646" s="69" t="s">
        <v>1255</v>
      </c>
      <c r="G1646" t="s">
        <v>1583</v>
      </c>
    </row>
    <row r="1647" spans="1:7">
      <c r="A1647" s="69" t="s">
        <v>556</v>
      </c>
      <c r="B1647" s="752" t="s">
        <v>137</v>
      </c>
      <c r="C1647" s="56">
        <v>45925</v>
      </c>
      <c r="D1647" s="155">
        <v>1000</v>
      </c>
      <c r="F1647" s="30"/>
      <c r="G1647" t="s">
        <v>1583</v>
      </c>
    </row>
    <row r="1648" spans="1:7">
      <c r="A1648" s="69" t="s">
        <v>553</v>
      </c>
      <c r="B1648" s="753" t="s">
        <v>137</v>
      </c>
      <c r="C1648" s="56">
        <v>45925</v>
      </c>
      <c r="D1648" s="155">
        <v>1377</v>
      </c>
      <c r="F1648" s="69" t="s">
        <v>1635</v>
      </c>
      <c r="G1648" t="s">
        <v>1583</v>
      </c>
    </row>
    <row r="1649" spans="1:7">
      <c r="A1649" s="751" t="s">
        <v>904</v>
      </c>
      <c r="B1649" s="754" t="s">
        <v>1026</v>
      </c>
      <c r="C1649" s="56">
        <v>45925</v>
      </c>
      <c r="D1649" s="43">
        <v>504</v>
      </c>
      <c r="F1649" s="30"/>
      <c r="G1649" t="s">
        <v>1583</v>
      </c>
    </row>
    <row r="1650" spans="1:7">
      <c r="A1650" s="238" t="s">
        <v>1075</v>
      </c>
      <c r="B1650" s="238" t="s">
        <v>1636</v>
      </c>
      <c r="C1650" s="56">
        <v>45925</v>
      </c>
      <c r="F1650" s="311" t="s">
        <v>1637</v>
      </c>
      <c r="G1650" t="s">
        <v>1583</v>
      </c>
    </row>
    <row r="1651" spans="1:7">
      <c r="A1651" s="755" t="s">
        <v>376</v>
      </c>
      <c r="B1651" s="247" t="s">
        <v>377</v>
      </c>
      <c r="C1651" s="56">
        <v>45925</v>
      </c>
      <c r="D1651" s="43">
        <v>969</v>
      </c>
      <c r="G1651" t="s">
        <v>1583</v>
      </c>
    </row>
    <row r="1652" spans="1:7">
      <c r="A1652" s="648" t="s">
        <v>399</v>
      </c>
      <c r="B1652" s="757" t="s">
        <v>249</v>
      </c>
      <c r="C1652" s="56">
        <v>45925</v>
      </c>
      <c r="F1652" s="141" t="s">
        <v>1169</v>
      </c>
      <c r="G1652" t="s">
        <v>1583</v>
      </c>
    </row>
    <row r="1653" spans="1:7">
      <c r="A1653" s="157" t="s">
        <v>299</v>
      </c>
      <c r="B1653" s="247" t="s">
        <v>1026</v>
      </c>
      <c r="C1653" s="56">
        <v>45925</v>
      </c>
      <c r="D1653" s="43">
        <v>399</v>
      </c>
      <c r="G1653" t="s">
        <v>1583</v>
      </c>
    </row>
    <row r="1654" spans="1:7">
      <c r="A1654" s="756"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39" t="s">
        <v>1639</v>
      </c>
      <c r="C1656" s="56">
        <v>45926</v>
      </c>
      <c r="D1656" s="155">
        <v>3471</v>
      </c>
      <c r="G1656" t="s">
        <v>1583</v>
      </c>
    </row>
    <row r="1657" spans="1:7">
      <c r="A1657" s="304" t="s">
        <v>1075</v>
      </c>
      <c r="B1657" s="739" t="s">
        <v>377</v>
      </c>
      <c r="C1657" s="56">
        <v>45926</v>
      </c>
      <c r="D1657" s="43">
        <v>300</v>
      </c>
      <c r="G1657" t="s">
        <v>1583</v>
      </c>
    </row>
    <row r="1658" spans="1:7">
      <c r="A1658" s="304" t="s">
        <v>1075</v>
      </c>
      <c r="B1658" s="739" t="s">
        <v>1640</v>
      </c>
      <c r="C1658" s="56">
        <v>45926</v>
      </c>
      <c r="D1658" s="43">
        <v>364</v>
      </c>
      <c r="G1658" t="s">
        <v>1583</v>
      </c>
    </row>
    <row r="1659" spans="1:7">
      <c r="A1659" s="134" t="s">
        <v>376</v>
      </c>
      <c r="B1659" s="141" t="s">
        <v>377</v>
      </c>
      <c r="C1659" s="56">
        <v>45926</v>
      </c>
      <c r="D1659" s="43">
        <v>552</v>
      </c>
      <c r="G1659" t="s">
        <v>1583</v>
      </c>
    </row>
    <row r="1660" spans="1:7">
      <c r="A1660" s="747"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39" t="s">
        <v>1639</v>
      </c>
      <c r="C1665" s="56">
        <v>45929</v>
      </c>
      <c r="D1665" s="155">
        <v>1491</v>
      </c>
      <c r="G1665" t="s">
        <v>1583</v>
      </c>
    </row>
    <row r="1666" spans="1:7">
      <c r="A1666" s="304" t="s">
        <v>1075</v>
      </c>
      <c r="B1666" s="739" t="s">
        <v>1640</v>
      </c>
      <c r="C1666" s="56">
        <v>45929</v>
      </c>
      <c r="D1666" s="43">
        <v>760</v>
      </c>
      <c r="G1666" t="s">
        <v>1583</v>
      </c>
    </row>
    <row r="1667" spans="1:7">
      <c r="A1667" s="787" t="s">
        <v>553</v>
      </c>
      <c r="B1667" s="737"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7"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1"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2" t="s">
        <v>927</v>
      </c>
      <c r="B1680" s="141" t="s">
        <v>1026</v>
      </c>
      <c r="C1680" s="310">
        <v>45930</v>
      </c>
      <c r="E1680" s="139">
        <v>536</v>
      </c>
      <c r="G1680" t="s">
        <v>1583</v>
      </c>
    </row>
    <row r="1681" spans="1:7">
      <c r="A1681" s="802" t="s">
        <v>553</v>
      </c>
      <c r="B1681" s="141" t="s">
        <v>1026</v>
      </c>
      <c r="C1681" s="310">
        <v>45930</v>
      </c>
      <c r="E1681" s="139">
        <v>886</v>
      </c>
      <c r="G1681" t="s">
        <v>1583</v>
      </c>
    </row>
    <row r="1682" spans="1:7">
      <c r="A1682" s="134" t="s">
        <v>376</v>
      </c>
      <c r="B1682" s="304" t="s">
        <v>377</v>
      </c>
      <c r="C1682" s="56">
        <v>45930</v>
      </c>
      <c r="D1682" s="155">
        <v>1016</v>
      </c>
      <c r="G1682" t="s">
        <v>1583</v>
      </c>
    </row>
    <row r="1683" spans="1:7">
      <c r="A1683" s="802"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5"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3"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7" t="s">
        <v>564</v>
      </c>
      <c r="B1692" s="737" t="s">
        <v>137</v>
      </c>
      <c r="C1692" s="56">
        <v>45931</v>
      </c>
      <c r="D1692" s="155">
        <v>1118</v>
      </c>
      <c r="G1692" t="s">
        <v>1649</v>
      </c>
    </row>
    <row r="1693" spans="1:7">
      <c r="A1693" s="134" t="s">
        <v>376</v>
      </c>
      <c r="B1693" s="141" t="s">
        <v>377</v>
      </c>
      <c r="C1693" s="56">
        <v>45931</v>
      </c>
      <c r="D1693" s="43">
        <v>312</v>
      </c>
      <c r="G1693" t="s">
        <v>1649</v>
      </c>
    </row>
    <row r="1694" spans="1:7">
      <c r="A1694" s="551"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3"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7" t="s">
        <v>564</v>
      </c>
      <c r="B1701" s="737" t="s">
        <v>137</v>
      </c>
      <c r="C1701" s="56">
        <v>45932</v>
      </c>
      <c r="D1701" s="155">
        <v>1472</v>
      </c>
      <c r="F1701" s="43" t="s">
        <v>1604</v>
      </c>
      <c r="G1701" t="s">
        <v>1649</v>
      </c>
    </row>
    <row r="1702" spans="1:7">
      <c r="A1702" s="803"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1"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3" t="s">
        <v>518</v>
      </c>
      <c r="B1718" s="311" t="s">
        <v>1026</v>
      </c>
      <c r="C1718" s="56">
        <v>45936</v>
      </c>
      <c r="D1718" s="43">
        <v>175</v>
      </c>
      <c r="G1718" t="s">
        <v>1649</v>
      </c>
    </row>
    <row r="1719" spans="1:7">
      <c r="A1719" s="583"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6"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49"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6"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6" t="s">
        <v>564</v>
      </c>
      <c r="B1743" s="141" t="s">
        <v>137</v>
      </c>
      <c r="C1743" s="56">
        <v>45938</v>
      </c>
      <c r="D1743" s="43">
        <v>308</v>
      </c>
      <c r="F1743" s="43" t="s">
        <v>1665</v>
      </c>
      <c r="G1743" t="s">
        <v>1649</v>
      </c>
    </row>
    <row r="1744" spans="1:7">
      <c r="A1744" s="647"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3" t="s">
        <v>515</v>
      </c>
      <c r="B1749" s="398" t="s">
        <v>1026</v>
      </c>
      <c r="C1749" s="56">
        <v>45939</v>
      </c>
      <c r="D1749" s="43">
        <v>270</v>
      </c>
      <c r="G1749" t="s">
        <v>1649</v>
      </c>
    </row>
    <row r="1750" spans="1:7">
      <c r="A1750" s="88" t="s">
        <v>1044</v>
      </c>
      <c r="B1750" s="398" t="s">
        <v>1026</v>
      </c>
      <c r="C1750" s="56">
        <v>45939</v>
      </c>
      <c r="D1750" s="43">
        <v>229</v>
      </c>
      <c r="G1750" t="s">
        <v>1649</v>
      </c>
    </row>
    <row r="1751" spans="1:7">
      <c r="A1751" s="683" t="s">
        <v>182</v>
      </c>
      <c r="B1751" s="683" t="s">
        <v>137</v>
      </c>
      <c r="C1751" s="56">
        <v>45939</v>
      </c>
      <c r="D1751" s="43">
        <v>980</v>
      </c>
      <c r="F1751" s="43" t="s">
        <v>1471</v>
      </c>
      <c r="G1751" t="s">
        <v>1649</v>
      </c>
    </row>
    <row r="1752" spans="1:7">
      <c r="A1752" s="334" t="s">
        <v>1075</v>
      </c>
      <c r="B1752" s="395" t="s">
        <v>1667</v>
      </c>
      <c r="C1752" s="56">
        <v>45939</v>
      </c>
      <c r="F1752" s="730" t="s">
        <v>1339</v>
      </c>
      <c r="G1752" t="s">
        <v>1649</v>
      </c>
    </row>
    <row r="1753" spans="1:7">
      <c r="A1753" s="761" t="s">
        <v>564</v>
      </c>
      <c r="B1753" s="395" t="s">
        <v>137</v>
      </c>
      <c r="C1753" s="56">
        <v>45939</v>
      </c>
      <c r="F1753" s="618"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3" t="s">
        <v>1074</v>
      </c>
      <c r="B1756" s="398" t="s">
        <v>1026</v>
      </c>
      <c r="C1756" s="56">
        <v>45939</v>
      </c>
      <c r="D1756" s="43">
        <v>508</v>
      </c>
      <c r="G1756" t="s">
        <v>1649</v>
      </c>
    </row>
    <row r="1757" spans="1:7">
      <c r="A1757" s="756" t="s">
        <v>1074</v>
      </c>
      <c r="B1757" s="161" t="s">
        <v>823</v>
      </c>
      <c r="C1757" s="56">
        <v>45939</v>
      </c>
      <c r="F1757" s="618"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3"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7"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3" t="s">
        <v>1050</v>
      </c>
      <c r="B1769" s="315" t="s">
        <v>1026</v>
      </c>
      <c r="C1769" s="56">
        <v>45943</v>
      </c>
      <c r="F1769" s="924" t="s">
        <v>1673</v>
      </c>
      <c r="G1769" t="s">
        <v>1649</v>
      </c>
    </row>
    <row r="1770" spans="1:7">
      <c r="A1770" s="923" t="s">
        <v>523</v>
      </c>
      <c r="B1770" s="737"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7" t="s">
        <v>566</v>
      </c>
      <c r="B1773" s="305" t="s">
        <v>137</v>
      </c>
      <c r="C1773" s="56">
        <v>45943</v>
      </c>
      <c r="D1773" s="155">
        <v>1768</v>
      </c>
      <c r="G1773" t="s">
        <v>1649</v>
      </c>
    </row>
    <row r="1774" spans="1:7">
      <c r="A1774" s="925"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5" t="s">
        <v>1026</v>
      </c>
      <c r="C1776" s="56">
        <v>45943</v>
      </c>
      <c r="D1776" s="43">
        <v>60</v>
      </c>
      <c r="G1776" t="s">
        <v>1649</v>
      </c>
    </row>
    <row r="1777" spans="1:7">
      <c r="A1777" s="123" t="s">
        <v>1044</v>
      </c>
      <c r="B1777" s="311" t="s">
        <v>1026</v>
      </c>
      <c r="C1777" s="56">
        <v>45944</v>
      </c>
      <c r="D1777" s="43">
        <v>163</v>
      </c>
      <c r="G1777" t="s">
        <v>1649</v>
      </c>
    </row>
    <row r="1778" spans="1:7">
      <c r="A1778" s="616" t="s">
        <v>523</v>
      </c>
      <c r="B1778" s="315" t="s">
        <v>1640</v>
      </c>
      <c r="C1778" s="56">
        <v>45944</v>
      </c>
      <c r="D1778" s="43">
        <v>435</v>
      </c>
      <c r="G1778" t="s">
        <v>1649</v>
      </c>
    </row>
    <row r="1779" spans="1:7">
      <c r="A1779" s="88" t="s">
        <v>1050</v>
      </c>
      <c r="B1779" s="311" t="s">
        <v>1026</v>
      </c>
      <c r="C1779" s="56">
        <v>45944</v>
      </c>
      <c r="F1779" s="926"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6" t="s">
        <v>566</v>
      </c>
      <c r="B1782" s="141" t="s">
        <v>137</v>
      </c>
      <c r="C1782" s="310">
        <v>45944</v>
      </c>
      <c r="D1782" s="43">
        <v>510</v>
      </c>
      <c r="F1782" s="43" t="s">
        <v>1676</v>
      </c>
      <c r="G1782" t="s">
        <v>1649</v>
      </c>
    </row>
    <row r="1783" spans="1:7">
      <c r="A1783" s="806"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6" t="s">
        <v>523</v>
      </c>
      <c r="B1789" s="315" t="s">
        <v>1640</v>
      </c>
      <c r="C1789" s="56">
        <v>45945</v>
      </c>
      <c r="D1789" s="43">
        <v>227</v>
      </c>
      <c r="F1789" s="43" t="s">
        <v>1679</v>
      </c>
      <c r="G1789" t="s">
        <v>1649</v>
      </c>
    </row>
    <row r="1790" spans="1:7">
      <c r="A1790" s="616"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1"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3" t="s">
        <v>1044</v>
      </c>
      <c r="B1797" s="141" t="s">
        <v>1026</v>
      </c>
      <c r="C1797" s="310">
        <v>45946</v>
      </c>
      <c r="D1797" s="43">
        <v>570</v>
      </c>
      <c r="G1797" t="s">
        <v>1649</v>
      </c>
    </row>
    <row r="1798" spans="1:7">
      <c r="A1798" s="933" t="s">
        <v>1050</v>
      </c>
      <c r="B1798" s="141" t="s">
        <v>1026</v>
      </c>
      <c r="C1798" s="310">
        <v>45946</v>
      </c>
      <c r="F1798" s="316" t="s">
        <v>1673</v>
      </c>
      <c r="G1798" t="s">
        <v>1649</v>
      </c>
    </row>
    <row r="1799" spans="1:7">
      <c r="A1799" s="934" t="s">
        <v>523</v>
      </c>
      <c r="B1799" s="141" t="s">
        <v>1640</v>
      </c>
      <c r="C1799" s="310">
        <v>45946</v>
      </c>
      <c r="D1799" s="43">
        <v>487</v>
      </c>
      <c r="F1799" s="43" t="s">
        <v>1687</v>
      </c>
      <c r="G1799" t="s">
        <v>1649</v>
      </c>
    </row>
    <row r="1800" spans="1:7">
      <c r="A1800" s="935" t="s">
        <v>570</v>
      </c>
      <c r="B1800" s="141" t="s">
        <v>137</v>
      </c>
      <c r="C1800" s="310">
        <v>45946</v>
      </c>
      <c r="D1800" s="43">
        <v>359</v>
      </c>
      <c r="F1800" s="43" t="s">
        <v>1688</v>
      </c>
      <c r="G1800" t="s">
        <v>1649</v>
      </c>
    </row>
    <row r="1801" spans="1:7">
      <c r="A1801" s="936"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2"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3"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3" t="s">
        <v>564</v>
      </c>
      <c r="B1810" s="683" t="s">
        <v>1026</v>
      </c>
      <c r="C1810" s="56">
        <v>45947</v>
      </c>
      <c r="F1810" s="43" t="s">
        <v>1693</v>
      </c>
      <c r="G1810" t="s">
        <v>1649</v>
      </c>
    </row>
    <row r="1811" spans="1:7">
      <c r="A1811" s="148" t="s">
        <v>1079</v>
      </c>
      <c r="B1811" s="115" t="s">
        <v>454</v>
      </c>
      <c r="C1811" s="56">
        <v>45947</v>
      </c>
      <c r="F1811" s="43" t="s">
        <v>1694</v>
      </c>
      <c r="G1811" t="s">
        <v>1649</v>
      </c>
    </row>
    <row r="1812" spans="1:7">
      <c r="A1812" s="618" t="s">
        <v>395</v>
      </c>
      <c r="B1812" s="43" t="s">
        <v>1684</v>
      </c>
      <c r="C1812" s="56">
        <v>45947</v>
      </c>
      <c r="D1812" s="43">
        <v>945</v>
      </c>
      <c r="F1812" s="43" t="s">
        <v>1695</v>
      </c>
      <c r="G1812" t="s">
        <v>1649</v>
      </c>
    </row>
    <row r="1813" spans="1:7">
      <c r="A1813" s="946" t="s">
        <v>1044</v>
      </c>
      <c r="B1813" s="783" t="s">
        <v>1026</v>
      </c>
      <c r="C1813" s="56">
        <v>45950</v>
      </c>
      <c r="D1813" s="43">
        <v>92</v>
      </c>
      <c r="F1813" s="43" t="s">
        <v>1592</v>
      </c>
      <c r="G1813" t="s">
        <v>1649</v>
      </c>
    </row>
    <row r="1814" spans="1:7">
      <c r="A1814" s="947" t="s">
        <v>518</v>
      </c>
      <c r="B1814" s="760" t="s">
        <v>1026</v>
      </c>
      <c r="C1814" s="56">
        <v>45950</v>
      </c>
      <c r="D1814" s="43">
        <v>153</v>
      </c>
      <c r="F1814" s="950"/>
      <c r="G1814" t="s">
        <v>1649</v>
      </c>
    </row>
    <row r="1815" spans="1:7">
      <c r="A1815" s="948" t="s">
        <v>523</v>
      </c>
      <c r="B1815" s="949" t="s">
        <v>1640</v>
      </c>
      <c r="C1815" s="56">
        <v>45950</v>
      </c>
      <c r="F1815" s="950" t="s">
        <v>1696</v>
      </c>
      <c r="G1815" t="s">
        <v>1649</v>
      </c>
    </row>
    <row r="1816" spans="1:7">
      <c r="A1816" s="948" t="s">
        <v>1050</v>
      </c>
      <c r="B1816" s="949" t="s">
        <v>1026</v>
      </c>
      <c r="C1816" s="56">
        <v>45950</v>
      </c>
      <c r="D1816" s="43">
        <v>455</v>
      </c>
      <c r="G1816" t="s">
        <v>1649</v>
      </c>
    </row>
    <row r="1817" spans="1:7">
      <c r="A1817" s="760" t="s">
        <v>942</v>
      </c>
      <c r="B1817" s="760" t="s">
        <v>137</v>
      </c>
      <c r="C1817" s="56">
        <v>45950</v>
      </c>
      <c r="D1817" s="43">
        <v>853</v>
      </c>
      <c r="F1817" s="43" t="s">
        <v>1697</v>
      </c>
      <c r="G1817" t="s">
        <v>1649</v>
      </c>
    </row>
    <row r="1818" spans="1:7">
      <c r="A1818" s="949" t="s">
        <v>1079</v>
      </c>
      <c r="B1818" s="949" t="s">
        <v>454</v>
      </c>
      <c r="C1818" s="56">
        <v>45950</v>
      </c>
      <c r="D1818" s="155">
        <v>3343</v>
      </c>
      <c r="F1818" s="43" t="s">
        <v>1698</v>
      </c>
      <c r="G1818" t="s">
        <v>1649</v>
      </c>
    </row>
    <row r="1819" spans="1:7">
      <c r="A1819" s="951" t="s">
        <v>525</v>
      </c>
      <c r="B1819" s="952" t="s">
        <v>1026</v>
      </c>
      <c r="C1819" s="56">
        <v>45950</v>
      </c>
      <c r="D1819" s="43">
        <v>151</v>
      </c>
      <c r="G1819" t="s">
        <v>1649</v>
      </c>
    </row>
    <row r="1820" spans="1:7">
      <c r="A1820" s="760" t="s">
        <v>395</v>
      </c>
      <c r="B1820" s="760" t="s">
        <v>1684</v>
      </c>
      <c r="C1820" s="56">
        <v>45950</v>
      </c>
      <c r="D1820" s="155">
        <v>1186</v>
      </c>
      <c r="F1820" s="43" t="s">
        <v>1524</v>
      </c>
      <c r="G1820" t="s">
        <v>1649</v>
      </c>
    </row>
    <row r="1821" spans="1:7">
      <c r="A1821" s="949" t="s">
        <v>392</v>
      </c>
      <c r="B1821" s="949" t="s">
        <v>249</v>
      </c>
      <c r="C1821" s="56">
        <v>45950</v>
      </c>
      <c r="D1821" s="155">
        <v>1100</v>
      </c>
      <c r="G1821" t="s">
        <v>1649</v>
      </c>
    </row>
    <row r="1822" spans="1:7">
      <c r="A1822" s="967" t="s">
        <v>518</v>
      </c>
      <c r="B1822" s="960" t="s">
        <v>1026</v>
      </c>
      <c r="C1822" s="56">
        <v>45951</v>
      </c>
      <c r="D1822" s="155">
        <v>244</v>
      </c>
      <c r="G1822" t="s">
        <v>1649</v>
      </c>
    </row>
    <row r="1823" spans="1:7">
      <c r="A1823" s="88" t="s">
        <v>523</v>
      </c>
      <c r="B1823" s="955" t="s">
        <v>1640</v>
      </c>
      <c r="C1823" s="56">
        <v>45951</v>
      </c>
      <c r="D1823" s="43">
        <v>413</v>
      </c>
      <c r="F1823" s="43" t="s">
        <v>1118</v>
      </c>
      <c r="G1823" t="s">
        <v>1649</v>
      </c>
    </row>
    <row r="1824" spans="1:7">
      <c r="A1824" s="956" t="s">
        <v>570</v>
      </c>
      <c r="B1824" s="683"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8" t="s">
        <v>944</v>
      </c>
      <c r="B1826" s="959"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0" t="s">
        <v>1026</v>
      </c>
      <c r="C1828" s="56">
        <v>45951</v>
      </c>
      <c r="D1828" s="43">
        <v>149</v>
      </c>
      <c r="G1828" t="s">
        <v>1649</v>
      </c>
    </row>
    <row r="1829" spans="1:7">
      <c r="A1829" s="733"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7"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5" t="s">
        <v>1640</v>
      </c>
      <c r="C1833" s="56">
        <v>45952</v>
      </c>
      <c r="D1833" s="43">
        <v>190</v>
      </c>
      <c r="G1833" t="s">
        <v>1649</v>
      </c>
    </row>
    <row r="1834" spans="1:7">
      <c r="A1834" s="806" t="s">
        <v>1079</v>
      </c>
      <c r="B1834" s="806" t="s">
        <v>454</v>
      </c>
      <c r="C1834" s="56">
        <v>45952</v>
      </c>
      <c r="D1834" s="155">
        <v>2013</v>
      </c>
      <c r="F1834" s="320" t="s">
        <v>1704</v>
      </c>
      <c r="G1834" t="s">
        <v>1649</v>
      </c>
    </row>
    <row r="1835" spans="1:7">
      <c r="A1835" s="806" t="s">
        <v>576</v>
      </c>
      <c r="B1835" s="806" t="s">
        <v>137</v>
      </c>
      <c r="C1835" s="56">
        <v>45952</v>
      </c>
      <c r="D1835" s="155">
        <v>1604</v>
      </c>
      <c r="F1835" s="43" t="s">
        <v>1705</v>
      </c>
      <c r="G1835" t="s">
        <v>1649</v>
      </c>
    </row>
    <row r="1836" spans="1:7">
      <c r="A1836" s="958" t="s">
        <v>944</v>
      </c>
      <c r="B1836" s="395" t="s">
        <v>137</v>
      </c>
      <c r="C1836" s="56">
        <v>45952</v>
      </c>
      <c r="D1836" s="155">
        <v>1672</v>
      </c>
      <c r="F1836" s="43" t="s">
        <v>1706</v>
      </c>
      <c r="G1836" t="s">
        <v>1649</v>
      </c>
    </row>
    <row r="1837" spans="1:7">
      <c r="A1837" s="932" t="s">
        <v>525</v>
      </c>
      <c r="B1837" s="968" t="s">
        <v>1026</v>
      </c>
      <c r="C1837" s="56">
        <v>45952</v>
      </c>
      <c r="F1837" s="306" t="s">
        <v>1707</v>
      </c>
      <c r="G1837" t="s">
        <v>1649</v>
      </c>
    </row>
    <row r="1838" spans="1:7">
      <c r="A1838" s="618"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3" t="s">
        <v>1044</v>
      </c>
      <c r="B1841" s="398" t="s">
        <v>1026</v>
      </c>
      <c r="C1841" s="56">
        <v>45953</v>
      </c>
      <c r="D1841" s="43">
        <v>209</v>
      </c>
      <c r="F1841" s="43" t="s">
        <v>1709</v>
      </c>
      <c r="G1841" t="s">
        <v>1649</v>
      </c>
    </row>
    <row r="1842" spans="1:7">
      <c r="A1842" s="88" t="s">
        <v>518</v>
      </c>
      <c r="B1842" s="975"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69"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2" t="s">
        <v>525</v>
      </c>
      <c r="B1849" s="968" t="s">
        <v>1026</v>
      </c>
      <c r="C1849" s="56">
        <v>45953</v>
      </c>
      <c r="F1849" s="306" t="s">
        <v>1302</v>
      </c>
      <c r="G1849" t="s">
        <v>1649</v>
      </c>
    </row>
    <row r="1850" spans="1:7">
      <c r="A1850" s="618"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3" t="s">
        <v>1044</v>
      </c>
      <c r="B1852" s="398" t="s">
        <v>1026</v>
      </c>
      <c r="C1852" s="56">
        <v>45954</v>
      </c>
      <c r="D1852" s="43">
        <v>434</v>
      </c>
      <c r="F1852" s="43" t="s">
        <v>1716</v>
      </c>
      <c r="G1852" t="s">
        <v>1649</v>
      </c>
    </row>
    <row r="1853" spans="1:7">
      <c r="A1853" s="88" t="s">
        <v>78</v>
      </c>
      <c r="B1853" s="975"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2" t="s">
        <v>525</v>
      </c>
      <c r="B1857" s="968" t="s">
        <v>1026</v>
      </c>
      <c r="C1857" s="56">
        <v>45954</v>
      </c>
      <c r="F1857" s="43" t="s">
        <v>1719</v>
      </c>
      <c r="G1857" t="s">
        <v>1649</v>
      </c>
    </row>
    <row r="1858" spans="1:7">
      <c r="A1858" s="618" t="s">
        <v>393</v>
      </c>
      <c r="B1858" s="161" t="s">
        <v>1684</v>
      </c>
      <c r="C1858" s="56">
        <v>45954</v>
      </c>
      <c r="D1858" s="43">
        <v>408</v>
      </c>
      <c r="G1858" t="s">
        <v>1649</v>
      </c>
    </row>
    <row r="1859" spans="1:7">
      <c r="A1859" s="593"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69"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2" t="s">
        <v>299</v>
      </c>
      <c r="B1869" s="968" t="s">
        <v>1026</v>
      </c>
      <c r="C1869" s="56">
        <v>45957</v>
      </c>
      <c r="F1869" s="320" t="s">
        <v>1548</v>
      </c>
      <c r="G1869" t="s">
        <v>1649</v>
      </c>
    </row>
    <row r="1870" spans="1:7">
      <c r="A1870" s="618"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3"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69" t="s">
        <v>562</v>
      </c>
      <c r="B1880" s="395" t="s">
        <v>137</v>
      </c>
      <c r="C1880" s="56">
        <v>45958</v>
      </c>
      <c r="D1880" s="155">
        <v>1678</v>
      </c>
      <c r="F1880" s="43" t="s">
        <v>1732</v>
      </c>
      <c r="G1880" t="s">
        <v>1649</v>
      </c>
    </row>
    <row r="1881" spans="1:7">
      <c r="A1881" s="969"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8"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5"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7" t="s">
        <v>1079</v>
      </c>
      <c r="B1892" s="655" t="s">
        <v>454</v>
      </c>
      <c r="C1892" s="56">
        <v>45959</v>
      </c>
      <c r="D1892" s="155">
        <v>1096</v>
      </c>
      <c r="F1892" s="43" t="s">
        <v>1739</v>
      </c>
      <c r="G1892" t="s">
        <v>1649</v>
      </c>
    </row>
    <row r="1893" spans="1:7">
      <c r="A1893" s="757" t="s">
        <v>568</v>
      </c>
      <c r="B1893" s="655" t="s">
        <v>137</v>
      </c>
      <c r="C1893" s="56">
        <v>45959</v>
      </c>
      <c r="D1893" s="155">
        <v>1087</v>
      </c>
      <c r="F1893" s="43" t="s">
        <v>1740</v>
      </c>
      <c r="G1893" t="s">
        <v>1649</v>
      </c>
    </row>
    <row r="1894" spans="1:7">
      <c r="A1894" s="982" t="s">
        <v>393</v>
      </c>
      <c r="B1894" s="161" t="s">
        <v>1684</v>
      </c>
      <c r="C1894" s="56">
        <v>45959</v>
      </c>
      <c r="D1894" s="43">
        <v>790</v>
      </c>
      <c r="F1894" s="43" t="s">
        <v>1741</v>
      </c>
      <c r="G1894" t="s">
        <v>1649</v>
      </c>
    </row>
    <row r="1895" spans="1:7">
      <c r="A1895" s="43" t="s">
        <v>392</v>
      </c>
      <c r="B1895" s="655"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7" t="s">
        <v>137</v>
      </c>
      <c r="C1905" s="56">
        <v>45960</v>
      </c>
      <c r="D1905" s="43">
        <v>394</v>
      </c>
      <c r="E1905" s="321">
        <v>1275</v>
      </c>
      <c r="F1905" s="43" t="s">
        <v>1750</v>
      </c>
      <c r="G1905" t="s">
        <v>1649</v>
      </c>
    </row>
    <row r="1906" spans="1:7">
      <c r="A1906" s="998"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5" t="s">
        <v>1339</v>
      </c>
      <c r="G1910" t="s">
        <v>1649</v>
      </c>
    </row>
    <row r="1911" spans="1:7">
      <c r="A1911" s="618"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6"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8" t="s">
        <v>1472</v>
      </c>
      <c r="G1921" t="s">
        <v>1649</v>
      </c>
    </row>
    <row r="1922" spans="1:7">
      <c r="A1922" s="43" t="s">
        <v>539</v>
      </c>
      <c r="B1922" s="169" t="s">
        <v>1026</v>
      </c>
      <c r="C1922" s="56">
        <v>45961</v>
      </c>
      <c r="D1922" s="43">
        <v>60</v>
      </c>
      <c r="G1922" t="s">
        <v>1649</v>
      </c>
    </row>
    <row r="1923" spans="1:7">
      <c r="A1923" s="618"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6"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4" t="s">
        <v>1765</v>
      </c>
      <c r="G1937" t="s">
        <v>1759</v>
      </c>
    </row>
    <row r="1938" spans="1:7">
      <c r="A1938" s="141" t="s">
        <v>407</v>
      </c>
      <c r="B1938" s="1006"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6" t="s">
        <v>1754</v>
      </c>
      <c r="G1940" t="s">
        <v>1759</v>
      </c>
    </row>
    <row r="1941" spans="1:7">
      <c r="A1941" s="88" t="s">
        <v>523</v>
      </c>
      <c r="B1941" s="955" t="s">
        <v>1736</v>
      </c>
      <c r="C1941" s="56">
        <v>45965</v>
      </c>
      <c r="F1941" s="926"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69"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8"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8" t="s">
        <v>395</v>
      </c>
      <c r="B1952" s="757" t="s">
        <v>1684</v>
      </c>
      <c r="C1952" s="56">
        <v>45965</v>
      </c>
      <c r="F1952" s="924" t="s">
        <v>1183</v>
      </c>
      <c r="G1952" t="s">
        <v>1759</v>
      </c>
    </row>
    <row r="1953" spans="1:7">
      <c r="A1953" s="371" t="s">
        <v>541</v>
      </c>
      <c r="B1953" s="115" t="s">
        <v>1026</v>
      </c>
      <c r="C1953" s="56">
        <v>45965</v>
      </c>
      <c r="E1953" s="201"/>
      <c r="F1953" s="924"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09" t="s">
        <v>1464</v>
      </c>
      <c r="C1966" s="56">
        <v>45966</v>
      </c>
      <c r="D1966" s="43">
        <v>150</v>
      </c>
      <c r="G1966" t="s">
        <v>1759</v>
      </c>
    </row>
    <row r="1967" spans="1:7">
      <c r="A1967" s="247" t="s">
        <v>376</v>
      </c>
      <c r="B1967" s="157" t="s">
        <v>1763</v>
      </c>
      <c r="C1967" s="56">
        <v>45966</v>
      </c>
      <c r="E1967" s="1014">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69"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8"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8" t="s">
        <v>404</v>
      </c>
      <c r="B1979" s="757" t="s">
        <v>1684</v>
      </c>
      <c r="C1979" s="56">
        <v>45967</v>
      </c>
      <c r="D1979" s="155">
        <v>1063</v>
      </c>
      <c r="G1979" t="s">
        <v>1759</v>
      </c>
    </row>
    <row r="1980" spans="1:7">
      <c r="A1980" s="733"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1"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7"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7"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5"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3" t="s">
        <v>249</v>
      </c>
      <c r="C1998" s="56">
        <v>45971</v>
      </c>
      <c r="D1998" s="43">
        <v>96</v>
      </c>
      <c r="G1998" t="s">
        <v>1759</v>
      </c>
    </row>
    <row r="1999" spans="1:7">
      <c r="A1999" s="304" t="s">
        <v>255</v>
      </c>
      <c r="B1999" s="349" t="s">
        <v>1758</v>
      </c>
      <c r="C1999" s="56">
        <v>45971</v>
      </c>
      <c r="D1999" s="43">
        <v>562</v>
      </c>
      <c r="G1999" t="s">
        <v>1759</v>
      </c>
    </row>
    <row r="2000" spans="1:7">
      <c r="A2000" s="141" t="s">
        <v>390</v>
      </c>
      <c r="B2000" s="803" t="s">
        <v>249</v>
      </c>
      <c r="C2000" s="56">
        <v>45971</v>
      </c>
      <c r="D2000" s="43">
        <v>435</v>
      </c>
      <c r="F2000" s="43" t="s">
        <v>1783</v>
      </c>
      <c r="G2000" t="s">
        <v>1759</v>
      </c>
    </row>
    <row r="2001" spans="1:7">
      <c r="A2001" s="1015"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8"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8" t="s">
        <v>416</v>
      </c>
      <c r="B2015" s="43" t="s">
        <v>1684</v>
      </c>
      <c r="C2015" s="56">
        <v>45973</v>
      </c>
      <c r="D2015" s="155">
        <v>1486</v>
      </c>
      <c r="F2015" s="43" t="s">
        <v>1791</v>
      </c>
      <c r="G2015" t="s">
        <v>1759</v>
      </c>
    </row>
    <row r="2016" spans="1:7">
      <c r="A2016" s="618"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8"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5" t="s">
        <v>390</v>
      </c>
      <c r="B2026" s="1066" t="s">
        <v>249</v>
      </c>
      <c r="C2026" s="56">
        <v>45974</v>
      </c>
      <c r="D2026" s="155">
        <v>1123</v>
      </c>
      <c r="F2026" s="43" t="s">
        <v>1795</v>
      </c>
      <c r="G2026" t="s">
        <v>1759</v>
      </c>
    </row>
    <row r="2027" spans="1:7">
      <c r="A2027" s="618" t="s">
        <v>416</v>
      </c>
      <c r="B2027" s="43" t="s">
        <v>1684</v>
      </c>
      <c r="C2027" s="56">
        <v>45974</v>
      </c>
      <c r="D2027" s="155">
        <v>2912</v>
      </c>
      <c r="G2027" t="s">
        <v>1759</v>
      </c>
    </row>
    <row r="2028" spans="1:7">
      <c r="A2028" s="618"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4">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3"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8" t="s">
        <v>390</v>
      </c>
      <c r="B2062" s="655"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3"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6"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6">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5"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6"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5" t="s">
        <v>137</v>
      </c>
      <c r="C2111" s="56">
        <v>45985</v>
      </c>
      <c r="D2111" s="43">
        <v>805</v>
      </c>
      <c r="F2111" s="69" t="s">
        <v>1823</v>
      </c>
      <c r="G2111" t="s">
        <v>1759</v>
      </c>
    </row>
    <row r="2112" spans="1:7">
      <c r="A2112" s="43" t="s">
        <v>432</v>
      </c>
      <c r="B2112" s="1095" t="s">
        <v>137</v>
      </c>
      <c r="C2112" s="56">
        <v>45985</v>
      </c>
      <c r="D2112" s="43">
        <v>665</v>
      </c>
      <c r="F2112" s="69"/>
      <c r="G2112" t="s">
        <v>1759</v>
      </c>
    </row>
    <row r="2113" spans="1:7">
      <c r="A2113" s="43" t="s">
        <v>435</v>
      </c>
      <c r="B2113" s="1095"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4" t="s">
        <v>1826</v>
      </c>
      <c r="G2118" t="s">
        <v>1759</v>
      </c>
    </row>
    <row r="2119" spans="1:7">
      <c r="A2119" s="430" t="s">
        <v>404</v>
      </c>
      <c r="B2119" s="247" t="s">
        <v>1684</v>
      </c>
      <c r="C2119" s="56">
        <v>45985</v>
      </c>
      <c r="D2119" s="139"/>
      <c r="E2119" s="43"/>
      <c r="F2119" s="1094" t="s">
        <v>1827</v>
      </c>
      <c r="G2119" t="s">
        <v>1759</v>
      </c>
    </row>
    <row r="2120" spans="1:7">
      <c r="A2120" s="43" t="s">
        <v>393</v>
      </c>
      <c r="B2120" s="247" t="s">
        <v>1684</v>
      </c>
      <c r="C2120" s="56">
        <v>45985</v>
      </c>
      <c r="D2120" s="139"/>
      <c r="E2120" s="43"/>
      <c r="F2120" s="1094"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6" t="s">
        <v>441</v>
      </c>
      <c r="B2126" s="806"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7" t="s">
        <v>1832</v>
      </c>
      <c r="G2131" t="s">
        <v>1759</v>
      </c>
    </row>
    <row r="2132" spans="1:7">
      <c r="A2132" s="430" t="s">
        <v>404</v>
      </c>
      <c r="B2132" s="247" t="s">
        <v>1684</v>
      </c>
      <c r="C2132" s="56">
        <v>45986</v>
      </c>
      <c r="D2132" s="139"/>
      <c r="E2132" s="43"/>
      <c r="F2132" s="757" t="s">
        <v>1832</v>
      </c>
      <c r="G2132" t="s">
        <v>1759</v>
      </c>
    </row>
    <row r="2133" spans="1:7">
      <c r="A2133" s="43" t="s">
        <v>393</v>
      </c>
      <c r="B2133" s="247" t="s">
        <v>1684</v>
      </c>
      <c r="C2133" s="56">
        <v>45986</v>
      </c>
      <c r="D2133" s="139"/>
      <c r="E2133" s="43"/>
      <c r="F2133" s="757"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3"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3" t="s">
        <v>1302</v>
      </c>
      <c r="G2145" t="s">
        <v>1759</v>
      </c>
    </row>
    <row r="2146" spans="1:7">
      <c r="A2146" s="806" t="s">
        <v>441</v>
      </c>
      <c r="B2146" s="806" t="s">
        <v>1026</v>
      </c>
      <c r="C2146" s="56">
        <v>45987</v>
      </c>
      <c r="D2146" s="43">
        <v>331</v>
      </c>
      <c r="E2146" s="321">
        <v>1063</v>
      </c>
      <c r="F2146" s="43" t="s">
        <v>1833</v>
      </c>
      <c r="G2146" t="s">
        <v>1759</v>
      </c>
    </row>
    <row r="2147" spans="1:7">
      <c r="A2147" s="1096"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7" t="s">
        <v>1832</v>
      </c>
      <c r="G2151" t="s">
        <v>1759</v>
      </c>
    </row>
    <row r="2152" spans="1:7">
      <c r="A2152" s="141" t="s">
        <v>404</v>
      </c>
      <c r="B2152" s="141" t="s">
        <v>1684</v>
      </c>
      <c r="C2152" s="56">
        <v>45987</v>
      </c>
      <c r="D2152" s="139"/>
      <c r="E2152" s="43"/>
      <c r="F2152" s="757" t="s">
        <v>1832</v>
      </c>
      <c r="G2152" t="s">
        <v>1759</v>
      </c>
    </row>
    <row r="2153" spans="1:7">
      <c r="A2153" s="305" t="s">
        <v>393</v>
      </c>
      <c r="B2153" s="305" t="s">
        <v>1684</v>
      </c>
      <c r="C2153" s="336">
        <v>45987</v>
      </c>
      <c r="D2153" s="139"/>
      <c r="E2153" s="43"/>
      <c r="F2153" s="757"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7">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7"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1"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6" t="s">
        <v>432</v>
      </c>
      <c r="B2176" s="806" t="s">
        <v>137</v>
      </c>
      <c r="C2176" s="56">
        <v>45992</v>
      </c>
      <c r="D2176" s="155">
        <v>1610</v>
      </c>
      <c r="F2176" s="43" t="s">
        <v>1847</v>
      </c>
      <c r="G2176" t="s">
        <v>1844</v>
      </c>
    </row>
    <row r="2177" spans="1:7">
      <c r="A2177" s="1096"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0"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6"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2" t="s">
        <v>1091</v>
      </c>
      <c r="B2196" s="952" t="s">
        <v>1711</v>
      </c>
      <c r="C2196" s="56">
        <v>45994</v>
      </c>
      <c r="D2196" s="43">
        <v>721</v>
      </c>
      <c r="F2196" s="43" t="s">
        <v>1855</v>
      </c>
      <c r="G2196" t="s">
        <v>1844</v>
      </c>
    </row>
    <row r="2197" spans="1:7">
      <c r="A2197" s="952" t="s">
        <v>1091</v>
      </c>
      <c r="B2197" s="952" t="s">
        <v>1026</v>
      </c>
      <c r="C2197" s="56">
        <v>45994</v>
      </c>
      <c r="D2197" s="43">
        <v>535</v>
      </c>
      <c r="G2197" t="s">
        <v>1844</v>
      </c>
    </row>
    <row r="2198" spans="1:7">
      <c r="A2198" s="952" t="s">
        <v>99</v>
      </c>
      <c r="B2198" s="952" t="s">
        <v>1550</v>
      </c>
      <c r="C2198" s="56">
        <v>45994</v>
      </c>
      <c r="D2198" s="155">
        <v>1029</v>
      </c>
      <c r="F2198" s="43" t="s">
        <v>1856</v>
      </c>
      <c r="G2198" t="s">
        <v>1844</v>
      </c>
    </row>
    <row r="2199" spans="1:7">
      <c r="A2199" s="952" t="s">
        <v>99</v>
      </c>
      <c r="B2199" s="952" t="s">
        <v>1640</v>
      </c>
      <c r="C2199" s="56">
        <v>45994</v>
      </c>
      <c r="F2199" s="337" t="s">
        <v>1857</v>
      </c>
      <c r="G2199" t="s">
        <v>1844</v>
      </c>
    </row>
    <row r="2200" spans="1:7">
      <c r="A2200" s="760" t="s">
        <v>99</v>
      </c>
      <c r="B2200" s="760" t="s">
        <v>1776</v>
      </c>
      <c r="C2200" s="56">
        <v>45994</v>
      </c>
      <c r="D2200" s="43">
        <v>100</v>
      </c>
      <c r="G2200" t="s">
        <v>1844</v>
      </c>
    </row>
    <row r="2201" spans="1:7">
      <c r="A2201" s="757" t="s">
        <v>1088</v>
      </c>
      <c r="B2201" s="757" t="s">
        <v>233</v>
      </c>
      <c r="C2201" s="56">
        <v>45994</v>
      </c>
      <c r="D2201" s="43">
        <v>974</v>
      </c>
      <c r="G2201" t="s">
        <v>1844</v>
      </c>
    </row>
    <row r="2202" spans="1:7">
      <c r="A2202" s="1096" t="s">
        <v>147</v>
      </c>
      <c r="B2202" s="1131" t="s">
        <v>141</v>
      </c>
      <c r="C2202" s="56">
        <v>45994</v>
      </c>
      <c r="D2202" s="43">
        <v>466</v>
      </c>
      <c r="F2202" s="43" t="s">
        <v>1858</v>
      </c>
      <c r="G2202" t="s">
        <v>1844</v>
      </c>
    </row>
    <row r="2203" spans="1:7">
      <c r="A2203" s="757" t="s">
        <v>1089</v>
      </c>
      <c r="B2203" s="1131" t="s">
        <v>454</v>
      </c>
      <c r="C2203" s="56">
        <v>45994</v>
      </c>
      <c r="D2203" s="43">
        <v>383</v>
      </c>
      <c r="G2203" t="s">
        <v>1844</v>
      </c>
    </row>
    <row r="2204" spans="1:7">
      <c r="A2204" s="757" t="s">
        <v>559</v>
      </c>
      <c r="B2204" s="1131" t="s">
        <v>137</v>
      </c>
      <c r="C2204" s="56">
        <v>45994</v>
      </c>
      <c r="D2204" s="155">
        <v>1379</v>
      </c>
      <c r="F2204" s="43" t="s">
        <v>1859</v>
      </c>
      <c r="G2204" t="s">
        <v>1844</v>
      </c>
    </row>
    <row r="2205" spans="1:7">
      <c r="A2205" s="757" t="s">
        <v>413</v>
      </c>
      <c r="B2205" s="757" t="s">
        <v>1684</v>
      </c>
      <c r="C2205" s="56">
        <v>45994</v>
      </c>
      <c r="D2205" s="155">
        <v>1677</v>
      </c>
      <c r="G2205" t="s">
        <v>1844</v>
      </c>
    </row>
    <row r="2206" spans="1:7">
      <c r="A2206" s="1132" t="s">
        <v>485</v>
      </c>
      <c r="B2206" s="1133" t="s">
        <v>137</v>
      </c>
      <c r="C2206" s="56">
        <v>45994</v>
      </c>
      <c r="D2206" s="155">
        <v>2430</v>
      </c>
      <c r="G2206" t="s">
        <v>1844</v>
      </c>
    </row>
    <row r="2207" spans="1:7">
      <c r="A2207" s="760" t="s">
        <v>369</v>
      </c>
      <c r="B2207" s="760" t="s">
        <v>137</v>
      </c>
      <c r="C2207" s="56">
        <v>45994</v>
      </c>
      <c r="D2207" s="43">
        <v>694</v>
      </c>
      <c r="G2207" t="s">
        <v>1844</v>
      </c>
    </row>
    <row r="2208" spans="1:7">
      <c r="A2208" s="1132" t="s">
        <v>343</v>
      </c>
      <c r="B2208" s="1133"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6" t="s">
        <v>147</v>
      </c>
      <c r="B2217" s="1131"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3" t="s">
        <v>137</v>
      </c>
      <c r="C2222" s="56">
        <v>45995</v>
      </c>
      <c r="D2222" s="43">
        <v>52</v>
      </c>
      <c r="F2222" s="43" t="s">
        <v>1870</v>
      </c>
      <c r="G2222" t="s">
        <v>1844</v>
      </c>
    </row>
    <row r="2223" spans="1:7">
      <c r="A2223" s="952" t="s">
        <v>1091</v>
      </c>
      <c r="B2223" s="952" t="s">
        <v>1711</v>
      </c>
      <c r="C2223" s="56">
        <v>45996</v>
      </c>
      <c r="D2223" s="43">
        <v>86</v>
      </c>
      <c r="F2223" s="43" t="s">
        <v>1871</v>
      </c>
      <c r="G2223" t="s">
        <v>1844</v>
      </c>
    </row>
    <row r="2224" spans="1:7">
      <c r="A2224" s="952" t="s">
        <v>99</v>
      </c>
      <c r="B2224" s="952" t="s">
        <v>1711</v>
      </c>
      <c r="C2224" s="56">
        <v>45996</v>
      </c>
      <c r="D2224" s="43">
        <v>710</v>
      </c>
      <c r="G2224" t="s">
        <v>1844</v>
      </c>
    </row>
    <row r="2225" spans="1:7">
      <c r="A2225" s="952" t="s">
        <v>99</v>
      </c>
      <c r="B2225" s="952" t="s">
        <v>1550</v>
      </c>
      <c r="C2225" s="56">
        <v>45996</v>
      </c>
      <c r="D2225" s="155">
        <v>1114</v>
      </c>
      <c r="G2225" t="s">
        <v>1844</v>
      </c>
    </row>
    <row r="2226" spans="1:7">
      <c r="A2226" s="760" t="s">
        <v>1061</v>
      </c>
      <c r="B2226" s="760" t="s">
        <v>1666</v>
      </c>
      <c r="C2226" s="56">
        <v>45996</v>
      </c>
      <c r="D2226" s="43">
        <v>222</v>
      </c>
      <c r="G2226" t="s">
        <v>1844</v>
      </c>
    </row>
    <row r="2227" spans="1:7">
      <c r="A2227" s="757" t="s">
        <v>1092</v>
      </c>
      <c r="B2227" s="1136" t="s">
        <v>233</v>
      </c>
      <c r="C2227" s="56">
        <v>45996</v>
      </c>
      <c r="D2227" s="43">
        <v>385</v>
      </c>
      <c r="F2227" s="43" t="s">
        <v>1872</v>
      </c>
      <c r="G2227" t="s">
        <v>1844</v>
      </c>
    </row>
    <row r="2228" spans="1:7">
      <c r="A2228" s="647" t="s">
        <v>429</v>
      </c>
      <c r="B2228" s="1137" t="s">
        <v>1464</v>
      </c>
      <c r="C2228" s="56">
        <v>45996</v>
      </c>
      <c r="E2228" s="139">
        <v>446</v>
      </c>
      <c r="F2228" s="757"/>
      <c r="G2228" t="s">
        <v>1844</v>
      </c>
    </row>
    <row r="2229" spans="1:7">
      <c r="A2229" s="647" t="s">
        <v>578</v>
      </c>
      <c r="B2229" s="1137" t="s">
        <v>1464</v>
      </c>
      <c r="C2229" s="56">
        <v>45996</v>
      </c>
      <c r="E2229" s="139">
        <v>422</v>
      </c>
      <c r="F2229" s="1131"/>
      <c r="G2229" t="s">
        <v>1844</v>
      </c>
    </row>
    <row r="2230" spans="1:7">
      <c r="A2230" s="647" t="s">
        <v>578</v>
      </c>
      <c r="B2230" s="1137" t="s">
        <v>1464</v>
      </c>
      <c r="C2230" s="56">
        <v>45996</v>
      </c>
      <c r="F2230" s="311" t="s">
        <v>1325</v>
      </c>
      <c r="G2230" t="s">
        <v>1844</v>
      </c>
    </row>
    <row r="2231" spans="1:7">
      <c r="A2231" s="1131" t="s">
        <v>1089</v>
      </c>
      <c r="B2231" s="1137" t="s">
        <v>454</v>
      </c>
      <c r="C2231" s="56">
        <v>45996</v>
      </c>
      <c r="F2231" s="311" t="s">
        <v>1873</v>
      </c>
      <c r="G2231" t="s">
        <v>1844</v>
      </c>
    </row>
    <row r="2232" spans="1:7">
      <c r="A2232" s="757" t="s">
        <v>419</v>
      </c>
      <c r="B2232" s="757" t="s">
        <v>1684</v>
      </c>
      <c r="C2232" s="56">
        <v>45996</v>
      </c>
      <c r="D2232" s="155">
        <v>2020</v>
      </c>
      <c r="G2232" t="s">
        <v>1844</v>
      </c>
    </row>
    <row r="2233" spans="1:7">
      <c r="A2233" s="317" t="s">
        <v>1093</v>
      </c>
      <c r="B2233" s="1133" t="s">
        <v>137</v>
      </c>
      <c r="C2233" s="56">
        <v>45996</v>
      </c>
      <c r="E2233" s="139">
        <v>636</v>
      </c>
      <c r="F2233" s="952"/>
      <c r="G2233" t="s">
        <v>1844</v>
      </c>
    </row>
    <row r="2234" spans="1:7">
      <c r="A2234" s="311" t="s">
        <v>493</v>
      </c>
      <c r="B2234" s="760" t="s">
        <v>137</v>
      </c>
      <c r="C2234" s="56">
        <v>45996</v>
      </c>
      <c r="F2234" s="760"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0"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4" t="s">
        <v>233</v>
      </c>
      <c r="C2239" s="56">
        <v>45999</v>
      </c>
      <c r="D2239" s="43">
        <v>640</v>
      </c>
      <c r="F2239" s="43" t="s">
        <v>1876</v>
      </c>
      <c r="G2239" t="s">
        <v>1844</v>
      </c>
    </row>
    <row r="2240" spans="1:7">
      <c r="A2240" s="1143" t="s">
        <v>432</v>
      </c>
      <c r="B2240" s="1144" t="s">
        <v>1464</v>
      </c>
      <c r="C2240" s="56">
        <v>45999</v>
      </c>
      <c r="F2240" s="311" t="s">
        <v>1877</v>
      </c>
      <c r="G2240" t="s">
        <v>1844</v>
      </c>
    </row>
    <row r="2241" spans="1:7">
      <c r="A2241" s="1096" t="s">
        <v>147</v>
      </c>
      <c r="B2241" s="1144" t="s">
        <v>141</v>
      </c>
      <c r="C2241" s="56">
        <v>45999</v>
      </c>
      <c r="D2241" s="155">
        <v>1172</v>
      </c>
      <c r="E2241" s="201"/>
      <c r="F2241" s="115" t="s">
        <v>1878</v>
      </c>
      <c r="G2241" t="s">
        <v>1844</v>
      </c>
    </row>
    <row r="2242" spans="1:7">
      <c r="A2242" s="1143" t="s">
        <v>438</v>
      </c>
      <c r="B2242" s="1144" t="s">
        <v>137</v>
      </c>
      <c r="C2242" s="56">
        <v>45999</v>
      </c>
      <c r="D2242" s="321">
        <v>1583</v>
      </c>
      <c r="E2242" s="43"/>
      <c r="F2242" s="43" t="s">
        <v>1879</v>
      </c>
      <c r="G2242" t="s">
        <v>1844</v>
      </c>
    </row>
    <row r="2243" spans="1:7">
      <c r="A2243" s="247" t="s">
        <v>559</v>
      </c>
      <c r="B2243" s="1144" t="s">
        <v>137</v>
      </c>
      <c r="C2243" s="56">
        <v>45999</v>
      </c>
      <c r="D2243" s="139"/>
      <c r="E2243" s="43"/>
      <c r="F2243" s="141" t="s">
        <v>1325</v>
      </c>
      <c r="G2243" t="s">
        <v>1844</v>
      </c>
    </row>
    <row r="2244" spans="1:7">
      <c r="A2244" s="247" t="s">
        <v>1089</v>
      </c>
      <c r="B2244" s="1144"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5" t="s">
        <v>233</v>
      </c>
      <c r="C2252" s="56">
        <v>46000</v>
      </c>
      <c r="D2252" s="43">
        <v>541</v>
      </c>
      <c r="F2252" s="43" t="s">
        <v>1885</v>
      </c>
      <c r="G2252" t="s">
        <v>1844</v>
      </c>
    </row>
    <row r="2253" spans="1:7">
      <c r="A2253" s="1143" t="s">
        <v>438</v>
      </c>
      <c r="B2253" s="247" t="s">
        <v>137</v>
      </c>
      <c r="C2253" s="310">
        <v>46000</v>
      </c>
      <c r="D2253" s="155">
        <v>1325</v>
      </c>
      <c r="F2253" s="43" t="s">
        <v>1835</v>
      </c>
      <c r="G2253" t="s">
        <v>1844</v>
      </c>
    </row>
    <row r="2254" spans="1:7">
      <c r="A2254" s="1143" t="s">
        <v>559</v>
      </c>
      <c r="B2254" s="43" t="s">
        <v>1464</v>
      </c>
      <c r="C2254" s="310">
        <v>46000</v>
      </c>
      <c r="E2254" s="139">
        <v>540</v>
      </c>
      <c r="G2254" t="s">
        <v>1844</v>
      </c>
    </row>
    <row r="2255" spans="1:7">
      <c r="A2255" s="806" t="s">
        <v>144</v>
      </c>
      <c r="B2255" s="247" t="s">
        <v>141</v>
      </c>
      <c r="C2255" s="310">
        <v>46000</v>
      </c>
      <c r="D2255" s="155">
        <v>1500</v>
      </c>
      <c r="F2255" s="43" t="s">
        <v>1886</v>
      </c>
      <c r="G2255" t="s">
        <v>1844</v>
      </c>
    </row>
    <row r="2256" spans="1:7">
      <c r="A2256" s="1143"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7" t="s">
        <v>352</v>
      </c>
      <c r="B2261" s="139" t="s">
        <v>137</v>
      </c>
      <c r="C2261" s="56">
        <v>46000</v>
      </c>
      <c r="D2261" s="155">
        <v>1111</v>
      </c>
      <c r="G2261" t="s">
        <v>1844</v>
      </c>
    </row>
    <row r="2262" spans="1:7">
      <c r="A2262" s="404" t="s">
        <v>355</v>
      </c>
      <c r="B2262" s="173" t="s">
        <v>137</v>
      </c>
      <c r="C2262" s="56">
        <v>46000</v>
      </c>
      <c r="D2262" s="155">
        <v>1743</v>
      </c>
      <c r="G2262" t="s">
        <v>1844</v>
      </c>
    </row>
    <row r="2263" spans="1:7">
      <c r="A2263" s="952" t="s">
        <v>1091</v>
      </c>
      <c r="B2263" s="952" t="s">
        <v>1711</v>
      </c>
      <c r="C2263" s="56">
        <v>46001</v>
      </c>
      <c r="D2263" s="43">
        <v>542</v>
      </c>
      <c r="F2263" s="43" t="s">
        <v>1889</v>
      </c>
      <c r="G2263" t="s">
        <v>1844</v>
      </c>
    </row>
    <row r="2264" spans="1:7">
      <c r="A2264" s="952" t="s">
        <v>99</v>
      </c>
      <c r="B2264" s="952" t="s">
        <v>1711</v>
      </c>
      <c r="C2264" s="56">
        <v>46001</v>
      </c>
      <c r="F2264" s="783" t="s">
        <v>1302</v>
      </c>
      <c r="G2264" t="s">
        <v>1844</v>
      </c>
    </row>
    <row r="2265" spans="1:7">
      <c r="A2265" s="760" t="s">
        <v>99</v>
      </c>
      <c r="B2265" s="760" t="s">
        <v>1550</v>
      </c>
      <c r="C2265" s="56">
        <v>46001</v>
      </c>
      <c r="F2265" s="760" t="s">
        <v>1890</v>
      </c>
      <c r="G2265" t="s">
        <v>1844</v>
      </c>
    </row>
    <row r="2266" spans="1:7">
      <c r="A2266" s="949" t="s">
        <v>1061</v>
      </c>
      <c r="B2266" s="949" t="s">
        <v>1464</v>
      </c>
      <c r="C2266" s="56">
        <v>46001</v>
      </c>
      <c r="D2266" s="43">
        <v>359</v>
      </c>
      <c r="F2266" s="43" t="s">
        <v>1593</v>
      </c>
      <c r="G2266" t="s">
        <v>1844</v>
      </c>
    </row>
    <row r="2267" spans="1:7">
      <c r="A2267" s="757" t="s">
        <v>1092</v>
      </c>
      <c r="B2267" s="1136" t="s">
        <v>233</v>
      </c>
      <c r="C2267" s="56">
        <v>46001</v>
      </c>
      <c r="D2267" s="43">
        <v>330</v>
      </c>
      <c r="F2267" s="43" t="s">
        <v>1691</v>
      </c>
      <c r="G2267" t="s">
        <v>1844</v>
      </c>
    </row>
    <row r="2268" spans="1:7">
      <c r="A2268" s="787" t="s">
        <v>438</v>
      </c>
      <c r="B2268" s="1146" t="s">
        <v>137</v>
      </c>
      <c r="C2268" s="56">
        <v>46001</v>
      </c>
      <c r="D2268" s="43">
        <v>621</v>
      </c>
      <c r="F2268" s="43" t="s">
        <v>1891</v>
      </c>
      <c r="G2268" t="s">
        <v>1844</v>
      </c>
    </row>
    <row r="2269" spans="1:7">
      <c r="A2269" s="745" t="s">
        <v>144</v>
      </c>
      <c r="B2269" s="760" t="s">
        <v>141</v>
      </c>
      <c r="C2269" s="56">
        <v>46001</v>
      </c>
      <c r="D2269" s="155">
        <v>1084</v>
      </c>
      <c r="F2269" s="43" t="s">
        <v>1892</v>
      </c>
      <c r="G2269" t="s">
        <v>1844</v>
      </c>
    </row>
    <row r="2270" spans="1:7">
      <c r="A2270" s="931" t="s">
        <v>432</v>
      </c>
      <c r="B2270" s="949" t="s">
        <v>1464</v>
      </c>
      <c r="C2270" s="56">
        <v>46001</v>
      </c>
      <c r="E2270" s="321">
        <v>1685</v>
      </c>
      <c r="G2270" t="s">
        <v>1844</v>
      </c>
    </row>
    <row r="2271" spans="1:7">
      <c r="A2271" s="757" t="s">
        <v>410</v>
      </c>
      <c r="B2271" s="757" t="s">
        <v>1684</v>
      </c>
      <c r="C2271" s="56">
        <v>46001</v>
      </c>
      <c r="D2271" s="155">
        <v>1177</v>
      </c>
      <c r="F2271" s="43" t="s">
        <v>1893</v>
      </c>
      <c r="G2271" t="s">
        <v>1844</v>
      </c>
    </row>
    <row r="2272" spans="1:7">
      <c r="A2272" s="757" t="s">
        <v>315</v>
      </c>
      <c r="B2272" s="757" t="s">
        <v>1684</v>
      </c>
      <c r="C2272" s="56">
        <v>46001</v>
      </c>
      <c r="D2272" s="43">
        <v>817</v>
      </c>
      <c r="F2272" s="43" t="s">
        <v>1894</v>
      </c>
      <c r="G2272" t="s">
        <v>1844</v>
      </c>
    </row>
    <row r="2273" spans="1:7">
      <c r="A2273" s="757" t="s">
        <v>503</v>
      </c>
      <c r="B2273" s="757" t="s">
        <v>137</v>
      </c>
      <c r="C2273" s="56">
        <v>46001</v>
      </c>
      <c r="D2273" s="155">
        <v>1251</v>
      </c>
      <c r="G2273" t="s">
        <v>1844</v>
      </c>
    </row>
    <row r="2274" spans="1:7">
      <c r="A2274" s="1147" t="s">
        <v>506</v>
      </c>
      <c r="B2274" s="1131" t="s">
        <v>137</v>
      </c>
      <c r="C2274" s="56">
        <v>46001</v>
      </c>
      <c r="D2274" s="43">
        <v>931</v>
      </c>
      <c r="G2274" t="s">
        <v>1844</v>
      </c>
    </row>
    <row r="2275" spans="1:7">
      <c r="A2275" s="757" t="s">
        <v>355</v>
      </c>
      <c r="B2275" s="1006" t="s">
        <v>137</v>
      </c>
      <c r="C2275" s="56">
        <v>46001</v>
      </c>
      <c r="D2275" s="43">
        <v>522</v>
      </c>
      <c r="G2275" t="s">
        <v>1844</v>
      </c>
    </row>
    <row r="2276" spans="1:7">
      <c r="A2276" s="757" t="s">
        <v>369</v>
      </c>
      <c r="B2276" s="731" t="s">
        <v>137</v>
      </c>
      <c r="C2276" s="56">
        <v>46001</v>
      </c>
      <c r="D2276" s="43">
        <v>91</v>
      </c>
      <c r="G2276" t="s">
        <v>1844</v>
      </c>
    </row>
    <row r="2277" spans="1:7">
      <c r="A2277" s="757" t="s">
        <v>461</v>
      </c>
      <c r="B2277" s="1066" t="s">
        <v>137</v>
      </c>
      <c r="C2277" s="56">
        <v>46001</v>
      </c>
      <c r="E2277" s="321">
        <v>3674</v>
      </c>
      <c r="F2277" s="43" t="s">
        <v>1895</v>
      </c>
      <c r="G2277" t="s">
        <v>1844</v>
      </c>
    </row>
    <row r="2278" spans="1:7">
      <c r="A2278" s="757" t="s">
        <v>352</v>
      </c>
      <c r="B2278" s="731"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0" t="s">
        <v>1091</v>
      </c>
      <c r="B2280" s="148" t="s">
        <v>1711</v>
      </c>
      <c r="C2280" s="56">
        <v>46002</v>
      </c>
      <c r="D2280" s="43">
        <v>739</v>
      </c>
      <c r="F2280" s="43" t="s">
        <v>1897</v>
      </c>
      <c r="G2280" t="s">
        <v>1844</v>
      </c>
    </row>
    <row r="2281" spans="1:7">
      <c r="A2281" s="148" t="s">
        <v>99</v>
      </c>
      <c r="B2281" s="148" t="s">
        <v>1711</v>
      </c>
      <c r="C2281" s="56">
        <v>46002</v>
      </c>
      <c r="F2281" s="783"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4" t="s">
        <v>233</v>
      </c>
      <c r="C2284" s="56">
        <v>46002</v>
      </c>
      <c r="D2284" s="43">
        <v>520</v>
      </c>
      <c r="G2284" t="s">
        <v>1844</v>
      </c>
    </row>
    <row r="2285" spans="1:7">
      <c r="A2285" s="1148" t="s">
        <v>140</v>
      </c>
      <c r="B2285" s="1144" t="s">
        <v>141</v>
      </c>
      <c r="C2285" s="56">
        <v>46002</v>
      </c>
      <c r="D2285" s="155">
        <v>1351</v>
      </c>
      <c r="F2285" s="43" t="s">
        <v>1900</v>
      </c>
      <c r="G2285" t="s">
        <v>1844</v>
      </c>
    </row>
    <row r="2286" spans="1:7">
      <c r="A2286" s="43" t="s">
        <v>315</v>
      </c>
      <c r="B2286" s="43" t="s">
        <v>1684</v>
      </c>
      <c r="C2286" s="56">
        <v>46002</v>
      </c>
      <c r="D2286" s="155">
        <v>1820</v>
      </c>
      <c r="F2286" s="760" t="s">
        <v>1901</v>
      </c>
      <c r="G2286" t="s">
        <v>1844</v>
      </c>
    </row>
    <row r="2287" spans="1:7">
      <c r="A2287" s="1149" t="s">
        <v>503</v>
      </c>
      <c r="B2287" s="69" t="s">
        <v>137</v>
      </c>
      <c r="C2287" s="56">
        <v>46002</v>
      </c>
      <c r="D2287" s="155">
        <v>3172</v>
      </c>
      <c r="G2287" t="s">
        <v>1844</v>
      </c>
    </row>
    <row r="2288" spans="1:7">
      <c r="A2288" s="1149"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0" t="s">
        <v>352</v>
      </c>
      <c r="B2290" s="115" t="s">
        <v>137</v>
      </c>
      <c r="C2290" s="56">
        <v>46002</v>
      </c>
      <c r="D2290" s="155">
        <v>1090</v>
      </c>
      <c r="G2290" t="s">
        <v>1844</v>
      </c>
    </row>
    <row r="2291" spans="1:7">
      <c r="A2291" s="952" t="s">
        <v>1061</v>
      </c>
      <c r="B2291" s="952" t="s">
        <v>1464</v>
      </c>
      <c r="C2291" s="56">
        <v>46003</v>
      </c>
      <c r="D2291" s="43">
        <v>253</v>
      </c>
      <c r="F2291" s="43" t="s">
        <v>1593</v>
      </c>
      <c r="G2291" t="s">
        <v>1844</v>
      </c>
    </row>
    <row r="2292" spans="1:7">
      <c r="A2292" s="952" t="s">
        <v>1091</v>
      </c>
      <c r="B2292" s="952" t="s">
        <v>1711</v>
      </c>
      <c r="C2292" s="56">
        <v>46003</v>
      </c>
      <c r="F2292" s="1156" t="s">
        <v>1903</v>
      </c>
      <c r="G2292" t="s">
        <v>1844</v>
      </c>
    </row>
    <row r="2293" spans="1:7">
      <c r="A2293" s="952" t="s">
        <v>99</v>
      </c>
      <c r="B2293" s="952" t="s">
        <v>1711</v>
      </c>
      <c r="C2293" s="56">
        <v>46003</v>
      </c>
      <c r="D2293" s="43">
        <v>706</v>
      </c>
      <c r="G2293" t="s">
        <v>1844</v>
      </c>
    </row>
    <row r="2294" spans="1:7">
      <c r="A2294" s="760" t="s">
        <v>99</v>
      </c>
      <c r="B2294" s="760" t="s">
        <v>1736</v>
      </c>
      <c r="C2294" s="56">
        <v>46003</v>
      </c>
      <c r="F2294" s="760" t="s">
        <v>1904</v>
      </c>
      <c r="G2294" t="s">
        <v>1844</v>
      </c>
    </row>
    <row r="2295" spans="1:7">
      <c r="A2295" s="952" t="s">
        <v>99</v>
      </c>
      <c r="B2295" s="952" t="s">
        <v>1550</v>
      </c>
      <c r="C2295" s="56">
        <v>46003</v>
      </c>
      <c r="F2295" s="760" t="s">
        <v>1905</v>
      </c>
      <c r="G2295" t="s">
        <v>1844</v>
      </c>
    </row>
    <row r="2296" spans="1:7">
      <c r="A2296" s="760" t="s">
        <v>1092</v>
      </c>
      <c r="B2296" s="760" t="s">
        <v>233</v>
      </c>
      <c r="C2296" s="56">
        <v>46003</v>
      </c>
      <c r="D2296" s="43">
        <v>550</v>
      </c>
      <c r="F2296" s="43" t="s">
        <v>1906</v>
      </c>
      <c r="G2296" t="s">
        <v>1844</v>
      </c>
    </row>
    <row r="2297" spans="1:7">
      <c r="A2297" s="760" t="s">
        <v>324</v>
      </c>
      <c r="B2297" s="760" t="s">
        <v>1464</v>
      </c>
      <c r="C2297" s="56">
        <v>46003</v>
      </c>
      <c r="D2297" s="155">
        <v>1832</v>
      </c>
      <c r="F2297" s="43" t="s">
        <v>1907</v>
      </c>
      <c r="G2297" t="s">
        <v>1844</v>
      </c>
    </row>
    <row r="2298" spans="1:7">
      <c r="A2298" s="757" t="s">
        <v>503</v>
      </c>
      <c r="B2298" s="757" t="s">
        <v>137</v>
      </c>
      <c r="C2298" s="56">
        <v>46003</v>
      </c>
      <c r="G2298" t="s">
        <v>1844</v>
      </c>
    </row>
    <row r="2299" spans="1:7">
      <c r="A2299" s="1131" t="s">
        <v>495</v>
      </c>
      <c r="B2299" s="1131" t="s">
        <v>137</v>
      </c>
      <c r="C2299" s="56">
        <v>46003</v>
      </c>
      <c r="G2299" t="s">
        <v>1844</v>
      </c>
    </row>
    <row r="2300" spans="1:7">
      <c r="A2300" s="1147" t="s">
        <v>355</v>
      </c>
      <c r="B2300" s="1147" t="s">
        <v>137</v>
      </c>
      <c r="C2300" s="56">
        <v>46003</v>
      </c>
      <c r="D2300" s="155">
        <v>2811</v>
      </c>
      <c r="G2300" t="s">
        <v>1844</v>
      </c>
    </row>
    <row r="2301" spans="1:7">
      <c r="A2301" s="757" t="s">
        <v>352</v>
      </c>
      <c r="B2301" s="760" t="s">
        <v>137</v>
      </c>
      <c r="C2301" s="56">
        <v>46003</v>
      </c>
      <c r="G2301" t="s">
        <v>1844</v>
      </c>
    </row>
    <row r="2302" spans="1:7">
      <c r="A2302" s="148" t="s">
        <v>1061</v>
      </c>
      <c r="B2302" s="115" t="s">
        <v>1464</v>
      </c>
      <c r="C2302" s="56">
        <v>46006</v>
      </c>
      <c r="G2302" t="s">
        <v>1844</v>
      </c>
    </row>
    <row r="2303" spans="1:7">
      <c r="A2303" s="148" t="s">
        <v>1091</v>
      </c>
      <c r="B2303" s="148" t="s">
        <v>1711</v>
      </c>
      <c r="C2303" s="56">
        <v>46006</v>
      </c>
      <c r="F2303" s="1342" t="s">
        <v>1903</v>
      </c>
      <c r="G2303" t="s">
        <v>1844</v>
      </c>
    </row>
    <row r="2304" spans="1:7">
      <c r="A2304" s="148" t="s">
        <v>99</v>
      </c>
      <c r="B2304" s="148" t="s">
        <v>1711</v>
      </c>
      <c r="C2304" s="56">
        <v>46006</v>
      </c>
      <c r="G2304" t="s">
        <v>1844</v>
      </c>
    </row>
    <row r="2305" spans="1:7">
      <c r="A2305" s="148" t="s">
        <v>99</v>
      </c>
      <c r="B2305" s="148" t="s">
        <v>1550</v>
      </c>
      <c r="C2305" s="56">
        <v>46006</v>
      </c>
      <c r="G2305" t="s">
        <v>1844</v>
      </c>
    </row>
    <row r="2306" spans="1:7">
      <c r="A2306" s="247" t="s">
        <v>1092</v>
      </c>
      <c r="B2306" s="1144" t="s">
        <v>233</v>
      </c>
      <c r="C2306" s="56">
        <v>46006</v>
      </c>
      <c r="D2306" s="43">
        <v>752</v>
      </c>
      <c r="F2306" s="43" t="s">
        <v>1885</v>
      </c>
      <c r="G2306" t="s">
        <v>1844</v>
      </c>
    </row>
    <row r="2307" spans="1:7">
      <c r="A2307" s="1148" t="s">
        <v>140</v>
      </c>
      <c r="B2307" s="1145" t="s">
        <v>141</v>
      </c>
      <c r="C2307" s="56">
        <v>46006</v>
      </c>
      <c r="G2307" t="s">
        <v>1844</v>
      </c>
    </row>
    <row r="2308" spans="1:7">
      <c r="A2308" s="1096" t="s">
        <v>136</v>
      </c>
      <c r="B2308" s="247" t="s">
        <v>137</v>
      </c>
      <c r="C2308" s="310">
        <v>46006</v>
      </c>
      <c r="D2308" s="155">
        <v>1095</v>
      </c>
      <c r="G2308" t="s">
        <v>1844</v>
      </c>
    </row>
    <row r="2309" spans="1:7">
      <c r="A2309" s="1358" t="s">
        <v>150</v>
      </c>
      <c r="B2309" s="43" t="s">
        <v>137</v>
      </c>
      <c r="C2309" s="310">
        <v>46006</v>
      </c>
      <c r="G2309" t="s">
        <v>1844</v>
      </c>
    </row>
    <row r="2310" spans="1:7">
      <c r="A2310" s="1358" t="s">
        <v>432</v>
      </c>
      <c r="B2310" s="43" t="s">
        <v>137</v>
      </c>
      <c r="C2310" s="310">
        <v>46006</v>
      </c>
      <c r="F2310" s="760" t="s">
        <v>1325</v>
      </c>
      <c r="G2310" t="s">
        <v>1844</v>
      </c>
    </row>
    <row r="2311" spans="1:7">
      <c r="A2311" s="1359" t="s">
        <v>248</v>
      </c>
      <c r="B2311" s="247" t="s">
        <v>249</v>
      </c>
      <c r="C2311" s="310">
        <v>46006</v>
      </c>
      <c r="G2311" t="s">
        <v>1844</v>
      </c>
    </row>
    <row r="2312" spans="1:7">
      <c r="A2312" s="43" t="s">
        <v>324</v>
      </c>
      <c r="B2312" s="322" t="s">
        <v>1464</v>
      </c>
      <c r="C2312" s="56">
        <v>46006</v>
      </c>
      <c r="G2312" t="s">
        <v>1844</v>
      </c>
    </row>
    <row r="2313" spans="1:7">
      <c r="A2313" s="148" t="s">
        <v>333</v>
      </c>
      <c r="B2313" s="43" t="s">
        <v>1684</v>
      </c>
      <c r="C2313" s="56">
        <v>46006</v>
      </c>
      <c r="G2313" t="s">
        <v>1844</v>
      </c>
    </row>
    <row r="2314" spans="1:7">
      <c r="A2314" s="1149" t="s">
        <v>503</v>
      </c>
      <c r="B2314" s="69" t="s">
        <v>137</v>
      </c>
      <c r="C2314" s="56">
        <v>46006</v>
      </c>
      <c r="G2314" t="s">
        <v>1844</v>
      </c>
    </row>
    <row r="2315" spans="1:7">
      <c r="A2315" s="1149" t="s">
        <v>470</v>
      </c>
      <c r="B2315" s="69" t="s">
        <v>137</v>
      </c>
      <c r="C2315" s="56">
        <v>46006</v>
      </c>
      <c r="F2315" s="760" t="s">
        <v>1325</v>
      </c>
      <c r="G2315"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45"/>
      <c r="B1" s="1345"/>
      <c r="C1" s="1345"/>
      <c r="D1" s="1345"/>
      <c r="E1" s="1345"/>
      <c r="F1" s="1345"/>
      <c r="G1" s="1345"/>
      <c r="H1" s="1345"/>
      <c r="I1" s="1345"/>
      <c r="J1" s="1"/>
      <c r="K1" s="1"/>
      <c r="L1" s="1"/>
      <c r="M1" s="1"/>
      <c r="N1" s="1"/>
      <c r="O1" s="1"/>
      <c r="P1" s="1346" t="s">
        <v>34</v>
      </c>
      <c r="Q1" s="1346"/>
      <c r="R1" s="1346"/>
      <c r="S1" s="1346"/>
      <c r="T1" s="1346"/>
      <c r="U1" s="1346"/>
      <c r="V1" s="1346"/>
      <c r="W1" s="1346"/>
      <c r="X1" s="1346"/>
      <c r="Y1" s="1346"/>
      <c r="Z1" s="1346"/>
      <c r="AA1" s="1346"/>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626</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1926</v>
      </c>
      <c r="B8" s="440" t="s">
        <v>1927</v>
      </c>
      <c r="C8" s="16">
        <v>45748</v>
      </c>
      <c r="D8" s="16" t="s">
        <v>1918</v>
      </c>
      <c r="E8" s="94" t="s">
        <v>52</v>
      </c>
      <c r="F8" s="95" t="s">
        <v>52</v>
      </c>
      <c r="G8" s="620" t="s">
        <v>1928</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0" t="s">
        <v>50</v>
      </c>
      <c r="C28" s="1113">
        <v>45991</v>
      </c>
      <c r="D28" s="375" t="s">
        <v>72</v>
      </c>
      <c r="E28" s="77">
        <v>45734</v>
      </c>
      <c r="F28" s="1111" t="s">
        <v>61</v>
      </c>
      <c r="G28" s="1122" t="s">
        <v>1956</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0" t="s">
        <v>50</v>
      </c>
      <c r="C29" s="1113">
        <v>46021</v>
      </c>
      <c r="D29" s="375" t="s">
        <v>72</v>
      </c>
      <c r="E29" s="77">
        <v>45743</v>
      </c>
      <c r="F29" s="1111" t="s">
        <v>61</v>
      </c>
      <c r="G29" s="1121" t="s">
        <v>1958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1959</v>
      </c>
      <c r="AC29" s="1117"/>
      <c r="AD29" s="1119"/>
    </row>
    <row r="30" spans="1:30" ht="24.75" customHeight="1">
      <c r="A30" s="374" t="s">
        <v>1960</v>
      </c>
      <c r="B30" s="669" t="s">
        <v>50</v>
      </c>
      <c r="C30" s="375">
        <v>45991</v>
      </c>
      <c r="D30" s="50" t="s">
        <v>72</v>
      </c>
      <c r="E30" s="51">
        <v>45743</v>
      </c>
      <c r="F30" s="50" t="s">
        <v>61</v>
      </c>
      <c r="G30" s="379" t="s">
        <v>1961</v>
      </c>
      <c r="H30" s="52">
        <v>87</v>
      </c>
      <c r="I30" s="667" t="s">
        <v>55</v>
      </c>
      <c r="J30" s="376" t="s">
        <v>63</v>
      </c>
      <c r="K30" s="1125"/>
      <c r="L30" s="77">
        <v>45741</v>
      </c>
      <c r="M30" s="1126" t="s">
        <v>57</v>
      </c>
      <c r="N30" s="1128">
        <v>75191.5</v>
      </c>
      <c r="O30" s="376" t="s">
        <v>57</v>
      </c>
      <c r="P30" s="58" t="s">
        <v>69</v>
      </c>
      <c r="Q30" s="479">
        <v>45748</v>
      </c>
      <c r="R30" s="42">
        <v>6387</v>
      </c>
      <c r="S30" s="996">
        <v>0</v>
      </c>
      <c r="T30" s="330">
        <v>0</v>
      </c>
      <c r="U30" s="22">
        <v>0</v>
      </c>
      <c r="V30" s="30"/>
      <c r="W30" s="34">
        <v>0</v>
      </c>
      <c r="X30" s="34">
        <v>0</v>
      </c>
      <c r="Y30" s="34">
        <v>0</v>
      </c>
      <c r="Z30" s="34">
        <v>0</v>
      </c>
      <c r="AA30" s="34">
        <v>0</v>
      </c>
      <c r="AB30" s="208" t="s">
        <v>1962</v>
      </c>
      <c r="AC30" s="333"/>
      <c r="AD30" s="115"/>
    </row>
    <row r="31" spans="1:30" ht="24.75" customHeight="1">
      <c r="A31" s="374" t="s">
        <v>1043</v>
      </c>
      <c r="B31" s="669" t="s">
        <v>50</v>
      </c>
      <c r="C31" s="375">
        <v>46021</v>
      </c>
      <c r="D31" s="375" t="s">
        <v>72</v>
      </c>
      <c r="E31" s="51">
        <v>45735</v>
      </c>
      <c r="F31" s="50" t="s">
        <v>61</v>
      </c>
      <c r="G31" s="670" t="s">
        <v>1963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1964</v>
      </c>
      <c r="W31" s="34">
        <v>0</v>
      </c>
      <c r="X31" s="34">
        <v>0</v>
      </c>
      <c r="Y31" s="31">
        <v>0</v>
      </c>
      <c r="Z31" s="34">
        <v>0</v>
      </c>
      <c r="AA31" s="31">
        <v>0</v>
      </c>
      <c r="AB31" s="353" t="s">
        <v>1959</v>
      </c>
    </row>
    <row r="32" spans="1:30" ht="24.75" customHeight="1">
      <c r="A32" s="906" t="s">
        <v>1965</v>
      </c>
      <c r="B32" s="1112" t="s">
        <v>50</v>
      </c>
      <c r="C32" s="988">
        <v>45717</v>
      </c>
      <c r="D32" s="988" t="s">
        <v>1947</v>
      </c>
      <c r="E32" s="988">
        <v>45695</v>
      </c>
      <c r="F32" s="988"/>
      <c r="G32" s="988"/>
      <c r="H32" s="979">
        <v>25</v>
      </c>
      <c r="I32" s="979"/>
      <c r="J32" s="979" t="s">
        <v>56</v>
      </c>
      <c r="K32" s="979"/>
      <c r="L32" s="979"/>
      <c r="M32" s="979" t="s">
        <v>57</v>
      </c>
      <c r="N32" s="1114">
        <v>7844.43</v>
      </c>
      <c r="O32" s="979" t="s">
        <v>57</v>
      </c>
      <c r="P32" s="994" t="s">
        <v>58</v>
      </c>
      <c r="Q32" s="915"/>
      <c r="R32" s="30">
        <v>171</v>
      </c>
      <c r="S32" s="83">
        <v>0</v>
      </c>
      <c r="T32" s="995">
        <v>0</v>
      </c>
      <c r="U32" s="22">
        <v>0</v>
      </c>
      <c r="V32" s="30"/>
      <c r="W32" s="34">
        <v>0</v>
      </c>
      <c r="X32" s="34">
        <v>0</v>
      </c>
      <c r="Y32" s="34">
        <v>0</v>
      </c>
      <c r="Z32" s="34">
        <v>0</v>
      </c>
      <c r="AA32" s="61">
        <v>0</v>
      </c>
      <c r="AB32" s="148"/>
    </row>
    <row r="33" spans="1:30" ht="24.75" customHeight="1">
      <c r="A33" s="906" t="s">
        <v>1966</v>
      </c>
      <c r="B33" s="992" t="s">
        <v>50</v>
      </c>
      <c r="C33" s="908">
        <v>45989</v>
      </c>
      <c r="D33" s="908" t="s">
        <v>1967</v>
      </c>
      <c r="E33" s="988"/>
      <c r="F33" s="912"/>
      <c r="G33" s="993"/>
      <c r="H33" s="979">
        <v>194</v>
      </c>
      <c r="I33" s="911" t="s">
        <v>55</v>
      </c>
      <c r="J33" s="910" t="s">
        <v>56</v>
      </c>
      <c r="K33" s="1067"/>
      <c r="L33" s="988">
        <v>45964</v>
      </c>
      <c r="M33" s="979" t="s">
        <v>57</v>
      </c>
      <c r="N33" s="990">
        <v>39337.5</v>
      </c>
      <c r="O33" s="979" t="s">
        <v>57</v>
      </c>
      <c r="P33" s="991" t="s">
        <v>58</v>
      </c>
      <c r="Q33" s="599">
        <v>45964</v>
      </c>
      <c r="R33" s="106">
        <v>3970</v>
      </c>
      <c r="S33" s="656">
        <v>0</v>
      </c>
      <c r="T33" s="1115">
        <v>0</v>
      </c>
      <c r="U33" s="34">
        <v>0</v>
      </c>
      <c r="V33" s="34"/>
      <c r="W33" s="34">
        <v>0</v>
      </c>
      <c r="X33" s="34">
        <v>0</v>
      </c>
      <c r="Y33" s="34">
        <v>0</v>
      </c>
      <c r="Z33" s="34">
        <v>0</v>
      </c>
      <c r="AA33" s="61">
        <v>0</v>
      </c>
      <c r="AB33" s="901" t="s">
        <v>1968</v>
      </c>
    </row>
    <row r="34" spans="1:30" ht="24.75" customHeight="1">
      <c r="A34" s="906" t="s">
        <v>1969</v>
      </c>
      <c r="B34" s="1112" t="s">
        <v>50</v>
      </c>
      <c r="C34" s="988">
        <v>45717</v>
      </c>
      <c r="D34" s="988" t="s">
        <v>1947</v>
      </c>
      <c r="E34" s="988">
        <v>45695</v>
      </c>
      <c r="F34" s="988"/>
      <c r="G34" s="988"/>
      <c r="H34" s="979">
        <v>52</v>
      </c>
      <c r="I34" s="979"/>
      <c r="J34" s="979" t="s">
        <v>56</v>
      </c>
      <c r="K34" s="979"/>
      <c r="L34" s="979"/>
      <c r="M34" s="979" t="s">
        <v>57</v>
      </c>
      <c r="N34" s="1114">
        <v>17100.2</v>
      </c>
      <c r="O34" s="979" t="s">
        <v>57</v>
      </c>
      <c r="P34" s="991" t="s">
        <v>58</v>
      </c>
      <c r="Q34" s="915"/>
      <c r="R34" s="980">
        <v>1246</v>
      </c>
      <c r="S34" s="603">
        <v>0</v>
      </c>
      <c r="T34" s="604">
        <v>0</v>
      </c>
      <c r="U34" s="604">
        <v>0</v>
      </c>
      <c r="V34" s="915"/>
      <c r="W34" s="601">
        <v>0</v>
      </c>
      <c r="X34" s="34">
        <v>0</v>
      </c>
      <c r="Y34" s="34">
        <v>0</v>
      </c>
      <c r="Z34" s="34">
        <v>0</v>
      </c>
      <c r="AA34" s="61">
        <v>0</v>
      </c>
      <c r="AB34" s="1063"/>
    </row>
    <row r="35" spans="1:30" ht="24.75" customHeight="1">
      <c r="A35" s="906" t="s">
        <v>1970</v>
      </c>
      <c r="B35" s="1112" t="s">
        <v>50</v>
      </c>
      <c r="C35" s="988">
        <v>45717</v>
      </c>
      <c r="D35" s="988" t="s">
        <v>1947</v>
      </c>
      <c r="E35" s="988">
        <v>45695</v>
      </c>
      <c r="F35" s="988"/>
      <c r="G35" s="988"/>
      <c r="H35" s="979">
        <v>305</v>
      </c>
      <c r="I35" s="979"/>
      <c r="J35" s="979" t="s">
        <v>56</v>
      </c>
      <c r="K35" s="979"/>
      <c r="L35" s="979"/>
      <c r="M35" s="979" t="s">
        <v>57</v>
      </c>
      <c r="N35" s="1114">
        <v>91420.91</v>
      </c>
      <c r="O35" s="979" t="s">
        <v>57</v>
      </c>
      <c r="P35" s="994" t="s">
        <v>58</v>
      </c>
      <c r="Q35" s="915"/>
      <c r="R35" s="1110">
        <v>8225</v>
      </c>
      <c r="S35" s="603">
        <v>0</v>
      </c>
      <c r="T35" s="604">
        <v>0</v>
      </c>
      <c r="U35" s="604">
        <v>0</v>
      </c>
      <c r="V35" s="1116"/>
      <c r="W35" s="601">
        <v>0</v>
      </c>
      <c r="X35" s="601">
        <v>0</v>
      </c>
      <c r="Y35" s="601">
        <v>0</v>
      </c>
      <c r="Z35" s="34">
        <v>0</v>
      </c>
      <c r="AA35" s="61">
        <v>0</v>
      </c>
      <c r="AB35" s="1063"/>
      <c r="AC35" s="1118"/>
      <c r="AD35" s="594"/>
    </row>
    <row r="36" spans="1:30" ht="24.75" customHeight="1">
      <c r="A36" s="906" t="s">
        <v>1971</v>
      </c>
      <c r="B36" s="1112" t="s">
        <v>50</v>
      </c>
      <c r="C36" s="988">
        <v>45717</v>
      </c>
      <c r="D36" s="988" t="s">
        <v>1947</v>
      </c>
      <c r="E36" s="988">
        <v>45695</v>
      </c>
      <c r="F36" s="988"/>
      <c r="G36" s="988"/>
      <c r="H36" s="979">
        <v>91</v>
      </c>
      <c r="I36" s="979"/>
      <c r="J36" s="979" t="s">
        <v>56</v>
      </c>
      <c r="K36" s="979"/>
      <c r="L36" s="979"/>
      <c r="M36" s="979" t="s">
        <v>57</v>
      </c>
      <c r="N36" s="1114">
        <v>29508.91</v>
      </c>
      <c r="O36" s="979" t="s">
        <v>57</v>
      </c>
      <c r="P36" s="991" t="s">
        <v>58</v>
      </c>
      <c r="Q36" s="915"/>
      <c r="R36" s="980">
        <v>2856</v>
      </c>
      <c r="S36" s="603">
        <v>0</v>
      </c>
      <c r="T36" s="604">
        <v>0</v>
      </c>
      <c r="U36" s="604">
        <v>0</v>
      </c>
      <c r="V36" s="915"/>
      <c r="W36" s="601">
        <v>0</v>
      </c>
      <c r="X36" s="601">
        <v>0</v>
      </c>
      <c r="Y36" s="601">
        <v>0</v>
      </c>
      <c r="Z36" s="601">
        <v>0</v>
      </c>
      <c r="AA36" s="601">
        <v>0</v>
      </c>
      <c r="AB36" s="106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525</v>
      </c>
      <c r="B2" s="180" t="s">
        <v>238</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238</v>
      </c>
      <c r="C3" s="689">
        <v>45742</v>
      </c>
      <c r="D3" s="690"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6"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3" t="s">
        <v>630</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6" t="s">
        <v>238</v>
      </c>
      <c r="C7" s="386">
        <v>45742</v>
      </c>
      <c r="D7" s="411" t="s">
        <v>538</v>
      </c>
      <c r="E7" s="522"/>
      <c r="F7" s="523"/>
      <c r="G7" s="523"/>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534</v>
      </c>
      <c r="B8" s="180" t="s">
        <v>238</v>
      </c>
      <c r="C8" s="176">
        <v>45742</v>
      </c>
      <c r="D8" s="185" t="s">
        <v>1983</v>
      </c>
      <c r="E8" s="120"/>
      <c r="F8" s="108"/>
      <c r="G8" s="108"/>
      <c r="H8" s="179">
        <v>84</v>
      </c>
      <c r="I8" s="181"/>
      <c r="J8" s="185" t="s">
        <v>57</v>
      </c>
      <c r="K8" s="185" t="s">
        <v>57</v>
      </c>
      <c r="L8" s="185" t="s">
        <v>63</v>
      </c>
      <c r="M8" s="193">
        <v>45716</v>
      </c>
      <c r="N8" s="30" t="s">
        <v>319</v>
      </c>
      <c r="O8" s="30" t="s">
        <v>319</v>
      </c>
      <c r="P8" s="711"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19" t="s">
        <v>535</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536</v>
      </c>
      <c r="B11" s="422" t="s">
        <v>238</v>
      </c>
      <c r="C11" s="176">
        <v>45991</v>
      </c>
      <c r="D11" s="534" t="s">
        <v>538</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5"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632</v>
      </c>
      <c r="B16" s="180" t="s">
        <v>238</v>
      </c>
      <c r="C16" s="314">
        <v>45742</v>
      </c>
      <c r="D16" s="699" t="s">
        <v>634</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4"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911</v>
      </c>
      <c r="B46" s="175" t="s">
        <v>117</v>
      </c>
      <c r="C46" s="183">
        <v>45868</v>
      </c>
      <c r="D46" s="179" t="s">
        <v>912</v>
      </c>
      <c r="E46" s="702"/>
      <c r="F46" s="706"/>
      <c r="G46" s="706"/>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914</v>
      </c>
      <c r="B47" s="529"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29"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929</v>
      </c>
      <c r="B54" s="529" t="s">
        <v>117</v>
      </c>
      <c r="C54" s="177">
        <v>45899</v>
      </c>
      <c r="D54" s="697"/>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29"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29"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29"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948</v>
      </c>
      <c r="E66" s="701"/>
      <c r="F66" s="705"/>
      <c r="G66" s="705"/>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29"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0"/>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29"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19" t="s">
        <v>445</v>
      </c>
      <c r="E73" s="728"/>
      <c r="F73" s="729"/>
      <c r="G73" s="729"/>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19"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29"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1987</v>
      </c>
      <c r="B81" s="529" t="s">
        <v>117</v>
      </c>
      <c r="C81" s="176">
        <v>45688</v>
      </c>
      <c r="D81" s="619" t="s">
        <v>749</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29"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816</v>
      </c>
      <c r="B116" s="182" t="s">
        <v>50</v>
      </c>
      <c r="C116" s="314">
        <v>45772</v>
      </c>
      <c r="D116" s="716" t="s">
        <v>818</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820</v>
      </c>
      <c r="B117" s="182" t="s">
        <v>50</v>
      </c>
      <c r="C117" s="314">
        <v>45772</v>
      </c>
      <c r="D117" s="518" t="s">
        <v>821</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828</v>
      </c>
      <c r="B120" s="182" t="s">
        <v>50</v>
      </c>
      <c r="C120" s="314">
        <v>45772</v>
      </c>
      <c r="D120" s="519" t="s">
        <v>829</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830</v>
      </c>
      <c r="B121" s="688" t="s">
        <v>50</v>
      </c>
      <c r="C121" s="689">
        <v>45772</v>
      </c>
      <c r="D121" s="363" t="s">
        <v>831</v>
      </c>
      <c r="H121" s="341">
        <v>87</v>
      </c>
      <c r="I121" s="339"/>
      <c r="J121" s="363" t="s">
        <v>57</v>
      </c>
      <c r="K121" s="709"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969</v>
      </c>
      <c r="B124" s="182" t="s">
        <v>50</v>
      </c>
      <c r="C124" s="176">
        <v>45772</v>
      </c>
      <c r="D124" s="534"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972</v>
      </c>
      <c r="B128" s="182" t="s">
        <v>50</v>
      </c>
      <c r="C128" s="362">
        <v>45742</v>
      </c>
      <c r="D128" s="370" t="s">
        <v>973</v>
      </c>
      <c r="E128" s="370"/>
      <c r="F128" s="370"/>
      <c r="G128" s="370"/>
      <c r="H128" s="341">
        <v>82</v>
      </c>
      <c r="I128" s="339"/>
      <c r="J128" s="188" t="s">
        <v>57</v>
      </c>
      <c r="K128" s="707"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39" t="s">
        <v>57</v>
      </c>
      <c r="K131" s="539"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849</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1"/>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1"/>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1"/>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2" t="s">
        <v>50</v>
      </c>
      <c r="C144" s="532">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1067</v>
      </c>
      <c r="B147" s="687" t="s">
        <v>50</v>
      </c>
      <c r="C147" s="579">
        <v>45991</v>
      </c>
      <c r="D147" s="410" t="s">
        <v>1958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699"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976</v>
      </c>
      <c r="B156" s="406" t="s">
        <v>50</v>
      </c>
      <c r="C156" s="400">
        <v>45991</v>
      </c>
      <c r="D156" s="532" t="s">
        <v>977</v>
      </c>
      <c r="E156" s="536"/>
      <c r="F156" s="359"/>
      <c r="G156" s="359"/>
      <c r="H156" s="361">
        <v>87</v>
      </c>
      <c r="I156" s="360"/>
      <c r="J156" s="539" t="s">
        <v>57</v>
      </c>
      <c r="K156" s="708"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4"/>
      <c r="F157" s="419"/>
      <c r="G157" s="419"/>
      <c r="H157" s="419">
        <v>79</v>
      </c>
      <c r="I157" s="360"/>
      <c r="J157" s="361" t="s">
        <v>57</v>
      </c>
      <c r="K157" s="553"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1"/>
      <c r="F160" s="361"/>
      <c r="G160" s="361"/>
      <c r="H160" s="361">
        <v>0</v>
      </c>
      <c r="I160" s="401"/>
      <c r="J160" s="361" t="s">
        <v>57</v>
      </c>
      <c r="K160" s="553"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319</v>
      </c>
      <c r="O162" s="582">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981</v>
      </c>
      <c r="B163" s="406" t="s">
        <v>50</v>
      </c>
      <c r="C163" s="408">
        <v>45711</v>
      </c>
      <c r="D163" s="532" t="s">
        <v>982</v>
      </c>
      <c r="E163" s="536"/>
      <c r="F163" s="359"/>
      <c r="G163" s="359"/>
      <c r="H163" s="361">
        <v>0</v>
      </c>
      <c r="I163" s="360"/>
      <c r="J163" s="539" t="s">
        <v>57</v>
      </c>
      <c r="K163" s="708" t="s">
        <v>57</v>
      </c>
      <c r="L163" s="361" t="s">
        <v>63</v>
      </c>
      <c r="M163" s="582">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7" t="s">
        <v>1028</v>
      </c>
      <c r="B164" s="406" t="s">
        <v>50</v>
      </c>
      <c r="C164" s="633">
        <v>45688</v>
      </c>
      <c r="D164" s="402"/>
      <c r="E164" s="401"/>
      <c r="F164" s="360"/>
      <c r="G164" s="360"/>
      <c r="H164" s="361">
        <v>0</v>
      </c>
      <c r="I164" s="360"/>
      <c r="J164" s="360"/>
      <c r="K164" s="412"/>
      <c r="L164" s="539"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319</v>
      </c>
      <c r="N165" s="30" t="s">
        <v>319</v>
      </c>
      <c r="O165" s="582">
        <v>45818</v>
      </c>
      <c r="P165" s="87" t="s">
        <v>319</v>
      </c>
      <c r="Q165" s="43" t="s">
        <v>319</v>
      </c>
      <c r="R165" s="43" t="s">
        <v>319</v>
      </c>
      <c r="S165" s="43" t="s">
        <v>56</v>
      </c>
      <c r="T165" s="43" t="s">
        <v>319</v>
      </c>
      <c r="U165" s="43" t="s">
        <v>319</v>
      </c>
      <c r="V165" s="43" t="s">
        <v>319</v>
      </c>
      <c r="W165" s="356">
        <v>45854</v>
      </c>
      <c r="X165" s="69" t="s">
        <v>1985</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319</v>
      </c>
      <c r="N166" s="30" t="s">
        <v>319</v>
      </c>
      <c r="O166" s="582">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4">
        <v>45742</v>
      </c>
      <c r="D167" s="361" t="s">
        <v>985</v>
      </c>
      <c r="E167" s="361"/>
      <c r="F167" s="361"/>
      <c r="G167" s="361"/>
      <c r="H167" s="361">
        <v>0</v>
      </c>
      <c r="I167" s="360"/>
      <c r="J167" s="361" t="s">
        <v>57</v>
      </c>
      <c r="K167" s="553" t="s">
        <v>57</v>
      </c>
      <c r="L167" s="361" t="s">
        <v>63</v>
      </c>
      <c r="M167" s="582">
        <v>45714</v>
      </c>
      <c r="N167" s="87" t="s">
        <v>319</v>
      </c>
      <c r="O167" s="582">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5" t="s">
        <v>987</v>
      </c>
      <c r="E172" s="360"/>
      <c r="F172" s="360"/>
      <c r="G172" s="360"/>
      <c r="H172" s="361">
        <v>0</v>
      </c>
      <c r="I172" s="360"/>
      <c r="J172" s="361" t="s">
        <v>57</v>
      </c>
      <c r="K172" s="553"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47" t="s">
        <v>1995</v>
      </c>
      <c r="C1" s="1347"/>
      <c r="D1" s="558"/>
      <c r="E1" s="1347" t="s">
        <v>1996</v>
      </c>
      <c r="F1" s="1347"/>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v>113260</v>
      </c>
      <c r="E4" s="44" t="s">
        <v>1997</v>
      </c>
      <c r="F4" t="s">
        <v>1020</v>
      </c>
      <c r="W4" t="s">
        <v>2001</v>
      </c>
      <c r="X4">
        <v>22</v>
      </c>
    </row>
    <row r="5" spans="1:25">
      <c r="B5" t="s">
        <v>72</v>
      </c>
      <c r="C5">
        <v>32741</v>
      </c>
      <c r="E5" t="s">
        <v>1020</v>
      </c>
      <c r="F5">
        <v>176043</v>
      </c>
      <c r="K5" s="44" t="s">
        <v>2002</v>
      </c>
      <c r="P5" s="44" t="s">
        <v>2002</v>
      </c>
      <c r="W5" t="s">
        <v>2003</v>
      </c>
      <c r="X5">
        <v>13</v>
      </c>
    </row>
    <row r="6" spans="1:25">
      <c r="B6" t="s">
        <v>100</v>
      </c>
      <c r="C6">
        <v>22387</v>
      </c>
      <c r="K6" s="44" t="s">
        <v>27</v>
      </c>
      <c r="L6" s="44" t="s">
        <v>2004</v>
      </c>
      <c r="M6" t="s">
        <v>1020</v>
      </c>
      <c r="P6" s="44" t="s">
        <v>2005</v>
      </c>
      <c r="Q6" s="44" t="s">
        <v>2004</v>
      </c>
      <c r="R6" t="s">
        <v>1020</v>
      </c>
    </row>
    <row r="7" spans="1:25">
      <c r="B7" t="s">
        <v>1047</v>
      </c>
      <c r="C7">
        <v>212091</v>
      </c>
      <c r="K7" t="s">
        <v>1998</v>
      </c>
      <c r="L7" t="s">
        <v>635</v>
      </c>
      <c r="M7">
        <v>1</v>
      </c>
      <c r="P7" t="s">
        <v>2006</v>
      </c>
      <c r="R7">
        <v>1</v>
      </c>
      <c r="X7" t="s">
        <v>2007</v>
      </c>
      <c r="Y7" t="s">
        <v>2008</v>
      </c>
    </row>
    <row r="8" spans="1:25">
      <c r="B8" t="s">
        <v>51</v>
      </c>
      <c r="C8">
        <v>446</v>
      </c>
      <c r="L8" t="s">
        <v>637</v>
      </c>
      <c r="M8">
        <v>1</v>
      </c>
      <c r="P8" t="s">
        <v>2009</v>
      </c>
      <c r="R8">
        <v>1</v>
      </c>
      <c r="V8" t="s">
        <v>2010</v>
      </c>
      <c r="W8" s="257">
        <v>203521</v>
      </c>
      <c r="X8" s="313">
        <f>X5/X4</f>
        <v>0.59090909090909094</v>
      </c>
      <c r="Y8" s="313">
        <f>W9/W8</f>
        <v>0.31446386367991508</v>
      </c>
    </row>
    <row r="9" spans="1:25">
      <c r="B9" t="s">
        <v>22</v>
      </c>
      <c r="C9">
        <v>0</v>
      </c>
      <c r="L9" t="s">
        <v>2011</v>
      </c>
      <c r="M9">
        <v>1</v>
      </c>
      <c r="P9" t="s">
        <v>2012</v>
      </c>
      <c r="Q9" t="s">
        <v>2011</v>
      </c>
      <c r="R9">
        <v>1</v>
      </c>
      <c r="V9" t="s">
        <v>2013</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2014</v>
      </c>
      <c r="R12">
        <v>1</v>
      </c>
    </row>
    <row r="13" spans="1:25">
      <c r="B13" t="s">
        <v>233</v>
      </c>
      <c r="C13">
        <v>8065</v>
      </c>
      <c r="L13" t="s">
        <v>2015</v>
      </c>
      <c r="M13">
        <v>1</v>
      </c>
      <c r="Q13" t="s">
        <v>969</v>
      </c>
      <c r="R13">
        <v>1</v>
      </c>
    </row>
    <row r="14" spans="1:25">
      <c r="B14" t="s">
        <v>141</v>
      </c>
      <c r="C14">
        <v>7655</v>
      </c>
      <c r="L14" t="s">
        <v>814</v>
      </c>
      <c r="M14">
        <v>1</v>
      </c>
      <c r="P14" t="s">
        <v>2016</v>
      </c>
      <c r="R14">
        <v>5</v>
      </c>
    </row>
    <row r="15" spans="1:25">
      <c r="B15" t="s">
        <v>201</v>
      </c>
      <c r="C15">
        <v>3</v>
      </c>
      <c r="L15" t="s">
        <v>2014</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2017</v>
      </c>
      <c r="M21">
        <v>1</v>
      </c>
    </row>
    <row r="22" spans="2:13">
      <c r="L22" t="s">
        <v>969</v>
      </c>
      <c r="M22">
        <v>1</v>
      </c>
    </row>
    <row r="23" spans="2:13">
      <c r="L23" t="s">
        <v>862</v>
      </c>
      <c r="M23">
        <v>1</v>
      </c>
    </row>
    <row r="24" spans="2:13">
      <c r="L24" t="s">
        <v>883</v>
      </c>
      <c r="M24">
        <v>1</v>
      </c>
    </row>
    <row r="25" spans="2:13">
      <c r="L25" t="s">
        <v>195</v>
      </c>
      <c r="M25">
        <v>1</v>
      </c>
    </row>
    <row r="26" spans="2:13">
      <c r="K26" t="s">
        <v>2018</v>
      </c>
      <c r="M26">
        <v>19</v>
      </c>
    </row>
    <row r="27" spans="2:13">
      <c r="K27" t="s">
        <v>2019</v>
      </c>
      <c r="L27" t="s">
        <v>808</v>
      </c>
      <c r="M27">
        <v>1</v>
      </c>
    </row>
    <row r="28" spans="2:13">
      <c r="L28" t="s">
        <v>810</v>
      </c>
      <c r="M28">
        <v>1</v>
      </c>
    </row>
    <row r="29" spans="2:13">
      <c r="L29" t="s">
        <v>812</v>
      </c>
      <c r="M29">
        <v>1</v>
      </c>
    </row>
    <row r="30" spans="2:13">
      <c r="L30" t="s">
        <v>828</v>
      </c>
      <c r="M30">
        <v>1</v>
      </c>
    </row>
    <row r="31" spans="2:13">
      <c r="L31" t="s">
        <v>832</v>
      </c>
      <c r="M31">
        <v>1</v>
      </c>
    </row>
    <row r="32" spans="2:13">
      <c r="L32" t="s">
        <v>2020</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2021</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48"/>
      <c r="B1" s="1348"/>
      <c r="C1" s="1348"/>
      <c r="D1" s="1348"/>
      <c r="E1" s="1348"/>
      <c r="F1" s="1348"/>
      <c r="G1" s="1348"/>
      <c r="H1" s="1349" t="s">
        <v>2022</v>
      </c>
      <c r="I1" s="1349"/>
      <c r="J1" s="1349"/>
      <c r="K1" s="1349"/>
      <c r="L1" s="1349"/>
      <c r="M1" s="1349"/>
      <c r="N1" s="1349"/>
      <c r="O1" s="1349"/>
      <c r="P1" s="260"/>
      <c r="Q1" s="1350" t="s">
        <v>34</v>
      </c>
      <c r="R1" s="1350"/>
      <c r="S1" s="1346"/>
      <c r="T1" s="1350"/>
      <c r="U1" s="1350"/>
      <c r="V1" s="1350"/>
      <c r="W1" s="1350"/>
      <c r="X1" s="1350"/>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626</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515</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511</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883</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862</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865</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808</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810</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793</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797</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800</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969</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828</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832</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820</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814</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816</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812</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822</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826</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830</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518</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635</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637</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686</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680</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678</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684</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660</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662</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658</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708</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2" t="s">
        <v>658</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2" t="s">
        <v>660</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3" t="s">
        <v>662</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D47C786-6DC1-4FA8-BCE1-0312BC90F0B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2025-12-15T20:02:48Z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