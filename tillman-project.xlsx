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68" documentId="8_{E14B221E-02E2-46A3-8CEC-C736815F2DD5}" xr6:coauthVersionLast="47" xr6:coauthVersionMax="47" xr10:uidLastSave="{86D998D2-24AE-496D-9350-B19C93A91C25}"/>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43183" r:id="rId12"/>
    <pivotCache cacheId="343187" r:id="rId13"/>
    <pivotCache cacheId="343192" r:id="rId14"/>
    <pivotCache cacheId="343199" r:id="rId15"/>
    <pivotCache cacheId="343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6" i="31" l="1"/>
  <c r="X66"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X114"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2" i="31"/>
  <c r="Y62"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5" i="31"/>
  <c r="X65"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4" i="31"/>
  <c r="X64"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114"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<sst xmlns="http://schemas.openxmlformats.org/spreadsheetml/2006/main" count="16217" uniqueCount="2096">
  <si>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</si>
  <si>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</si>
  <si>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</si>
  <si>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</si>
  <si>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</si>
  <si>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</si>
  <si>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</si>
  <si>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</si>
  <si>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</si>
  <si>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</si>
  <si>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</si>
  <si>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</si>
  <si>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</si>
  <si>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</si>
  <si>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</si>
  <si>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</si>
  <si>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</si>
  <si>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</si>
  <si>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</si>
  <si>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</si>
  <si>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</si>
  <si>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</si>
  <si>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</si>
  <si>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</si>
  <si>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</si>
  <si>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</si>
  <si>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</si>
  <si>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</si>
  <si>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</si>
  <si>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</si>
  <si>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</si>
  <si>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</si>
  <si>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</si>
  <si>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</si>
  <si>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</si>
  <si>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</si>
  <si>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</si>
  <si>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</si>
  <si>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</si>
  <si>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</si>
  <si>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</si>
  <si>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</si>
  <si>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</si>
  <si>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</si>
  <si>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</si>
  <si>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</si>
  <si>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</si>
  <si>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</si>
  <si>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</si>
  <si>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</si>
  <si>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</si>
  <si>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</si>
  <si>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</si>
  <si>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</si>
  <si>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</si>
  <si>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</si>
  <si>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</si>
  <si>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</si>
  <si>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</si>
  <si>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</si>
  <si>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</si>
  <si>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</si>
  <si>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</si>
  <si>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</si>
  <si>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</si>
  <si>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</si>
  <si>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</si>
  <si>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</si>
  <si>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</si>
  <si>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</si>
  <si>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</si>
  <si>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</si>
  <si>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</si>
  <si>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</si>
  <si>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</si>
  <si>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</si>
  <si>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</si>
  <si>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</si>
  <si>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</si>
  <si>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</si>
  <si>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</si>
  <si>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</si>
  <si>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</si>
  <si>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</si>
  <si>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</si>
  <si>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</si>
  <si>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</si>
  <si>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</si>
  <si>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</si>
  <si>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</si>
  <si>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</si>
  <si>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</si>
  <si>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</si>
  <si>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</si>
  <si>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</si>
  <si>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</si>
  <si>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</si>
  <si>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</si>
  <si>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</si>
  <si>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</si>
  <si>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</si>
  <si>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</si>
  <si>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</si>
  <si>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</si>
  <si>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</si>
  <si>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</si>
  <si>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</si>
  <si>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</si>
  <si>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</si>
  <si>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</si>
  <si>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</si>
  <si>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</si>
  <si>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</si>
  <si>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</si>
  <si>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</si>
  <si>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</si>
  <si>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</si>
  <si>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</si>
  <si>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</si>
  <si>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</si>
  <si>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</si>
  <si>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</si>
  <si>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</si>
  <si>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</si>
  <si>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</si>
  <si>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</si>
  <si>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</si>
  <si>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</si>
  <si>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</si>
  <si>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</si>
  <si>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</si>
  <si>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</si>
  <si>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</si>
  <si>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</si>
  <si>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</si>
  <si>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</si>
  <si>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</si>
  <si>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</si>
  <si>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</si>
  <si>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</si>
  <si>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</si>
  <si>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</si>
  <si>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</si>
  <si>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</si>
  <si>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</si>
  <si>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</si>
  <si>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</si>
  <si>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</si>
  <si>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</si>
  <si>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</si>
  <si>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</si>
  <si>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</si>
  <si>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</si>
  <si>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</si>
  <si>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</si>
  <si>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</si>
  <si>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</si>
  <si>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</si>
  <si>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</si>
  <si>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</si>
  <si>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</si>
  <si>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</si>
  <si>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</si>
  <si>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</si>
  <si>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</si>
  <si>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</si>
  <si>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</si>
  <si>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</si>
  <si>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</si>
  <si>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</si>
  <si>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</si>
  <si>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</si>
  <si>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</si>
  <si>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</si>
  <si>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</si>
  <si>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</si>
  <si>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</si>
  <si>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</si>
  <si>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</si>
  <si>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</si>
  <si>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</si>
  <si>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</si>
  <si>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</si>
  <si>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</si>
  <si>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</si>
  <si>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</si>
  <si>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</si>
  <si>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</si>
  <si>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</si>
  <si>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</si>
  <si>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</si>
  <si>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</si>
  <si>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</si>
  <si>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</si>
  <si>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</si>
  <si>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</si>
  <si>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</si>
  <si>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</si>
  <si>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</si>
  <si>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</si>
  <si>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</si>
  <si>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</si>
  <si>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</si>
  <si>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</si>
  <si>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</si>
  <si>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</si>
  <si>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</si>
  <si>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</si>
  <si>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</si>
  <si>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</si>
  <si>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</si>
  <si>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</si>
  <si>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</si>
  <si>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</si>
  <si>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</si>
  <si>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</si>
  <si>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</si>
  <si>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</si>
  <si>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</si>
  <si>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</si>
  <si>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</si>
  <si>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</si>
  <si>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</si>
  <si>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</si>
  <si>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</si>
  <si>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</si>
  <si>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</si>
  <si>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</si>
  <si>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</si>
  <si>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</si>
  <si>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</si>
  <si>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</si>
  <si>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</si>
  <si>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</si>
  <si>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</si>
  <si>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</si>
  <si>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</si>
  <si>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</si>
  <si>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</si>
  <si>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</si>
  <si>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</si>
  <si>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</si>
  <si>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</si>
  <si>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</si>
  <si>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</si>
  <si>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</si>
  <si>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</si>
  <si>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</si>
  <si>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</si>
  <si>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</si>
  <si>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</si>
  <si>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</si>
  <si>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</si>
  <si>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</si>
  <si>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</si>
  <si>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</si>
  <si>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</si>
  <si>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</si>
  <si>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</si>
  <si>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</si>
  <si>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</si>
  <si>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</si>
  <si>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</si>
  <si>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</si>
  <si>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</si>
  <si>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</si>
  <si>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</si>
  <si>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</si>
  <si>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</si>
  <si>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</si>
  <si>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</si>
  <si>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</si>
  <si>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</si>
  <si>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</si>
  <si>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</si>
  <si>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</si>
  <si>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</si>
  <si>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</si>
  <si>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</si>
  <si>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</si>
  <si>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</si>
  <si>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</si>
  <si>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</si>
  <si>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</si>
  <si>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</si>
  <si>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</si>
  <si>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</si>
  <si>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</si>
  <si>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</si>
  <si>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</si>
  <si>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</si>
  <si>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</si>
  <si>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</si>
  <si>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</si>
  <si>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</si>
  <si>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</si>
  <si>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</si>
  <si>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</si>
  <si>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</si>
  <si>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</si>
  <si>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</si>
  <si>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</si>
  <si>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</si>
  <si>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</si>
  <si>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</si>
  <si>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</si>
  <si>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</si>
  <si>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</si>
  <si>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</si>
  <si>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</si>
  <si>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</si>
  <si>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</si>
  <si>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</si>
  <si>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</si>
  <si>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</si>
  <si>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</si>
  <si>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</si>
  <si>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</si>
  <si>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</si>
  <si>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</si>
  <si>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</si>
  <si>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</si>
  <si>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</si>
  <si>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</si>
  <si>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</si>
  <si>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</si>
  <si>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</si>
  <si>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</si>
  <si>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</si>
  <si>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</si>
  <si>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</si>
  <si>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</si>
  <si>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</si>
  <si>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</si>
  <si>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</si>
  <si>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</si>
  <si>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</si>
  <si>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</si>
  <si>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</si>
  <si>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</si>
  <si>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</si>
  <si>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</si>
  <si>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</si>
  <si>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</si>
  <si>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</si>
  <si>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</si>
  <si>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</si>
  <si>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</si>
  <si>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</si>
  <si>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</si>
  <si>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</si>
  <si>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</si>
  <si>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</si>
  <si>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</si>
  <si>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</si>
  <si>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FB-HSH241</t>
  </si>
  <si>
    <t>PLK104184</t>
  </si>
  <si>
    <t>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</si>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</sst>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34" xfId="0" applyFont="1" applyFill="1" applyBorder="1" applyAlignment="1"/>
    <xf numFmtId="0" fontId="19" fillId="0" borderId="26" xfId="0" applyFont="1" applyFill="1" applyBorder="1" applyAlignment="1"/>
    <xf numFmtId="0" fontId="19" fillId="0" borderId="2"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2221215277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22212499999"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22212499999"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22212499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22212499999" createdVersion="8" refreshedVersion="8" minRefreshableVersion="3" recordCount="113"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m/>
  </r>
  <r>
    <x v="293"/>
    <x v="32"/>
    <x v="223"/>
    <m/>
    <m/>
    <m/>
  </r>
  <r>
    <x v="243"/>
    <x v="39"/>
    <x v="223"/>
    <m/>
    <m/>
    <m/>
  </r>
  <r>
    <x v="243"/>
    <x v="32"/>
    <x v="223"/>
    <m/>
    <m/>
    <m/>
  </r>
  <r>
    <x v="243"/>
    <x v="46"/>
    <x v="223"/>
    <m/>
    <m/>
    <m/>
  </r>
  <r>
    <x v="300"/>
    <x v="36"/>
    <x v="223"/>
    <n v="483"/>
    <m/>
    <m/>
  </r>
  <r>
    <x v="310"/>
    <x v="6"/>
    <x v="223"/>
    <m/>
    <m/>
    <m/>
  </r>
  <r>
    <x v="312"/>
    <x v="5"/>
    <x v="223"/>
    <m/>
    <n v="883"/>
    <s v="2 Toby Boxes / 2 Daps / 8 Splices / 1 FDH / 1 HH / 1 Swing Arm / 1 Ground Rod"/>
  </r>
  <r>
    <x v="313"/>
    <x v="5"/>
    <x v="223"/>
    <m/>
    <m/>
    <m/>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m/>
    <x v="11"/>
  </r>
  <r>
    <s v="Vantage Point"/>
    <x v="32"/>
    <d v="2025-12-19T00:00:00"/>
    <m/>
    <m/>
    <m/>
    <x v="11"/>
  </r>
  <r>
    <s v="Sunset Palms MHP"/>
    <x v="39"/>
    <d v="2025-12-19T00:00:00"/>
    <m/>
    <m/>
    <m/>
    <x v="11"/>
  </r>
  <r>
    <s v="Sunset Palms MHP"/>
    <x v="32"/>
    <d v="2025-12-19T00:00:00"/>
    <m/>
    <m/>
    <m/>
    <x v="11"/>
  </r>
  <r>
    <s v="Sunset Palms MHP"/>
    <x v="46"/>
    <d v="2025-12-19T00:00:00"/>
    <m/>
    <m/>
    <m/>
    <x v="11"/>
  </r>
  <r>
    <s v="Fountainview"/>
    <x v="36"/>
    <d v="2025-12-19T00:00:00"/>
    <n v="483"/>
    <m/>
    <m/>
    <x v="11"/>
  </r>
  <r>
    <s v="D-HWP817"/>
    <x v="6"/>
    <d v="2025-12-19T00:00:00"/>
    <m/>
    <m/>
    <m/>
    <x v="11"/>
  </r>
  <r>
    <s v="D-HWP808-1"/>
    <x v="5"/>
    <d v="2025-12-19T00:00:00"/>
    <m/>
    <n v="883"/>
    <s v="2 Toby Boxes / 2 Daps / 8 Splices / 1 FDH / 1 HH / 1 Swing Arm / 1 Ground Rod"/>
    <x v="11"/>
  </r>
  <r>
    <s v="D-HWP901"/>
    <x v="5"/>
    <d v="2025-12-19T00:00:00"/>
    <m/>
    <m/>
    <m/>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3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3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3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3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3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3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4" totalsRowShown="0" headerRowDxfId="116" dataDxfId="115" tableBorderDxfId="114">
  <autoFilter ref="A103:AD11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6" totalsRowShown="0" headerRowDxfId="83" tableBorderDxfId="82">
  <autoFilter ref="A1:AD66"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4"/>
  <sheetViews>
    <sheetView topLeftCell="A118" zoomScale="90" zoomScaleNormal="90" workbookViewId="0">
      <pane xSplit="1" topLeftCell="U91" activePane="topRight" state="frozen"/>
      <selection pane="topRight" activeCell="P108" sqref="P10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80"/>
      <c r="K64" s="1380"/>
      <c r="L64" s="1354"/>
      <c r="M64" s="1228" t="s">
        <v>57</v>
      </c>
      <c r="N64" s="1381">
        <v>1035</v>
      </c>
      <c r="O64" s="1228" t="s">
        <v>57</v>
      </c>
      <c r="P64" s="1241" t="s">
        <v>58</v>
      </c>
      <c r="Q64" s="1382"/>
      <c r="R64" s="1382"/>
      <c r="S64" s="1382"/>
      <c r="T64" s="1382"/>
      <c r="U64" s="1382"/>
      <c r="V64" s="1383">
        <v>0</v>
      </c>
      <c r="W64" s="1384"/>
      <c r="X64" s="1384">
        <f>SUM(V64-W64)</f>
        <v>0</v>
      </c>
      <c r="Y64" s="662">
        <f>IFERROR($W64/$V64, 0)</f>
        <v>0</v>
      </c>
      <c r="Z64" s="1385"/>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6"/>
      <c r="I78" s="829" t="s">
        <v>55</v>
      </c>
      <c r="J78" s="832" t="s">
        <v>63</v>
      </c>
      <c r="K78" s="1380"/>
      <c r="L78" s="1356"/>
      <c r="M78" s="829" t="s">
        <v>57</v>
      </c>
      <c r="N78" s="1381">
        <v>36998.550000000003</v>
      </c>
      <c r="O78" s="829" t="s">
        <v>57</v>
      </c>
      <c r="P78" s="1241" t="s">
        <v>58</v>
      </c>
      <c r="Q78" s="1382"/>
      <c r="R78" s="1382"/>
      <c r="S78" s="1382"/>
      <c r="T78" s="1382"/>
      <c r="U78" s="1382"/>
      <c r="V78" s="1383">
        <v>2944</v>
      </c>
      <c r="W78" s="1384"/>
      <c r="X78" s="1384">
        <f>SUM(V78-W78)</f>
        <v>2944</v>
      </c>
      <c r="Y78" s="662">
        <f>IFERROR($W78/$V78, 0)</f>
        <v>0</v>
      </c>
      <c r="Z78" s="1385"/>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80"/>
      <c r="L87" s="1356"/>
      <c r="M87" s="1228" t="s">
        <v>57</v>
      </c>
      <c r="N87" s="1381">
        <v>118710.8</v>
      </c>
      <c r="O87" s="1228" t="s">
        <v>57</v>
      </c>
      <c r="P87" s="1210" t="s">
        <v>58</v>
      </c>
      <c r="Q87" s="1382"/>
      <c r="R87" s="1382"/>
      <c r="S87" s="1382"/>
      <c r="T87" s="1382"/>
      <c r="U87" s="1382"/>
      <c r="V87" s="1383">
        <v>9628</v>
      </c>
      <c r="W87" s="1384"/>
      <c r="X87" s="1384">
        <f>SUM(V87-W87)</f>
        <v>9628</v>
      </c>
      <c r="Y87" s="662">
        <f>IFERROR($W87/$V87, 0)</f>
        <v>0</v>
      </c>
      <c r="Z87" s="1382"/>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270">
        <v>2700</v>
      </c>
      <c r="X106" s="1212">
        <f>SUM(V106-W106)</f>
        <v>4039</v>
      </c>
      <c r="Y106" s="1153">
        <f t="shared" ref="Y106:Y114" si="8">IFERROR($W106/$V106, 0)</f>
        <v>0.40065291586288765</v>
      </c>
      <c r="Z106" s="1204"/>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A114" s="1331" t="s">
        <v>355</v>
      </c>
      <c r="B114" s="1152" t="s">
        <v>326</v>
      </c>
      <c r="C114" s="1302">
        <v>46019</v>
      </c>
      <c r="D114" s="976" t="s">
        <v>131</v>
      </c>
      <c r="E114" s="1302">
        <v>45959</v>
      </c>
      <c r="F114" s="1303" t="s">
        <v>169</v>
      </c>
      <c r="G114" s="1303" t="s">
        <v>356</v>
      </c>
      <c r="H114" s="1304">
        <v>0</v>
      </c>
      <c r="I114" s="977" t="s">
        <v>217</v>
      </c>
      <c r="J114" s="1285" t="s">
        <v>63</v>
      </c>
      <c r="K114" s="1305"/>
      <c r="L114" s="1306">
        <v>45961</v>
      </c>
      <c r="M114" s="1285" t="s">
        <v>57</v>
      </c>
      <c r="N114" s="1332">
        <v>54043.5</v>
      </c>
      <c r="O114" s="1308" t="s">
        <v>57</v>
      </c>
      <c r="P114" s="1333" t="s">
        <v>218</v>
      </c>
      <c r="Q114" s="1334">
        <v>45961</v>
      </c>
      <c r="R114" s="1335"/>
      <c r="S114" s="1310"/>
      <c r="T114" s="1310"/>
      <c r="U114" s="1310"/>
      <c r="V114" s="1270">
        <v>4140</v>
      </c>
      <c r="W114" s="1336">
        <v>4140</v>
      </c>
      <c r="X114" s="1212">
        <f>SUM(V114-W114)</f>
        <v>0</v>
      </c>
      <c r="Y114" s="1153">
        <f t="shared" si="8"/>
        <v>1</v>
      </c>
      <c r="Z114" s="1259">
        <v>45974</v>
      </c>
      <c r="AA114" s="1293">
        <v>0</v>
      </c>
      <c r="AB114" s="1293">
        <v>0</v>
      </c>
      <c r="AC114" s="1290">
        <v>0</v>
      </c>
      <c r="AD114" s="1261" t="s">
        <v>357</v>
      </c>
      <c r="AE114" s="1271"/>
    </row>
    <row r="115" spans="1:31" ht="24.75" customHeight="1">
      <c r="Q115" s="1273"/>
    </row>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4 Q106:U1048576 L106:L1048576 Q9:U20 L2:L20" xr:uid="{1D31F93E-3D68-4310-94BF-578ADAD65882}"/>
    <dataValidation type="list" allowBlank="1" showInputMessage="1" showErrorMessage="1" sqref="J76 J97 J61:J68 J99:J102 J82:J91 J22:J59 J104:J114 J2:J20" xr:uid="{5598570D-D2DE-4A6E-ABB1-14F4B3480632}">
      <formula1>"Received, Pending, Not Required"</formula1>
    </dataValidation>
    <dataValidation type="list" allowBlank="1" showInputMessage="1" showErrorMessage="1" sqref="I76 I97 I79 I82:I91 I4:I8 I41:I59 I99:I102 I61:I68 I104:I1048576 I10:I20"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106:K1048576 K2:K20" xr:uid="{E79CFDF7-5B00-4092-B572-9E33744A1925}">
      <formula1>"Pending Locates,Permits, SOW Pending, NTP Pending, Materials, Reassigned, Door Tags"</formula1>
    </dataValidation>
    <dataValidation type="list" allowBlank="1" showInputMessage="1" showErrorMessage="1" sqref="P61:P102 P22:P59 P104:P1048576 P2:P20"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X19" activePane="topRight" state="frozen"/>
      <selection pane="topRight" activeCell="AC24" sqref="AC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359</v>
      </c>
      <c r="B2" s="831" t="s">
        <v>222</v>
      </c>
      <c r="C2" s="467">
        <v>45960</v>
      </c>
      <c r="D2" s="467" t="s">
        <v>360</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361</v>
      </c>
    </row>
    <row r="3" spans="1:30" ht="39.75" customHeight="1">
      <c r="A3" s="927" t="s">
        <v>362</v>
      </c>
      <c r="B3" s="831" t="s">
        <v>222</v>
      </c>
      <c r="C3" s="467">
        <v>45960</v>
      </c>
      <c r="D3" s="467" t="s">
        <v>363</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364</v>
      </c>
    </row>
    <row r="4" spans="1:30" ht="39.75" customHeight="1">
      <c r="A4" s="927" t="s">
        <v>365</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366</v>
      </c>
      <c r="AA4" s="355">
        <v>0</v>
      </c>
      <c r="AB4" s="355">
        <v>0</v>
      </c>
      <c r="AC4" s="41">
        <v>0</v>
      </c>
      <c r="AD4" s="170" t="s">
        <v>367</v>
      </c>
    </row>
    <row r="5" spans="1:30" ht="39.75" customHeight="1">
      <c r="A5" s="927" t="s">
        <v>368</v>
      </c>
      <c r="B5" s="831" t="s">
        <v>222</v>
      </c>
      <c r="C5" s="467">
        <v>45999</v>
      </c>
      <c r="D5" s="475" t="s">
        <v>71</v>
      </c>
      <c r="E5" s="476">
        <v>45975</v>
      </c>
      <c r="F5" s="475" t="s">
        <v>223</v>
      </c>
      <c r="G5" s="477" t="s">
        <v>369</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370</v>
      </c>
    </row>
    <row r="6" spans="1:30" ht="39.75" customHeight="1">
      <c r="A6" s="842" t="s">
        <v>371</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372</v>
      </c>
    </row>
    <row r="7" spans="1:30" ht="39.75" customHeight="1">
      <c r="A7" s="927" t="s">
        <v>373</v>
      </c>
      <c r="B7" s="831" t="s">
        <v>222</v>
      </c>
      <c r="C7" s="467">
        <v>45989</v>
      </c>
      <c r="D7" s="476" t="s">
        <v>236</v>
      </c>
      <c r="E7" s="476">
        <v>45964</v>
      </c>
      <c r="F7" s="475" t="s">
        <v>237</v>
      </c>
      <c r="G7" s="828" t="s">
        <v>374</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375</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372</v>
      </c>
    </row>
    <row r="9" spans="1:30" ht="39.75" customHeight="1">
      <c r="A9" s="927" t="s">
        <v>376</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377</v>
      </c>
    </row>
    <row r="10" spans="1:30" ht="39.75" customHeight="1">
      <c r="A10" s="927" t="s">
        <v>378</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372</v>
      </c>
    </row>
    <row r="11" spans="1:30" ht="39.75" customHeight="1">
      <c r="A11" s="927" t="s">
        <v>379</v>
      </c>
      <c r="B11" s="491" t="s">
        <v>222</v>
      </c>
      <c r="C11" s="467">
        <v>45991</v>
      </c>
      <c r="D11" s="475" t="s">
        <v>380</v>
      </c>
      <c r="E11" s="476">
        <v>45716</v>
      </c>
      <c r="F11" s="475" t="s">
        <v>237</v>
      </c>
      <c r="G11" s="477" t="s">
        <v>381</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382</v>
      </c>
      <c r="B12" s="831" t="s">
        <v>222</v>
      </c>
      <c r="C12" s="467">
        <v>45991</v>
      </c>
      <c r="D12" s="475" t="s">
        <v>236</v>
      </c>
      <c r="E12" s="476">
        <v>45880</v>
      </c>
      <c r="F12" s="475" t="s">
        <v>237</v>
      </c>
      <c r="G12" s="825" t="s">
        <v>383</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384</v>
      </c>
    </row>
    <row r="13" spans="1:30" ht="39.75" customHeight="1">
      <c r="A13" s="927" t="s">
        <v>385</v>
      </c>
      <c r="B13" s="831" t="s">
        <v>222</v>
      </c>
      <c r="C13" s="467">
        <v>45991</v>
      </c>
      <c r="D13" s="475" t="s">
        <v>236</v>
      </c>
      <c r="E13" s="476">
        <v>45880</v>
      </c>
      <c r="F13" s="475" t="s">
        <v>237</v>
      </c>
      <c r="G13" s="825" t="s">
        <v>386</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387</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388</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389</v>
      </c>
    </row>
    <row r="16" spans="1:30" ht="39.75" customHeight="1">
      <c r="A16" s="927" t="s">
        <v>390</v>
      </c>
      <c r="B16" s="831" t="s">
        <v>222</v>
      </c>
      <c r="C16" s="467" t="s">
        <v>391</v>
      </c>
      <c r="D16" s="475" t="s">
        <v>71</v>
      </c>
      <c r="E16" s="476">
        <v>45964</v>
      </c>
      <c r="F16" s="475" t="s">
        <v>392</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393</v>
      </c>
      <c r="B17" s="831" t="s">
        <v>307</v>
      </c>
      <c r="C17" s="467">
        <v>46006</v>
      </c>
      <c r="D17" s="475" t="s">
        <v>247</v>
      </c>
      <c r="E17" s="476">
        <v>45987</v>
      </c>
      <c r="F17" s="475" t="s">
        <v>237</v>
      </c>
      <c r="G17" s="825" t="s">
        <v>394</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395</v>
      </c>
    </row>
    <row r="18" spans="1:30" ht="39.75" customHeight="1">
      <c r="A18" s="1279" t="s">
        <v>396</v>
      </c>
      <c r="B18" s="831" t="s">
        <v>307</v>
      </c>
      <c r="C18" s="1206">
        <v>46006</v>
      </c>
      <c r="D18" s="1227" t="s">
        <v>247</v>
      </c>
      <c r="E18" s="1226">
        <v>45987</v>
      </c>
      <c r="F18" s="1227" t="s">
        <v>237</v>
      </c>
      <c r="G18" s="1227" t="s">
        <v>397</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398</v>
      </c>
    </row>
    <row r="19" spans="1:30" ht="39.75" customHeight="1">
      <c r="A19" s="927" t="s">
        <v>399</v>
      </c>
      <c r="B19" s="491" t="s">
        <v>307</v>
      </c>
      <c r="C19" s="467">
        <v>46006</v>
      </c>
      <c r="D19" s="475" t="s">
        <v>247</v>
      </c>
      <c r="E19" s="476">
        <v>45975</v>
      </c>
      <c r="F19" s="475" t="s">
        <v>237</v>
      </c>
      <c r="G19" s="477" t="s">
        <v>400</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401</v>
      </c>
    </row>
    <row r="20" spans="1:30" ht="39.75" customHeight="1">
      <c r="A20" s="927" t="s">
        <v>402</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403</v>
      </c>
      <c r="B21" s="491" t="s">
        <v>307</v>
      </c>
      <c r="C21" s="467">
        <v>46053</v>
      </c>
      <c r="D21" s="475" t="s">
        <v>247</v>
      </c>
      <c r="E21" s="476">
        <v>45974</v>
      </c>
      <c r="F21" s="475" t="s">
        <v>237</v>
      </c>
      <c r="G21" s="477" t="s">
        <v>404</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405</v>
      </c>
      <c r="B22" s="491" t="s">
        <v>307</v>
      </c>
      <c r="C22" s="467">
        <v>46006</v>
      </c>
      <c r="D22" s="475" t="s">
        <v>247</v>
      </c>
      <c r="E22" s="476">
        <v>45980</v>
      </c>
      <c r="F22" s="475" t="s">
        <v>237</v>
      </c>
      <c r="G22" s="825" t="s">
        <v>406</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395</v>
      </c>
    </row>
    <row r="23" spans="1:30" ht="39.75" customHeight="1">
      <c r="A23" s="1279" t="s">
        <v>407</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408</v>
      </c>
    </row>
    <row r="24" spans="1:30" ht="39.75" customHeight="1">
      <c r="A24" s="1279" t="s">
        <v>409</v>
      </c>
      <c r="B24" s="1207" t="s">
        <v>111</v>
      </c>
      <c r="C24" s="1206">
        <v>46010</v>
      </c>
      <c r="D24" s="1206" t="s">
        <v>156</v>
      </c>
      <c r="E24" s="1206">
        <v>45974</v>
      </c>
      <c r="F24" s="1207" t="s">
        <v>112</v>
      </c>
      <c r="G24" s="1207" t="s">
        <v>410</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411</v>
      </c>
    </row>
    <row r="25" spans="1:30" ht="39.75" customHeight="1">
      <c r="A25" s="1279" t="s">
        <v>412</v>
      </c>
      <c r="B25" s="1207" t="s">
        <v>111</v>
      </c>
      <c r="C25" s="1206">
        <v>46010</v>
      </c>
      <c r="D25" s="1206" t="s">
        <v>156</v>
      </c>
      <c r="E25" s="1206">
        <v>45974</v>
      </c>
      <c r="F25" s="1207" t="s">
        <v>112</v>
      </c>
      <c r="G25" s="1207" t="s">
        <v>413</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414</v>
      </c>
    </row>
    <row r="26" spans="1:30" ht="39.75" customHeight="1">
      <c r="A26" s="1279" t="s">
        <v>415</v>
      </c>
      <c r="B26" s="1207" t="s">
        <v>111</v>
      </c>
      <c r="C26" s="1206">
        <v>46010</v>
      </c>
      <c r="D26" s="1206" t="s">
        <v>156</v>
      </c>
      <c r="E26" s="1206">
        <v>45974</v>
      </c>
      <c r="F26" s="1207" t="s">
        <v>112</v>
      </c>
      <c r="G26" s="1207" t="s">
        <v>416</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417</v>
      </c>
    </row>
    <row r="27" spans="1:30" ht="39.75" customHeight="1">
      <c r="A27" s="927" t="s">
        <v>418</v>
      </c>
      <c r="B27" s="465" t="s">
        <v>111</v>
      </c>
      <c r="C27" s="476">
        <v>45976</v>
      </c>
      <c r="D27" s="467" t="s">
        <v>131</v>
      </c>
      <c r="E27" s="467">
        <v>45959</v>
      </c>
      <c r="F27" s="465" t="s">
        <v>419</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420</v>
      </c>
    </row>
    <row r="28" spans="1:30" ht="39.75" customHeight="1">
      <c r="A28" s="927" t="s">
        <v>421</v>
      </c>
      <c r="B28" s="465" t="s">
        <v>111</v>
      </c>
      <c r="C28" s="467">
        <v>45991</v>
      </c>
      <c r="D28" s="467" t="s">
        <v>131</v>
      </c>
      <c r="E28" s="467">
        <v>45966</v>
      </c>
      <c r="F28" s="465" t="s">
        <v>112</v>
      </c>
      <c r="G28" s="682" t="s">
        <v>422</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423</v>
      </c>
    </row>
    <row r="29" spans="1:30" ht="39.75" customHeight="1">
      <c r="A29" s="927" t="s">
        <v>424</v>
      </c>
      <c r="B29" s="465" t="s">
        <v>111</v>
      </c>
      <c r="C29" s="467">
        <v>46001</v>
      </c>
      <c r="D29" s="467" t="s">
        <v>131</v>
      </c>
      <c r="E29" s="467">
        <v>45966</v>
      </c>
      <c r="F29" s="465" t="s">
        <v>112</v>
      </c>
      <c r="G29" s="682" t="s">
        <v>425</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426</v>
      </c>
    </row>
    <row r="30" spans="1:30" ht="39.75" customHeight="1">
      <c r="A30" s="927" t="s">
        <v>427</v>
      </c>
      <c r="B30" s="465" t="s">
        <v>111</v>
      </c>
      <c r="C30" s="467">
        <v>45975</v>
      </c>
      <c r="D30" s="467" t="s">
        <v>428</v>
      </c>
      <c r="E30" s="467">
        <v>45982</v>
      </c>
      <c r="F30" s="642" t="s">
        <v>112</v>
      </c>
      <c r="G30" s="682" t="s">
        <v>429</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430</v>
      </c>
    </row>
    <row r="31" spans="1:30" ht="39.75" customHeight="1">
      <c r="A31" s="927" t="s">
        <v>431</v>
      </c>
      <c r="B31" s="465" t="s">
        <v>111</v>
      </c>
      <c r="C31" s="488">
        <v>45838</v>
      </c>
      <c r="D31" s="488" t="s">
        <v>131</v>
      </c>
      <c r="E31" s="476">
        <v>45786</v>
      </c>
      <c r="F31" s="488" t="s">
        <v>169</v>
      </c>
      <c r="G31" s="938" t="s">
        <v>432</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6" si="16">SUM(V31-W31)</f>
        <v>0</v>
      </c>
      <c r="Y31" s="22">
        <f t="shared" ref="Y31:Y66" si="17">IFERROR($W31/$V31, 0)</f>
        <v>1</v>
      </c>
      <c r="Z31" s="652">
        <v>45796</v>
      </c>
      <c r="AA31" s="355">
        <v>1</v>
      </c>
      <c r="AB31" s="355">
        <v>1</v>
      </c>
      <c r="AC31" s="645">
        <v>0</v>
      </c>
      <c r="AD31" s="323" t="s">
        <v>433</v>
      </c>
    </row>
    <row r="32" spans="1:30" ht="39.75" customHeight="1">
      <c r="A32" s="927" t="s">
        <v>434</v>
      </c>
      <c r="B32" s="465" t="s">
        <v>111</v>
      </c>
      <c r="C32" s="467">
        <v>46021</v>
      </c>
      <c r="D32" s="465" t="s">
        <v>51</v>
      </c>
      <c r="E32" s="467" t="s">
        <v>52</v>
      </c>
      <c r="F32" s="465" t="s">
        <v>140</v>
      </c>
      <c r="G32" s="468" t="s">
        <v>435</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436</v>
      </c>
    </row>
    <row r="33" spans="1:30" ht="39.75" customHeight="1">
      <c r="A33" s="927" t="s">
        <v>437</v>
      </c>
      <c r="B33" s="681" t="s">
        <v>111</v>
      </c>
      <c r="C33" s="476">
        <v>45991</v>
      </c>
      <c r="D33" s="465" t="s">
        <v>438</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439</v>
      </c>
    </row>
    <row r="34" spans="1:30" ht="39.75" customHeight="1">
      <c r="A34" s="927" t="s">
        <v>440</v>
      </c>
      <c r="B34" s="465" t="s">
        <v>111</v>
      </c>
      <c r="C34" s="476">
        <v>45960</v>
      </c>
      <c r="D34" s="467" t="s">
        <v>441</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442</v>
      </c>
    </row>
    <row r="35" spans="1:30" ht="39.75" customHeight="1">
      <c r="A35" s="927" t="s">
        <v>443</v>
      </c>
      <c r="B35" s="465" t="s">
        <v>111</v>
      </c>
      <c r="C35" s="467">
        <v>45996</v>
      </c>
      <c r="D35" s="467" t="s">
        <v>441</v>
      </c>
      <c r="E35" s="467">
        <v>45958</v>
      </c>
      <c r="F35" s="465" t="s">
        <v>140</v>
      </c>
      <c r="G35" s="468" t="s">
        <v>444</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445</v>
      </c>
    </row>
    <row r="36" spans="1:30" ht="39.75" customHeight="1">
      <c r="A36" s="927" t="s">
        <v>446</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447</v>
      </c>
    </row>
    <row r="37" spans="1:30" ht="39.75" customHeight="1">
      <c r="A37" s="1151" t="s">
        <v>448</v>
      </c>
      <c r="B37" s="1152" t="s">
        <v>326</v>
      </c>
      <c r="C37" s="375">
        <v>46019</v>
      </c>
      <c r="D37" s="976" t="s">
        <v>131</v>
      </c>
      <c r="E37" s="375">
        <v>45959</v>
      </c>
      <c r="F37" s="374" t="s">
        <v>327</v>
      </c>
      <c r="G37" s="671" t="s">
        <v>449</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450</v>
      </c>
    </row>
    <row r="38" spans="1:30" ht="39.75" customHeight="1">
      <c r="A38" s="1086" t="s">
        <v>451</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452</v>
      </c>
    </row>
    <row r="39" spans="1:30" ht="39.75" customHeight="1">
      <c r="A39" s="1072" t="s">
        <v>453</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454</v>
      </c>
    </row>
    <row r="40" spans="1:30" ht="39.75" customHeight="1">
      <c r="A40" s="1087" t="s">
        <v>455</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456</v>
      </c>
    </row>
    <row r="41" spans="1:30" ht="39.75" customHeight="1">
      <c r="A41" s="1072" t="s">
        <v>457</v>
      </c>
      <c r="B41" s="980" t="s">
        <v>326</v>
      </c>
      <c r="C41" s="467">
        <v>46045</v>
      </c>
      <c r="D41" s="642" t="s">
        <v>131</v>
      </c>
      <c r="E41" s="467">
        <v>45959</v>
      </c>
      <c r="F41" s="465" t="s">
        <v>327</v>
      </c>
      <c r="G41" s="468" t="s">
        <v>458</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459</v>
      </c>
    </row>
    <row r="42" spans="1:30" ht="39.75" customHeight="1">
      <c r="A42" s="1071" t="s">
        <v>460</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456</v>
      </c>
    </row>
    <row r="43" spans="1:30" ht="39.75" customHeight="1">
      <c r="A43" s="1071" t="s">
        <v>461</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462</v>
      </c>
    </row>
    <row r="44" spans="1:30" ht="39.75" customHeight="1">
      <c r="A44" s="1071" t="s">
        <v>463</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464</v>
      </c>
    </row>
    <row r="45" spans="1:30" ht="39.75" customHeight="1">
      <c r="A45" s="1071" t="s">
        <v>465</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456</v>
      </c>
    </row>
    <row r="46" spans="1:30" ht="39.75" customHeight="1">
      <c r="A46" s="1071" t="s">
        <v>466</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456</v>
      </c>
    </row>
    <row r="47" spans="1:30" ht="39.75" customHeight="1">
      <c r="A47" s="1071" t="s">
        <v>467</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468</v>
      </c>
    </row>
    <row r="48" spans="1:30" ht="39.75" customHeight="1">
      <c r="A48" s="1071" t="s">
        <v>469</v>
      </c>
      <c r="B48" s="450" t="s">
        <v>326</v>
      </c>
      <c r="C48" s="375">
        <v>45989</v>
      </c>
      <c r="D48" s="976" t="s">
        <v>131</v>
      </c>
      <c r="E48" s="375">
        <v>45959</v>
      </c>
      <c r="F48" s="374" t="s">
        <v>169</v>
      </c>
      <c r="G48" s="637" t="s">
        <v>470</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471</v>
      </c>
    </row>
    <row r="49" spans="1:30" ht="39.75" customHeight="1">
      <c r="A49" s="1071" t="s">
        <v>472</v>
      </c>
      <c r="B49" s="450" t="s">
        <v>326</v>
      </c>
      <c r="C49" s="375">
        <v>46010</v>
      </c>
      <c r="D49" s="976" t="s">
        <v>131</v>
      </c>
      <c r="E49" s="375">
        <v>45959</v>
      </c>
      <c r="F49" s="374" t="s">
        <v>169</v>
      </c>
      <c r="G49" s="637" t="s">
        <v>473</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474</v>
      </c>
    </row>
    <row r="50" spans="1:30" ht="39.75" customHeight="1">
      <c r="A50" s="1071" t="s">
        <v>475</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476</v>
      </c>
    </row>
    <row r="51" spans="1:30" ht="39.75" customHeight="1">
      <c r="A51" s="1071" t="s">
        <v>477</v>
      </c>
      <c r="B51" s="450" t="s">
        <v>326</v>
      </c>
      <c r="C51" s="375">
        <v>45989</v>
      </c>
      <c r="D51" s="976" t="s">
        <v>131</v>
      </c>
      <c r="E51" s="375">
        <v>45959</v>
      </c>
      <c r="F51" s="374" t="s">
        <v>169</v>
      </c>
      <c r="G51" s="637" t="s">
        <v>478</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479</v>
      </c>
    </row>
    <row r="52" spans="1:30" ht="39.75" customHeight="1">
      <c r="A52" s="1071" t="s">
        <v>480</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481</v>
      </c>
    </row>
    <row r="53" spans="1:30" ht="39.75" customHeight="1">
      <c r="A53" s="1331" t="s">
        <v>482</v>
      </c>
      <c r="B53" s="1152" t="s">
        <v>326</v>
      </c>
      <c r="C53" s="1302">
        <v>46019</v>
      </c>
      <c r="D53" s="976" t="s">
        <v>131</v>
      </c>
      <c r="E53" s="1302">
        <v>45959</v>
      </c>
      <c r="F53" s="1303" t="s">
        <v>169</v>
      </c>
      <c r="G53" s="1303" t="s">
        <v>483</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484</v>
      </c>
    </row>
    <row r="54" spans="1:30" ht="39.75" customHeight="1">
      <c r="A54" s="1071" t="s">
        <v>485</v>
      </c>
      <c r="B54" s="450" t="s">
        <v>326</v>
      </c>
      <c r="C54" s="375">
        <v>45989</v>
      </c>
      <c r="D54" s="976" t="s">
        <v>131</v>
      </c>
      <c r="E54" s="375">
        <v>45959</v>
      </c>
      <c r="F54" s="374" t="s">
        <v>169</v>
      </c>
      <c r="G54" s="637" t="s">
        <v>486</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487</v>
      </c>
    </row>
    <row r="55" spans="1:30" ht="39.75" customHeight="1">
      <c r="A55" s="1331" t="s">
        <v>488</v>
      </c>
      <c r="B55" s="1152" t="s">
        <v>326</v>
      </c>
      <c r="C55" s="1302">
        <v>46019</v>
      </c>
      <c r="D55" s="976" t="s">
        <v>131</v>
      </c>
      <c r="E55" s="1302">
        <v>45959</v>
      </c>
      <c r="F55" s="1303" t="s">
        <v>169</v>
      </c>
      <c r="G55" s="1303" t="s">
        <v>489</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490</v>
      </c>
    </row>
    <row r="56" spans="1:30" ht="39.75" customHeight="1">
      <c r="A56" s="1071" t="s">
        <v>491</v>
      </c>
      <c r="B56" s="450" t="s">
        <v>326</v>
      </c>
      <c r="C56" s="375">
        <v>46021</v>
      </c>
      <c r="D56" s="976" t="s">
        <v>131</v>
      </c>
      <c r="E56" s="375">
        <v>45959</v>
      </c>
      <c r="F56" s="374" t="s">
        <v>169</v>
      </c>
      <c r="G56" s="637" t="s">
        <v>492</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493</v>
      </c>
    </row>
    <row r="57" spans="1:30" ht="39.75" customHeight="1">
      <c r="A57" s="1331" t="s">
        <v>494</v>
      </c>
      <c r="B57" s="1152" t="s">
        <v>326</v>
      </c>
      <c r="C57" s="1302">
        <v>46021</v>
      </c>
      <c r="D57" s="976" t="s">
        <v>131</v>
      </c>
      <c r="E57" s="1302">
        <v>45959</v>
      </c>
      <c r="F57" s="1303" t="s">
        <v>169</v>
      </c>
      <c r="G57" s="1303" t="s">
        <v>495</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496</v>
      </c>
    </row>
    <row r="58" spans="1:30" ht="39.75" customHeight="1">
      <c r="A58" s="1331" t="s">
        <v>497</v>
      </c>
      <c r="B58" s="1152" t="s">
        <v>326</v>
      </c>
      <c r="C58" s="1302">
        <v>46021</v>
      </c>
      <c r="D58" s="976" t="s">
        <v>131</v>
      </c>
      <c r="E58" s="1302">
        <v>45959</v>
      </c>
      <c r="F58" s="1303" t="s">
        <v>169</v>
      </c>
      <c r="G58" s="1303" t="s">
        <v>498</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499</v>
      </c>
    </row>
    <row r="59" spans="1:30" ht="39.75" customHeight="1">
      <c r="A59" s="1331" t="s">
        <v>500</v>
      </c>
      <c r="B59" s="1152" t="s">
        <v>326</v>
      </c>
      <c r="C59" s="1302">
        <v>46019</v>
      </c>
      <c r="D59" s="976" t="s">
        <v>131</v>
      </c>
      <c r="E59" s="1302">
        <v>45959</v>
      </c>
      <c r="F59" s="1303" t="s">
        <v>169</v>
      </c>
      <c r="G59" s="1303" t="s">
        <v>501</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502</v>
      </c>
    </row>
    <row r="60" spans="1:30" ht="39.75" customHeight="1">
      <c r="A60" s="1073" t="s">
        <v>503</v>
      </c>
      <c r="B60" s="789" t="s">
        <v>50</v>
      </c>
      <c r="C60" s="888">
        <v>45991</v>
      </c>
      <c r="D60" s="1089" t="s">
        <v>71</v>
      </c>
      <c r="E60" s="57">
        <v>45743</v>
      </c>
      <c r="F60" s="772" t="s">
        <v>61</v>
      </c>
      <c r="G60" s="790" t="s">
        <v>504</v>
      </c>
      <c r="H60" s="776">
        <v>69</v>
      </c>
      <c r="I60" s="661" t="s">
        <v>217</v>
      </c>
      <c r="J60" s="469" t="s">
        <v>63</v>
      </c>
      <c r="K60" s="904"/>
      <c r="L60" s="51">
        <v>45741</v>
      </c>
      <c r="M60" s="376" t="s">
        <v>57</v>
      </c>
      <c r="N60" s="839">
        <v>67734.5</v>
      </c>
      <c r="O60" s="376" t="s">
        <v>57</v>
      </c>
      <c r="P60" s="1070" t="s">
        <v>218</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505</v>
      </c>
    </row>
    <row r="61" spans="1:30" ht="39.75" customHeight="1">
      <c r="A61" s="1073" t="s">
        <v>506</v>
      </c>
      <c r="B61" s="771" t="s">
        <v>50</v>
      </c>
      <c r="C61" s="888">
        <v>45991</v>
      </c>
      <c r="D61" s="1074" t="s">
        <v>507</v>
      </c>
      <c r="E61" s="773">
        <v>45735</v>
      </c>
      <c r="F61" s="772" t="s">
        <v>61</v>
      </c>
      <c r="G61" s="775" t="s">
        <v>508</v>
      </c>
      <c r="H61" s="776">
        <v>70</v>
      </c>
      <c r="I61" s="470" t="s">
        <v>217</v>
      </c>
      <c r="J61" s="478" t="s">
        <v>63</v>
      </c>
      <c r="K61" s="52"/>
      <c r="L61" s="375">
        <v>45716</v>
      </c>
      <c r="M61" s="52" t="s">
        <v>57</v>
      </c>
      <c r="N61" s="1078">
        <v>56262.5</v>
      </c>
      <c r="O61" s="52" t="s">
        <v>57</v>
      </c>
      <c r="P61" s="1070" t="s">
        <v>218</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509</v>
      </c>
    </row>
    <row r="62" spans="1:30" ht="39.75" customHeight="1">
      <c r="A62" s="927" t="s">
        <v>510</v>
      </c>
      <c r="B62" s="824" t="s">
        <v>50</v>
      </c>
      <c r="C62" s="467">
        <v>45991</v>
      </c>
      <c r="D62" s="467" t="s">
        <v>71</v>
      </c>
      <c r="E62" s="476">
        <v>45748</v>
      </c>
      <c r="F62" s="475" t="s">
        <v>61</v>
      </c>
      <c r="G62" s="825" t="s">
        <v>511</v>
      </c>
      <c r="H62" s="478">
        <v>0</v>
      </c>
      <c r="I62" s="478" t="s">
        <v>217</v>
      </c>
      <c r="J62" s="469" t="s">
        <v>63</v>
      </c>
      <c r="K62" s="826"/>
      <c r="L62" s="476">
        <v>45741</v>
      </c>
      <c r="M62" s="469" t="s">
        <v>57</v>
      </c>
      <c r="N62" s="543">
        <v>17203.45</v>
      </c>
      <c r="O62" s="469" t="s">
        <v>57</v>
      </c>
      <c r="P62" s="975" t="s">
        <v>218</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512</v>
      </c>
    </row>
    <row r="63" spans="1:30" ht="39.75" customHeight="1">
      <c r="A63" s="1073" t="s">
        <v>513</v>
      </c>
      <c r="B63" s="789" t="s">
        <v>50</v>
      </c>
      <c r="C63" s="888">
        <v>45991</v>
      </c>
      <c r="D63" s="1089" t="s">
        <v>71</v>
      </c>
      <c r="E63" s="57">
        <v>45779</v>
      </c>
      <c r="F63" s="772" t="s">
        <v>61</v>
      </c>
      <c r="G63" s="790" t="s">
        <v>514</v>
      </c>
      <c r="H63" s="776">
        <v>0</v>
      </c>
      <c r="I63" s="478" t="s">
        <v>217</v>
      </c>
      <c r="J63" s="469" t="s">
        <v>63</v>
      </c>
      <c r="K63" s="904"/>
      <c r="L63" s="51">
        <v>45742</v>
      </c>
      <c r="M63" s="910" t="s">
        <v>57</v>
      </c>
      <c r="N63" s="1078">
        <v>23800.25</v>
      </c>
      <c r="O63" s="376" t="s">
        <v>57</v>
      </c>
      <c r="P63" s="1070" t="s">
        <v>218</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515</v>
      </c>
    </row>
    <row r="64" spans="1:30" ht="39.75" customHeight="1">
      <c r="A64" s="1073" t="s">
        <v>516</v>
      </c>
      <c r="B64" s="789" t="s">
        <v>50</v>
      </c>
      <c r="C64" s="888">
        <v>46008</v>
      </c>
      <c r="D64" s="1089" t="s">
        <v>517</v>
      </c>
      <c r="E64" s="57">
        <v>45952</v>
      </c>
      <c r="F64" s="772" t="s">
        <v>518</v>
      </c>
      <c r="G64" s="790"/>
      <c r="H64" s="776">
        <v>139</v>
      </c>
      <c r="I64" s="661" t="s">
        <v>217</v>
      </c>
      <c r="J64" s="469" t="s">
        <v>56</v>
      </c>
      <c r="K64" s="52"/>
      <c r="L64" s="51" t="s">
        <v>52</v>
      </c>
      <c r="M64" s="978" t="s">
        <v>57</v>
      </c>
      <c r="N64" s="1078">
        <v>42766.5</v>
      </c>
      <c r="O64" s="52" t="s">
        <v>57</v>
      </c>
      <c r="P64" s="1070" t="s">
        <v>218</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519</v>
      </c>
      <c r="B65" s="789" t="s">
        <v>50</v>
      </c>
      <c r="C65" s="888">
        <v>46008</v>
      </c>
      <c r="D65" s="1089" t="s">
        <v>520</v>
      </c>
      <c r="E65" s="57">
        <v>45938</v>
      </c>
      <c r="F65" s="772" t="s">
        <v>518</v>
      </c>
      <c r="G65" s="790"/>
      <c r="H65" s="776">
        <v>193</v>
      </c>
      <c r="I65" s="661" t="s">
        <v>217</v>
      </c>
      <c r="J65" s="469" t="s">
        <v>56</v>
      </c>
      <c r="K65" s="96"/>
      <c r="L65" s="51" t="s">
        <v>52</v>
      </c>
      <c r="M65" s="978" t="s">
        <v>57</v>
      </c>
      <c r="N65" s="1078">
        <v>86136</v>
      </c>
      <c r="O65" s="52" t="s">
        <v>57</v>
      </c>
      <c r="P65" s="1070" t="s">
        <v>218</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c r="A66" s="1279" t="s">
        <v>521</v>
      </c>
      <c r="B66" s="824" t="s">
        <v>50</v>
      </c>
      <c r="C66" s="1206">
        <v>46008</v>
      </c>
      <c r="D66" s="1206" t="s">
        <v>522</v>
      </c>
      <c r="E66" s="1226">
        <v>45958</v>
      </c>
      <c r="F66" s="1227" t="s">
        <v>518</v>
      </c>
      <c r="G66" s="1227" t="s">
        <v>523</v>
      </c>
      <c r="H66" s="1228">
        <v>517</v>
      </c>
      <c r="I66" s="661" t="s">
        <v>524</v>
      </c>
      <c r="J66" s="1208" t="s">
        <v>56</v>
      </c>
      <c r="K66" s="1253"/>
      <c r="L66" s="1226">
        <v>45964</v>
      </c>
      <c r="M66" s="1228" t="s">
        <v>57</v>
      </c>
      <c r="N66" s="1239">
        <v>215088</v>
      </c>
      <c r="O66" s="1228" t="s">
        <v>57</v>
      </c>
      <c r="P66" s="1280" t="s">
        <v>218</v>
      </c>
      <c r="Q66" s="1231">
        <v>45960</v>
      </c>
      <c r="R66" s="1231"/>
      <c r="S66" s="1231"/>
      <c r="T66" s="1231"/>
      <c r="U66" s="1231"/>
      <c r="V66" s="1232">
        <v>22238</v>
      </c>
      <c r="W66" s="1281">
        <v>22238</v>
      </c>
      <c r="X66" s="1212">
        <f t="shared" si="16"/>
        <v>0</v>
      </c>
      <c r="Y66" s="863">
        <f t="shared" si="17"/>
        <v>1</v>
      </c>
      <c r="Z66" s="1231">
        <v>45965</v>
      </c>
      <c r="AA66" s="355">
        <v>1</v>
      </c>
      <c r="AB66" s="355">
        <v>1</v>
      </c>
      <c r="AC66" s="645">
        <v>0</v>
      </c>
      <c r="AD66" s="1246" t="s">
        <v>525</v>
      </c>
    </row>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6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6" xr:uid="{FAE40925-7EC8-4626-B635-D815FEB73FF5}">
      <formula1>"On Track, In Jeopardy, Completed on Track, Completed, Completed -Missed TSD"</formula1>
    </dataValidation>
    <dataValidation type="list" allowBlank="1" showInputMessage="1" showErrorMessage="1" sqref="J7 J2:J5 J9:J14 J17 J20:J66" xr:uid="{ECCD296E-320E-42DF-8A21-19E7E0361B1B}">
      <formula1>"Received, Pending, Not Required"</formula1>
    </dataValidation>
    <dataValidation allowBlank="1" showInputMessage="1" showErrorMessage="1" sqref="Q63:U66 L62:L66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380</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380</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358</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358</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358</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379</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379</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431</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431</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431</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431</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431</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379</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379</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379</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379</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379</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359</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379</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382</v>
      </c>
      <c r="B753" s="1375"/>
      <c r="C753" s="1375">
        <v>251</v>
      </c>
      <c r="D753" s="1375">
        <v>253</v>
      </c>
      <c r="E753" s="1375">
        <v>1076</v>
      </c>
      <c r="F753" s="1375"/>
      <c r="G753" s="1375">
        <v>1580</v>
      </c>
    </row>
    <row r="754" spans="1:7">
      <c r="A754" t="s">
        <v>359</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379</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382</v>
      </c>
      <c r="B770" s="1375"/>
      <c r="C770" s="1375">
        <v>120</v>
      </c>
      <c r="D770" s="1375">
        <v>190</v>
      </c>
      <c r="E770" s="1375"/>
      <c r="F770" s="1375"/>
      <c r="G770" s="1375">
        <v>310</v>
      </c>
    </row>
    <row r="771" spans="1:7">
      <c r="A771" t="s">
        <v>359</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385</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379</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382</v>
      </c>
      <c r="B794" s="1375">
        <v>479</v>
      </c>
      <c r="C794" s="1375"/>
      <c r="D794" s="1375"/>
      <c r="E794" s="1375">
        <v>170</v>
      </c>
      <c r="F794" s="1375"/>
      <c r="G794" s="1375">
        <v>649</v>
      </c>
    </row>
    <row r="795" spans="1:7">
      <c r="A795" t="s">
        <v>359</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385</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382</v>
      </c>
      <c r="B818" s="1375"/>
      <c r="C818" s="1375"/>
      <c r="D818" s="1375"/>
      <c r="E818" s="1375">
        <v>725</v>
      </c>
      <c r="F818" s="1375"/>
      <c r="G818" s="1375">
        <v>725</v>
      </c>
    </row>
    <row r="819" spans="1:7">
      <c r="A819" t="s">
        <v>359</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385</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362</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359</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365</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375</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378</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375</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378</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388</v>
      </c>
      <c r="B873" s="1375"/>
      <c r="C873" s="1375"/>
      <c r="D873" s="1375">
        <v>1624</v>
      </c>
      <c r="E873" s="1375">
        <v>551</v>
      </c>
      <c r="F873" s="1375"/>
      <c r="G873" s="1375">
        <v>2175</v>
      </c>
    </row>
    <row r="874" spans="1:7">
      <c r="A874" t="s">
        <v>376</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359</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375</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388</v>
      </c>
      <c r="B895" s="1375"/>
      <c r="C895" s="1375"/>
      <c r="D895" s="1375"/>
      <c r="E895" s="1375"/>
      <c r="F895" s="1375">
        <v>168</v>
      </c>
      <c r="G895" s="1375">
        <v>168</v>
      </c>
    </row>
    <row r="896" spans="1:7">
      <c r="A896" t="s">
        <v>376</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371</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437</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359</v>
      </c>
      <c r="B910" s="1375"/>
      <c r="C910" s="1375"/>
      <c r="D910" s="1375"/>
      <c r="E910" s="1375"/>
      <c r="F910" s="1375"/>
      <c r="G910" s="1375"/>
    </row>
    <row r="911" spans="1:7">
      <c r="A911" t="s">
        <v>385</v>
      </c>
      <c r="B911" s="1375"/>
      <c r="C911" s="1375"/>
      <c r="D911" s="1375"/>
      <c r="E911" s="1375"/>
      <c r="F911" s="1375">
        <v>569</v>
      </c>
      <c r="G911" s="1375">
        <v>569</v>
      </c>
    </row>
    <row r="912" spans="1:7">
      <c r="A912" t="s">
        <v>519</v>
      </c>
      <c r="B912" s="1375"/>
      <c r="C912" s="1375"/>
      <c r="D912" s="1375"/>
      <c r="E912" s="1375"/>
      <c r="F912" s="1375"/>
      <c r="G912" s="1375"/>
    </row>
    <row r="913" spans="1:7">
      <c r="A913" t="s">
        <v>365</v>
      </c>
      <c r="B913" s="1375"/>
      <c r="C913" s="1375"/>
      <c r="D913" s="1375">
        <v>150</v>
      </c>
      <c r="E913" s="1375"/>
      <c r="F913" s="1375"/>
      <c r="G913" s="1375">
        <v>150</v>
      </c>
    </row>
    <row r="914" spans="1:7">
      <c r="A914" t="s">
        <v>378</v>
      </c>
      <c r="B914" s="1375"/>
      <c r="C914" s="1375"/>
      <c r="D914" s="1375"/>
      <c r="E914" s="1375"/>
      <c r="F914" s="1375"/>
      <c r="G914" s="1375"/>
    </row>
    <row r="915" spans="1:7">
      <c r="A915" t="s">
        <v>577</v>
      </c>
      <c r="B915" s="1375">
        <v>701</v>
      </c>
      <c r="C915" s="1375"/>
      <c r="D915" s="1375"/>
      <c r="E915" s="1375"/>
      <c r="F915" s="1375"/>
      <c r="G915" s="1375">
        <v>701</v>
      </c>
    </row>
    <row r="916" spans="1:7">
      <c r="A916" t="s">
        <v>388</v>
      </c>
      <c r="B916" s="1375">
        <v>463</v>
      </c>
      <c r="C916" s="1375">
        <v>633</v>
      </c>
      <c r="D916" s="1375">
        <v>625</v>
      </c>
      <c r="E916" s="1375"/>
      <c r="F916" s="1375"/>
      <c r="G916" s="1375">
        <v>1721</v>
      </c>
    </row>
    <row r="917" spans="1:7">
      <c r="A917" t="s">
        <v>376</v>
      </c>
      <c r="B917" s="1375"/>
      <c r="C917" s="1375"/>
      <c r="D917" s="1375"/>
      <c r="E917" s="1375"/>
      <c r="F917" s="1375"/>
      <c r="G917" s="1375"/>
    </row>
    <row r="918" spans="1:7">
      <c r="A918" t="s">
        <v>371</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437</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390</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387</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457</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448</v>
      </c>
      <c r="B931" s="1375"/>
      <c r="C931" s="1375"/>
      <c r="D931" s="1375">
        <v>2985</v>
      </c>
      <c r="E931" s="1375">
        <v>2373</v>
      </c>
      <c r="F931" s="1375"/>
      <c r="G931" s="1375">
        <v>5358</v>
      </c>
    </row>
    <row r="932" spans="1:7">
      <c r="A932" t="s">
        <v>475</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362</v>
      </c>
      <c r="B939" s="1375"/>
      <c r="C939" s="1375"/>
      <c r="D939" s="1375"/>
      <c r="E939" s="1375"/>
      <c r="F939" s="1375"/>
      <c r="G939" s="1375"/>
    </row>
    <row r="940" spans="1:7">
      <c r="A940" t="s">
        <v>519</v>
      </c>
      <c r="B940" s="1375">
        <v>560</v>
      </c>
      <c r="C940" s="1375"/>
      <c r="D940" s="1375"/>
      <c r="E940" s="1375"/>
      <c r="F940" s="1375"/>
      <c r="G940" s="1375">
        <v>560</v>
      </c>
    </row>
    <row r="941" spans="1:7">
      <c r="A941" t="s">
        <v>378</v>
      </c>
      <c r="B941" s="1375"/>
      <c r="C941" s="1375"/>
      <c r="D941" s="1375"/>
      <c r="E941" s="1375"/>
      <c r="F941" s="1375"/>
      <c r="G941" s="1375"/>
    </row>
    <row r="942" spans="1:7">
      <c r="A942" t="s">
        <v>577</v>
      </c>
      <c r="B942" s="1375">
        <v>138</v>
      </c>
      <c r="C942" s="1375"/>
      <c r="D942" s="1375"/>
      <c r="E942" s="1375"/>
      <c r="F942" s="1375"/>
      <c r="G942" s="1375">
        <v>138</v>
      </c>
    </row>
    <row r="943" spans="1:7">
      <c r="A943" t="s">
        <v>376</v>
      </c>
      <c r="B943" s="1375"/>
      <c r="C943" s="1375"/>
      <c r="D943" s="1375"/>
      <c r="E943" s="1375"/>
      <c r="F943" s="1375"/>
      <c r="G943" s="1375"/>
    </row>
    <row r="944" spans="1:7">
      <c r="A944" t="s">
        <v>371</v>
      </c>
      <c r="B944" s="1375">
        <v>96</v>
      </c>
      <c r="C944" s="1375"/>
      <c r="D944" s="1375"/>
      <c r="E944" s="1375"/>
      <c r="F944" s="1375"/>
      <c r="G944" s="1375">
        <v>96</v>
      </c>
    </row>
    <row r="945" spans="1:7">
      <c r="A945" t="s">
        <v>590</v>
      </c>
      <c r="B945" s="1375">
        <v>632</v>
      </c>
      <c r="C945" s="1375"/>
      <c r="D945" s="1375"/>
      <c r="E945" s="1375"/>
      <c r="F945" s="1375"/>
      <c r="G945" s="1375">
        <v>632</v>
      </c>
    </row>
    <row r="946" spans="1:7">
      <c r="A946" t="s">
        <v>437</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475</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373</v>
      </c>
      <c r="B951" s="1375">
        <v>435</v>
      </c>
      <c r="C951" s="1375"/>
      <c r="D951" s="1375"/>
      <c r="E951" s="1375">
        <v>1123</v>
      </c>
      <c r="F951" s="1375"/>
      <c r="G951" s="1375">
        <v>1558</v>
      </c>
    </row>
    <row r="952" spans="1:7">
      <c r="A952" t="s">
        <v>418</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402</v>
      </c>
      <c r="B955" s="1375"/>
      <c r="C955" s="1375"/>
      <c r="D955" s="1375">
        <v>1486</v>
      </c>
      <c r="E955" s="1375">
        <v>2912</v>
      </c>
      <c r="F955" s="1375">
        <v>2125</v>
      </c>
      <c r="G955" s="1375">
        <v>6523</v>
      </c>
    </row>
    <row r="956" spans="1:7">
      <c r="A956" t="s">
        <v>467</v>
      </c>
      <c r="B956" s="1375"/>
      <c r="C956" s="1375"/>
      <c r="D956" s="1375">
        <v>1264</v>
      </c>
      <c r="E956" s="1375">
        <v>1281</v>
      </c>
      <c r="F956" s="1375"/>
      <c r="G956" s="1375">
        <v>2545</v>
      </c>
    </row>
    <row r="957" spans="1:7">
      <c r="A957" t="s">
        <v>1092</v>
      </c>
      <c r="B957" s="1375"/>
      <c r="C957" s="1375"/>
      <c r="D957" s="1375"/>
      <c r="E957" s="1375"/>
      <c r="F957" s="1375"/>
      <c r="G957" s="1375"/>
    </row>
    <row r="958" spans="1:7">
      <c r="A958" t="s">
        <v>480</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355</v>
      </c>
      <c r="B960" s="1375"/>
      <c r="C960" s="1375"/>
      <c r="D960" s="1375"/>
      <c r="E960" s="1375">
        <v>424</v>
      </c>
      <c r="F960" s="1375"/>
      <c r="G960" s="1375">
        <v>424</v>
      </c>
    </row>
    <row r="961" spans="1:7">
      <c r="A961" t="s">
        <v>482</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437</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373</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402</v>
      </c>
      <c r="B978" s="1375">
        <v>1449</v>
      </c>
      <c r="C978" s="1375"/>
      <c r="D978" s="1375"/>
      <c r="E978" s="1375"/>
      <c r="F978" s="1375"/>
      <c r="G978" s="1375">
        <v>1449</v>
      </c>
    </row>
    <row r="979" spans="1:7">
      <c r="A979" t="s">
        <v>467</v>
      </c>
      <c r="B979" s="1375">
        <v>1662</v>
      </c>
      <c r="C979" s="1375">
        <v>2684</v>
      </c>
      <c r="D979" s="1375"/>
      <c r="E979" s="1375"/>
      <c r="F979" s="1375">
        <v>51</v>
      </c>
      <c r="G979" s="1375">
        <v>4397</v>
      </c>
    </row>
    <row r="980" spans="1:7">
      <c r="A980" t="s">
        <v>477</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355</v>
      </c>
      <c r="B982" s="1375"/>
      <c r="C982" s="1375"/>
      <c r="D982" s="1375"/>
      <c r="E982" s="1375">
        <v>313</v>
      </c>
      <c r="F982" s="1375">
        <v>3007</v>
      </c>
      <c r="G982" s="1375">
        <v>3320</v>
      </c>
    </row>
    <row r="983" spans="1:7">
      <c r="A983" t="s">
        <v>482</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421</v>
      </c>
      <c r="B987" s="1375"/>
      <c r="C987" s="1375">
        <v>1679</v>
      </c>
      <c r="D987" s="1375">
        <v>1429</v>
      </c>
      <c r="E987" s="1375">
        <v>1624</v>
      </c>
      <c r="F987" s="1375"/>
      <c r="G987" s="1375">
        <v>4732</v>
      </c>
    </row>
    <row r="988" spans="1:7">
      <c r="A988" t="s">
        <v>403</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368</v>
      </c>
      <c r="B993" s="1375"/>
      <c r="C993" s="1375">
        <v>136</v>
      </c>
      <c r="D993" s="1375">
        <v>170</v>
      </c>
      <c r="E993" s="1375"/>
      <c r="F993" s="1375">
        <v>15</v>
      </c>
      <c r="G993" s="1375">
        <v>321</v>
      </c>
    </row>
    <row r="994" spans="1:7">
      <c r="A994" t="s">
        <v>485</v>
      </c>
      <c r="B994" s="1375"/>
      <c r="C994" s="1375"/>
      <c r="D994" s="1375"/>
      <c r="E994" s="1375">
        <v>1420</v>
      </c>
      <c r="F994" s="1375">
        <v>3043</v>
      </c>
      <c r="G994" s="1375">
        <v>4463</v>
      </c>
    </row>
    <row r="995" spans="1:7">
      <c r="A995" t="s">
        <v>488</v>
      </c>
      <c r="B995" s="1375"/>
      <c r="C995" s="1375"/>
      <c r="D995" s="1375"/>
      <c r="E995" s="1375">
        <v>2376</v>
      </c>
      <c r="F995" s="1375">
        <v>1217</v>
      </c>
      <c r="G995" s="1375">
        <v>3593</v>
      </c>
    </row>
    <row r="996" spans="1:7">
      <c r="A996" t="s">
        <v>405</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362</v>
      </c>
      <c r="B1007" s="1375"/>
      <c r="C1007" s="1375"/>
      <c r="D1007" s="1375"/>
      <c r="E1007" s="1375"/>
      <c r="F1007" s="1375"/>
      <c r="G1007" s="1375"/>
    </row>
    <row r="1008" spans="1:7">
      <c r="A1008" t="s">
        <v>388</v>
      </c>
      <c r="B1008" s="1375"/>
      <c r="C1008" s="1375"/>
      <c r="D1008" s="1375"/>
      <c r="E1008" s="1375"/>
      <c r="F1008" s="1375"/>
      <c r="G1008" s="1375"/>
    </row>
    <row r="1009" spans="1:7">
      <c r="A1009" t="s">
        <v>376</v>
      </c>
      <c r="B1009" s="1375"/>
      <c r="C1009" s="1375"/>
      <c r="D1009" s="1375"/>
      <c r="E1009" s="1375"/>
      <c r="F1009" s="1375"/>
      <c r="G1009" s="1375"/>
    </row>
    <row r="1010" spans="1:7">
      <c r="A1010" t="s">
        <v>371</v>
      </c>
      <c r="B1010" s="1375"/>
      <c r="C1010" s="1375"/>
      <c r="D1010" s="1375"/>
      <c r="E1010" s="1375"/>
      <c r="F1010" s="1375"/>
      <c r="G1010" s="1375"/>
    </row>
    <row r="1011" spans="1:7">
      <c r="A1011" t="s">
        <v>243</v>
      </c>
      <c r="B1011" s="1375"/>
      <c r="C1011" s="1375"/>
      <c r="D1011" s="1375">
        <v>426</v>
      </c>
      <c r="E1011" s="1375"/>
      <c r="F1011" s="1375"/>
      <c r="G1011" s="1375">
        <v>426</v>
      </c>
    </row>
    <row r="1012" spans="1:7">
      <c r="A1012" t="s">
        <v>387</v>
      </c>
      <c r="B1012" s="1375"/>
      <c r="C1012" s="1375"/>
      <c r="D1012" s="1375"/>
      <c r="E1012" s="1375"/>
      <c r="F1012" s="1375"/>
      <c r="G1012" s="1375"/>
    </row>
    <row r="1013" spans="1:7">
      <c r="A1013" t="s">
        <v>457</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448</v>
      </c>
      <c r="B1015" s="1375"/>
      <c r="C1015" s="1375">
        <v>996</v>
      </c>
      <c r="D1015" s="1375"/>
      <c r="E1015" s="1375"/>
      <c r="F1015" s="1375"/>
      <c r="G1015" s="1375">
        <v>996</v>
      </c>
    </row>
    <row r="1016" spans="1:7">
      <c r="A1016" t="s">
        <v>373</v>
      </c>
      <c r="B1016" s="1375">
        <v>900</v>
      </c>
      <c r="C1016" s="1375"/>
      <c r="D1016" s="1375"/>
      <c r="E1016" s="1375"/>
      <c r="F1016" s="1375"/>
      <c r="G1016" s="1375">
        <v>900</v>
      </c>
    </row>
    <row r="1017" spans="1:7">
      <c r="A1017" t="s">
        <v>418</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421</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485</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488</v>
      </c>
      <c r="B1026" s="1375"/>
      <c r="C1026" s="1375">
        <v>3311</v>
      </c>
      <c r="D1026" s="1375"/>
      <c r="E1026" s="1375"/>
      <c r="F1026" s="1375"/>
      <c r="G1026" s="1375">
        <v>3311</v>
      </c>
    </row>
    <row r="1027" spans="1:7">
      <c r="A1027" t="s">
        <v>451</v>
      </c>
      <c r="B1027" s="1375"/>
      <c r="C1027" s="1375"/>
      <c r="D1027" s="1375"/>
      <c r="E1027" s="1375"/>
      <c r="F1027" s="1375"/>
      <c r="G1027" s="1375"/>
    </row>
    <row r="1028" spans="1:7">
      <c r="A1028" t="s">
        <v>405</v>
      </c>
      <c r="B1028" s="1375"/>
      <c r="C1028" s="1375">
        <v>2568</v>
      </c>
      <c r="D1028" s="1375"/>
      <c r="E1028" s="1375"/>
      <c r="F1028" s="1375"/>
      <c r="G1028" s="1375">
        <v>2568</v>
      </c>
    </row>
    <row r="1029" spans="1:7">
      <c r="A1029" t="s">
        <v>427</v>
      </c>
      <c r="B1029" s="1375">
        <v>286</v>
      </c>
      <c r="C1029" s="1375">
        <v>357</v>
      </c>
      <c r="D1029" s="1375">
        <v>331</v>
      </c>
      <c r="E1029" s="1375"/>
      <c r="F1029" s="1375"/>
      <c r="G1029" s="1375">
        <v>974</v>
      </c>
    </row>
    <row r="1030" spans="1:7">
      <c r="A1030" t="s">
        <v>399</v>
      </c>
      <c r="B1030" s="1375">
        <v>1655</v>
      </c>
      <c r="C1030" s="1375">
        <v>2537</v>
      </c>
      <c r="D1030" s="1375"/>
      <c r="E1030" s="1375"/>
      <c r="F1030" s="1375"/>
      <c r="G1030" s="1375">
        <v>4192</v>
      </c>
    </row>
    <row r="1031" spans="1:7">
      <c r="A1031" t="s">
        <v>469</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491</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461</v>
      </c>
      <c r="B1037" s="1375"/>
      <c r="C1037" s="1375"/>
      <c r="D1037" s="1375"/>
      <c r="E1037" s="1375"/>
      <c r="F1037" s="1375"/>
      <c r="G1037" s="1375"/>
    </row>
    <row r="1038" spans="1:7">
      <c r="A1038" t="s">
        <v>453</v>
      </c>
      <c r="B1038" s="1375"/>
      <c r="C1038" s="1375"/>
      <c r="D1038" s="1375"/>
      <c r="E1038" s="1375"/>
      <c r="F1038" s="1375"/>
      <c r="G1038" s="1375"/>
    </row>
    <row r="1039" spans="1:7">
      <c r="A1039" t="s">
        <v>455</v>
      </c>
      <c r="B1039" s="1375"/>
      <c r="C1039" s="1375"/>
      <c r="D1039" s="1375"/>
      <c r="E1039" s="1375"/>
      <c r="F1039" s="1375"/>
      <c r="G1039" s="1375"/>
    </row>
    <row r="1040" spans="1:7">
      <c r="A1040" t="s">
        <v>460</v>
      </c>
      <c r="B1040" s="1375"/>
      <c r="C1040" s="1375"/>
      <c r="D1040" s="1375"/>
      <c r="E1040" s="1375"/>
      <c r="F1040" s="1375"/>
      <c r="G1040" s="1375"/>
    </row>
    <row r="1041" spans="1:7">
      <c r="A1041" t="s">
        <v>463</v>
      </c>
      <c r="B1041" s="1375"/>
      <c r="C1041" s="1375"/>
      <c r="D1041" s="1375"/>
      <c r="E1041" s="1375"/>
      <c r="F1041" s="1375"/>
      <c r="G1041" s="1375"/>
    </row>
    <row r="1042" spans="1:7">
      <c r="A1042" t="s">
        <v>465</v>
      </c>
      <c r="B1042" s="1375"/>
      <c r="C1042" s="1375"/>
      <c r="D1042" s="1375"/>
      <c r="E1042" s="1375"/>
      <c r="F1042" s="1375"/>
      <c r="G1042" s="1375"/>
    </row>
    <row r="1043" spans="1:7">
      <c r="A1043" t="s">
        <v>466</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477</v>
      </c>
      <c r="B1054" s="1375"/>
      <c r="C1054" s="1375"/>
      <c r="D1054" s="1375"/>
      <c r="E1054" s="1375">
        <v>64</v>
      </c>
      <c r="F1054" s="1375"/>
      <c r="G1054" s="1375">
        <v>64</v>
      </c>
    </row>
    <row r="1055" spans="1:7">
      <c r="A1055" t="s">
        <v>480</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485</v>
      </c>
      <c r="B1058" s="1375"/>
      <c r="C1058" s="1375"/>
      <c r="D1058" s="1375"/>
      <c r="E1058" s="1375">
        <v>52</v>
      </c>
      <c r="F1058" s="1375"/>
      <c r="G1058" s="1375">
        <v>52</v>
      </c>
    </row>
    <row r="1059" spans="1:7">
      <c r="A1059" t="s">
        <v>405</v>
      </c>
      <c r="B1059" s="1375"/>
      <c r="C1059" s="1375"/>
      <c r="D1059" s="1375"/>
      <c r="E1059" s="1375">
        <v>489</v>
      </c>
      <c r="F1059" s="1375">
        <v>2020</v>
      </c>
      <c r="G1059" s="1375">
        <v>2509</v>
      </c>
    </row>
    <row r="1060" spans="1:7">
      <c r="A1060" t="s">
        <v>399</v>
      </c>
      <c r="B1060" s="1375">
        <v>2113</v>
      </c>
      <c r="C1060" s="1375"/>
      <c r="D1060" s="1375">
        <v>1677</v>
      </c>
      <c r="E1060" s="1375">
        <v>1316</v>
      </c>
      <c r="F1060" s="1375"/>
      <c r="G1060" s="1375">
        <v>5106</v>
      </c>
    </row>
    <row r="1061" spans="1:7">
      <c r="A1061" t="s">
        <v>469</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491</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472</v>
      </c>
      <c r="B1068" s="1375">
        <v>1391</v>
      </c>
      <c r="C1068" s="1375">
        <v>2916</v>
      </c>
      <c r="D1068" s="1375">
        <v>2430</v>
      </c>
      <c r="E1068" s="1375"/>
      <c r="F1068" s="1375"/>
      <c r="G1068" s="1375">
        <v>6737</v>
      </c>
    </row>
    <row r="1069" spans="1:7">
      <c r="A1069" t="s">
        <v>415</v>
      </c>
      <c r="B1069" s="1375"/>
      <c r="C1069" s="1375"/>
      <c r="D1069" s="1375">
        <v>466</v>
      </c>
      <c r="E1069" s="1375">
        <v>345</v>
      </c>
      <c r="F1069" s="1375"/>
      <c r="G1069" s="1375">
        <v>811</v>
      </c>
    </row>
    <row r="1070" spans="1:7">
      <c r="A1070" t="s">
        <v>424</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448</v>
      </c>
      <c r="B1082" s="1375"/>
      <c r="C1082" s="1375">
        <v>2203</v>
      </c>
      <c r="D1082" s="1375"/>
      <c r="E1082" s="1375"/>
      <c r="F1082" s="1375"/>
      <c r="G1082" s="1375">
        <v>2203</v>
      </c>
    </row>
    <row r="1083" spans="1:7">
      <c r="A1083" t="s">
        <v>482</v>
      </c>
      <c r="B1083" s="1375"/>
      <c r="C1083" s="1375"/>
      <c r="D1083" s="1375"/>
      <c r="E1083" s="1375">
        <v>242</v>
      </c>
      <c r="F1083" s="1375"/>
      <c r="G1083" s="1375">
        <v>242</v>
      </c>
    </row>
    <row r="1084" spans="1:7">
      <c r="A1084" t="s">
        <v>582</v>
      </c>
      <c r="B1084" s="1375"/>
      <c r="C1084" s="1375"/>
      <c r="D1084" s="1375"/>
      <c r="E1084" s="1375"/>
      <c r="F1084" s="1375"/>
      <c r="G1084" s="1375"/>
    </row>
    <row r="1085" spans="1:7">
      <c r="A1085" t="s">
        <v>405</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415</v>
      </c>
      <c r="B1089" s="1375">
        <v>1172</v>
      </c>
      <c r="C1089" s="1375"/>
      <c r="D1089" s="1375"/>
      <c r="E1089" s="1375"/>
      <c r="F1089" s="1375"/>
      <c r="G1089" s="1375">
        <v>1172</v>
      </c>
    </row>
    <row r="1090" spans="1:7">
      <c r="A1090" t="s">
        <v>424</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497</v>
      </c>
      <c r="B1093" s="1375">
        <v>2855</v>
      </c>
      <c r="C1093" s="1375">
        <v>3343</v>
      </c>
      <c r="D1093" s="1375">
        <v>931</v>
      </c>
      <c r="E1093" s="1375"/>
      <c r="F1093" s="1375"/>
      <c r="G1093" s="1375">
        <v>7129</v>
      </c>
    </row>
    <row r="1094" spans="1:7">
      <c r="A1094" t="s">
        <v>500</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393</v>
      </c>
      <c r="B1096" s="1375"/>
      <c r="C1096" s="1375">
        <v>1640</v>
      </c>
      <c r="D1096" s="1375">
        <v>1177</v>
      </c>
      <c r="E1096" s="1375"/>
      <c r="F1096" s="1375"/>
      <c r="G1096" s="1375">
        <v>2817</v>
      </c>
    </row>
    <row r="1097" spans="1:7">
      <c r="A1097" t="s">
        <v>494</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412</v>
      </c>
      <c r="B1099" s="1375"/>
      <c r="C1099" s="1375">
        <v>1500</v>
      </c>
      <c r="D1099" s="1375">
        <v>1084</v>
      </c>
      <c r="E1099" s="1375"/>
      <c r="F1099" s="1375"/>
      <c r="G1099" s="1375">
        <v>2584</v>
      </c>
    </row>
    <row r="1100" spans="1:7">
      <c r="A1100" t="s">
        <v>396</v>
      </c>
      <c r="B1100" s="1375"/>
      <c r="C1100" s="1375"/>
      <c r="D1100" s="1375">
        <v>817</v>
      </c>
      <c r="E1100" s="1375">
        <v>1820</v>
      </c>
      <c r="F1100" s="1375"/>
      <c r="G1100" s="1375">
        <v>2637</v>
      </c>
    </row>
    <row r="1101" spans="1:7">
      <c r="A1101" t="s">
        <v>409</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457</v>
      </c>
      <c r="B1110" s="1375"/>
      <c r="C1110" s="1375"/>
      <c r="D1110" s="1375"/>
      <c r="E1110" s="1375"/>
      <c r="F1110" s="1375"/>
      <c r="G1110" s="1375"/>
    </row>
    <row r="1111" spans="1:7">
      <c r="A1111" t="s">
        <v>480</v>
      </c>
      <c r="B1111" s="1375"/>
      <c r="C1111" s="1375"/>
      <c r="D1111" s="1375"/>
      <c r="E1111" s="1375"/>
      <c r="F1111" s="1375"/>
      <c r="G1111" s="1375"/>
    </row>
    <row r="1112" spans="1:7">
      <c r="A1112" t="s">
        <v>355</v>
      </c>
      <c r="B1112" s="1375"/>
      <c r="C1112" s="1375"/>
      <c r="D1112" s="1375"/>
      <c r="E1112" s="1375">
        <v>396</v>
      </c>
      <c r="F1112" s="1375"/>
      <c r="G1112" s="1375">
        <v>396</v>
      </c>
    </row>
    <row r="1113" spans="1:7">
      <c r="A1113" t="s">
        <v>482</v>
      </c>
      <c r="B1113" s="1375"/>
      <c r="C1113" s="1375"/>
      <c r="D1113" s="1375"/>
      <c r="E1113" s="1375"/>
      <c r="F1113" s="1375"/>
      <c r="G1113" s="1375"/>
    </row>
    <row r="1114" spans="1:7">
      <c r="A1114" t="s">
        <v>582</v>
      </c>
      <c r="B1114" s="1375"/>
      <c r="C1114" s="1375"/>
      <c r="D1114" s="1375"/>
      <c r="E1114" s="1375"/>
      <c r="F1114" s="1375"/>
      <c r="G1114" s="1375"/>
    </row>
    <row r="1115" spans="1:7">
      <c r="A1115" t="s">
        <v>488</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415</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500</v>
      </c>
      <c r="B1121" s="1375"/>
      <c r="C1121" s="1375"/>
      <c r="D1121" s="1375">
        <v>1049</v>
      </c>
      <c r="E1121" s="1375"/>
      <c r="F1121" s="1375"/>
      <c r="G1121" s="1375">
        <v>1049</v>
      </c>
    </row>
    <row r="1122" spans="1:7">
      <c r="A1122" t="s">
        <v>494</v>
      </c>
      <c r="B1122" s="1375">
        <v>29</v>
      </c>
      <c r="C1122" s="1375"/>
      <c r="D1122" s="1375"/>
      <c r="E1122" s="1375"/>
      <c r="F1122" s="1375"/>
      <c r="G1122" s="1375">
        <v>29</v>
      </c>
    </row>
    <row r="1123" spans="1:7">
      <c r="A1123" t="s">
        <v>336</v>
      </c>
      <c r="B1123" s="1375"/>
      <c r="C1123" s="1375"/>
      <c r="D1123" s="1375"/>
      <c r="E1123" s="1375"/>
      <c r="F1123" s="1375"/>
      <c r="G1123" s="1375"/>
    </row>
    <row r="1124" spans="1:7">
      <c r="A1124" t="s">
        <v>412</v>
      </c>
      <c r="B1124" s="1375"/>
      <c r="C1124" s="1375"/>
      <c r="D1124" s="1375"/>
      <c r="E1124" s="1375"/>
      <c r="F1124" s="1375"/>
      <c r="G1124" s="1375"/>
    </row>
    <row r="1125" spans="1:7">
      <c r="A1125" t="s">
        <v>409</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407</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tabSelected="1" workbookViewId="0">
      <pane ySplit="1" topLeftCell="A2351" activePane="bottomLeft" state="frozen"/>
      <selection pane="bottomLeft" activeCell="D2368" sqref="D236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379</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379</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379</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379</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379</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379</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431</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431</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431</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431</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431</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431</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431</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431</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380</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431</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380</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380</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380</v>
      </c>
      <c r="C1331" s="56">
        <v>45849</v>
      </c>
      <c r="D1331" s="43">
        <v>198</v>
      </c>
      <c r="G1331" t="s">
        <v>1516</v>
      </c>
    </row>
    <row r="1332" spans="1:7">
      <c r="A1332" s="247" t="s">
        <v>968</v>
      </c>
      <c r="B1332" s="398" t="s">
        <v>1035</v>
      </c>
      <c r="C1332" s="56">
        <v>45852</v>
      </c>
      <c r="F1332" s="43" t="s">
        <v>1179</v>
      </c>
      <c r="G1332" t="s">
        <v>1516</v>
      </c>
    </row>
    <row r="1333" spans="1:7">
      <c r="A1333" s="617" t="s">
        <v>532</v>
      </c>
      <c r="B1333" s="157" t="s">
        <v>380</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379</v>
      </c>
      <c r="B1337" s="157" t="s">
        <v>380</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379</v>
      </c>
      <c r="B1343" s="318" t="s">
        <v>380</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379</v>
      </c>
      <c r="B1354" s="157" t="s">
        <v>380</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379</v>
      </c>
      <c r="B1361" s="157" t="s">
        <v>380</v>
      </c>
      <c r="C1361" s="56">
        <v>45860</v>
      </c>
      <c r="D1361" s="43">
        <v>318</v>
      </c>
      <c r="G1361" t="s">
        <v>1516</v>
      </c>
    </row>
    <row r="1362" spans="1:7">
      <c r="A1362" s="247" t="s">
        <v>1074</v>
      </c>
      <c r="B1362" s="157" t="s">
        <v>380</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380</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380</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380</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380</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380</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380</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380</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380</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380</v>
      </c>
      <c r="C1418" s="56">
        <v>45875</v>
      </c>
      <c r="D1418" s="43">
        <v>840</v>
      </c>
      <c r="G1418" t="s">
        <v>1555</v>
      </c>
    </row>
    <row r="1419" spans="1:7">
      <c r="A1419" s="141" t="s">
        <v>526</v>
      </c>
      <c r="B1419" s="550" t="s">
        <v>380</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380</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380</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380</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379</v>
      </c>
      <c r="B1435" s="311" t="s">
        <v>380</v>
      </c>
      <c r="C1435" s="56">
        <v>45881</v>
      </c>
      <c r="D1435" s="43">
        <v>319</v>
      </c>
      <c r="G1435" t="s">
        <v>1555</v>
      </c>
    </row>
    <row r="1436" spans="1:7">
      <c r="A1436" s="551" t="s">
        <v>540</v>
      </c>
      <c r="B1436" s="311" t="s">
        <v>380</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380</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380</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380</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380</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380</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380</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380</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380</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380</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380</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380</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379</v>
      </c>
      <c r="B1512" s="348" t="s">
        <v>380</v>
      </c>
      <c r="C1512" s="56">
        <v>45896</v>
      </c>
      <c r="D1512" s="43">
        <v>358</v>
      </c>
      <c r="F1512" s="43" t="s">
        <v>1584</v>
      </c>
      <c r="G1512" t="s">
        <v>1555</v>
      </c>
    </row>
    <row r="1513" spans="1:7">
      <c r="A1513" s="643" t="s">
        <v>532</v>
      </c>
      <c r="B1513" s="141" t="s">
        <v>380</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380</v>
      </c>
      <c r="C1518" s="56">
        <v>45897</v>
      </c>
      <c r="F1518" s="43" t="s">
        <v>1174</v>
      </c>
      <c r="G1518" t="s">
        <v>1555</v>
      </c>
    </row>
    <row r="1519" spans="1:7">
      <c r="A1519" s="583" t="s">
        <v>288</v>
      </c>
      <c r="B1519" s="631" t="s">
        <v>1035</v>
      </c>
      <c r="C1519" s="56">
        <v>45897</v>
      </c>
      <c r="D1519" s="43">
        <v>320</v>
      </c>
      <c r="G1519" t="s">
        <v>1555</v>
      </c>
    </row>
    <row r="1520" spans="1:7">
      <c r="A1520" s="628" t="s">
        <v>379</v>
      </c>
      <c r="B1520" s="349" t="s">
        <v>380</v>
      </c>
      <c r="C1520" s="56">
        <v>45897</v>
      </c>
      <c r="F1520" s="311" t="s">
        <v>1312</v>
      </c>
      <c r="G1520" t="s">
        <v>1555</v>
      </c>
    </row>
    <row r="1521" spans="1:7">
      <c r="A1521" s="123" t="s">
        <v>532</v>
      </c>
      <c r="B1521" s="348" t="s">
        <v>380</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380</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380</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380</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380</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379</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359</v>
      </c>
      <c r="B1563" s="631" t="s">
        <v>360</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359</v>
      </c>
      <c r="B1570" s="247" t="s">
        <v>360</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359</v>
      </c>
      <c r="B1574" s="247" t="s">
        <v>360</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359</v>
      </c>
      <c r="B1579" s="247" t="s">
        <v>360</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359</v>
      </c>
      <c r="B1585" s="247" t="s">
        <v>360</v>
      </c>
      <c r="C1585" s="56">
        <v>45916</v>
      </c>
      <c r="F1585" s="734" t="s">
        <v>1162</v>
      </c>
      <c r="G1585" t="s">
        <v>1593</v>
      </c>
    </row>
    <row r="1586" spans="1:7">
      <c r="A1586" s="157" t="s">
        <v>379</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382</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359</v>
      </c>
      <c r="B1593" s="141" t="s">
        <v>360</v>
      </c>
      <c r="C1593" s="56">
        <v>45917</v>
      </c>
      <c r="D1593" s="43">
        <v>863</v>
      </c>
      <c r="F1593" s="734"/>
      <c r="G1593" t="s">
        <v>1593</v>
      </c>
    </row>
    <row r="1594" spans="1:7">
      <c r="A1594" s="738" t="s">
        <v>382</v>
      </c>
      <c r="B1594" s="305" t="s">
        <v>236</v>
      </c>
      <c r="C1594" s="56">
        <v>45917</v>
      </c>
      <c r="D1594" s="43">
        <v>253</v>
      </c>
      <c r="F1594" s="734"/>
      <c r="G1594" t="s">
        <v>1593</v>
      </c>
    </row>
    <row r="1595" spans="1:7">
      <c r="A1595" s="326" t="s">
        <v>379</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359</v>
      </c>
      <c r="B1603" s="247" t="s">
        <v>360</v>
      </c>
      <c r="C1603" s="56">
        <v>45918</v>
      </c>
      <c r="D1603" s="43">
        <v>499</v>
      </c>
      <c r="F1603" s="734"/>
      <c r="G1603" t="s">
        <v>1593</v>
      </c>
    </row>
    <row r="1604" spans="1:7">
      <c r="A1604" s="648" t="s">
        <v>382</v>
      </c>
      <c r="B1604" s="141" t="s">
        <v>236</v>
      </c>
      <c r="C1604" s="56">
        <v>45918</v>
      </c>
      <c r="D1604" s="155">
        <v>1076</v>
      </c>
      <c r="F1604" s="734"/>
      <c r="G1604" t="s">
        <v>1593</v>
      </c>
    </row>
    <row r="1605" spans="1:7">
      <c r="A1605" s="157" t="s">
        <v>379</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359</v>
      </c>
      <c r="B1608" s="247" t="s">
        <v>360</v>
      </c>
      <c r="C1608" s="56">
        <v>45919</v>
      </c>
      <c r="D1608" s="43">
        <v>475</v>
      </c>
      <c r="F1608" s="734"/>
      <c r="G1608" t="s">
        <v>1593</v>
      </c>
    </row>
    <row r="1609" spans="1:7">
      <c r="A1609" s="648" t="s">
        <v>382</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359</v>
      </c>
      <c r="B1616" s="141" t="s">
        <v>360</v>
      </c>
      <c r="C1616" s="56">
        <v>45922</v>
      </c>
      <c r="D1616" s="43">
        <v>839</v>
      </c>
      <c r="F1616" s="734"/>
      <c r="G1616" t="s">
        <v>1593</v>
      </c>
    </row>
    <row r="1617" spans="1:7">
      <c r="A1617" s="747" t="s">
        <v>382</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359</v>
      </c>
      <c r="B1625" s="247" t="s">
        <v>360</v>
      </c>
      <c r="C1625" s="56">
        <v>45923</v>
      </c>
      <c r="F1625" s="760" t="s">
        <v>1638</v>
      </c>
      <c r="G1625" t="s">
        <v>1593</v>
      </c>
    </row>
    <row r="1626" spans="1:7">
      <c r="A1626" s="648" t="s">
        <v>382</v>
      </c>
      <c r="B1626" s="757" t="s">
        <v>236</v>
      </c>
      <c r="C1626" s="56">
        <v>45923</v>
      </c>
      <c r="D1626" s="43">
        <v>120</v>
      </c>
      <c r="F1626" s="69"/>
      <c r="G1626" t="s">
        <v>1593</v>
      </c>
    </row>
    <row r="1627" spans="1:7">
      <c r="A1627" s="157" t="s">
        <v>379</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359</v>
      </c>
      <c r="B1636" s="399" t="s">
        <v>360</v>
      </c>
      <c r="C1636" s="344">
        <v>45924</v>
      </c>
      <c r="D1636" s="43">
        <v>616</v>
      </c>
      <c r="F1636" s="91"/>
      <c r="G1636" t="s">
        <v>1593</v>
      </c>
    </row>
    <row r="1637" spans="1:7">
      <c r="A1637" s="648" t="s">
        <v>382</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359</v>
      </c>
      <c r="B1651" s="247" t="s">
        <v>360</v>
      </c>
      <c r="C1651" s="56">
        <v>45925</v>
      </c>
      <c r="D1651" s="43">
        <v>969</v>
      </c>
      <c r="G1651" t="s">
        <v>1593</v>
      </c>
    </row>
    <row r="1652" spans="1:7">
      <c r="A1652" s="648" t="s">
        <v>382</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360</v>
      </c>
      <c r="C1657" s="56">
        <v>45926</v>
      </c>
      <c r="D1657" s="43">
        <v>300</v>
      </c>
      <c r="G1657" t="s">
        <v>1593</v>
      </c>
    </row>
    <row r="1658" spans="1:7">
      <c r="A1658" s="304" t="s">
        <v>1084</v>
      </c>
      <c r="B1658" s="739" t="s">
        <v>1650</v>
      </c>
      <c r="C1658" s="56">
        <v>45926</v>
      </c>
      <c r="D1658" s="43">
        <v>364</v>
      </c>
      <c r="G1658" t="s">
        <v>1593</v>
      </c>
    </row>
    <row r="1659" spans="1:7">
      <c r="A1659" s="134" t="s">
        <v>359</v>
      </c>
      <c r="B1659" s="141" t="s">
        <v>360</v>
      </c>
      <c r="C1659" s="56">
        <v>45926</v>
      </c>
      <c r="D1659" s="43">
        <v>552</v>
      </c>
      <c r="G1659" t="s">
        <v>1593</v>
      </c>
    </row>
    <row r="1660" spans="1:7">
      <c r="A1660" s="747" t="s">
        <v>385</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359</v>
      </c>
      <c r="B1669" s="141" t="s">
        <v>360</v>
      </c>
      <c r="C1669" s="56">
        <v>45929</v>
      </c>
      <c r="D1669" s="155">
        <v>1375</v>
      </c>
      <c r="G1669" t="s">
        <v>1593</v>
      </c>
    </row>
    <row r="1670" spans="1:7">
      <c r="A1670" s="747" t="s">
        <v>379</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382</v>
      </c>
      <c r="B1672" s="318" t="s">
        <v>236</v>
      </c>
      <c r="C1672" s="56">
        <v>45929</v>
      </c>
      <c r="D1672" s="43">
        <v>479</v>
      </c>
      <c r="G1672" t="s">
        <v>1593</v>
      </c>
    </row>
    <row r="1673" spans="1:7">
      <c r="A1673" s="43" t="s">
        <v>385</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359</v>
      </c>
      <c r="B1682" s="304" t="s">
        <v>360</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385</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359</v>
      </c>
      <c r="B1693" s="141" t="s">
        <v>360</v>
      </c>
      <c r="C1693" s="56">
        <v>45931</v>
      </c>
      <c r="D1693" s="43">
        <v>312</v>
      </c>
      <c r="G1693" t="s">
        <v>1659</v>
      </c>
    </row>
    <row r="1694" spans="1:7">
      <c r="A1694" s="551" t="s">
        <v>526</v>
      </c>
      <c r="B1694" s="141" t="s">
        <v>236</v>
      </c>
      <c r="C1694" s="56">
        <v>45931</v>
      </c>
      <c r="D1694" s="43">
        <v>753</v>
      </c>
      <c r="G1694" t="s">
        <v>1659</v>
      </c>
    </row>
    <row r="1695" spans="1:7">
      <c r="A1695" s="305" t="s">
        <v>385</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359</v>
      </c>
      <c r="B1703" s="141" t="s">
        <v>360</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385</v>
      </c>
      <c r="B1706" s="348" t="s">
        <v>236</v>
      </c>
      <c r="C1706" s="56">
        <v>45932</v>
      </c>
      <c r="D1706" s="43">
        <v>789</v>
      </c>
      <c r="F1706" s="43" t="s">
        <v>1665</v>
      </c>
      <c r="G1706" t="s">
        <v>1659</v>
      </c>
    </row>
    <row r="1707" spans="1:7">
      <c r="A1707" s="141" t="s">
        <v>382</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359</v>
      </c>
      <c r="B1713" s="141" t="s">
        <v>360</v>
      </c>
      <c r="C1713" s="56">
        <v>45933</v>
      </c>
      <c r="D1713" s="43">
        <v>617</v>
      </c>
      <c r="G1713" t="s">
        <v>1659</v>
      </c>
    </row>
    <row r="1714" spans="1:7">
      <c r="A1714" s="305" t="s">
        <v>1083</v>
      </c>
      <c r="B1714" s="305" t="s">
        <v>1035</v>
      </c>
      <c r="C1714" s="56">
        <v>45933</v>
      </c>
      <c r="D1714" s="43">
        <v>486</v>
      </c>
      <c r="G1714" t="s">
        <v>1659</v>
      </c>
    </row>
    <row r="1715" spans="1:7">
      <c r="A1715" s="306" t="s">
        <v>385</v>
      </c>
      <c r="B1715" s="141" t="s">
        <v>236</v>
      </c>
      <c r="C1715" s="56">
        <v>45933</v>
      </c>
      <c r="F1715" s="43" t="s">
        <v>1668</v>
      </c>
      <c r="G1715" t="s">
        <v>1659</v>
      </c>
    </row>
    <row r="1716" spans="1:7">
      <c r="A1716" s="306" t="s">
        <v>382</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359</v>
      </c>
      <c r="B1724" s="141" t="s">
        <v>360</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385</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359</v>
      </c>
      <c r="B1734" s="141" t="s">
        <v>360</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385</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385</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359</v>
      </c>
      <c r="B1755" s="247" t="s">
        <v>360</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385</v>
      </c>
      <c r="B1758" s="317" t="s">
        <v>236</v>
      </c>
      <c r="C1758" s="56">
        <v>45939</v>
      </c>
      <c r="D1758" s="43">
        <v>369</v>
      </c>
      <c r="G1758" t="s">
        <v>1659</v>
      </c>
    </row>
    <row r="1759" spans="1:7">
      <c r="A1759" s="115" t="s">
        <v>382</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362</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365</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441</v>
      </c>
      <c r="C1784" s="56">
        <v>45944</v>
      </c>
      <c r="D1784" s="155">
        <v>1603</v>
      </c>
      <c r="F1784" s="43" t="s">
        <v>1688</v>
      </c>
      <c r="G1784" t="s">
        <v>1659</v>
      </c>
    </row>
    <row r="1785" spans="1:7">
      <c r="A1785" s="311" t="s">
        <v>1083</v>
      </c>
      <c r="B1785" s="311" t="s">
        <v>1035</v>
      </c>
      <c r="C1785" s="56">
        <v>45944</v>
      </c>
      <c r="D1785" s="43">
        <v>144</v>
      </c>
      <c r="G1785" t="s">
        <v>1659</v>
      </c>
    </row>
    <row r="1786" spans="1:7">
      <c r="A1786" s="315" t="s">
        <v>375</v>
      </c>
      <c r="B1786" s="315" t="s">
        <v>236</v>
      </c>
      <c r="C1786" s="56">
        <v>45944</v>
      </c>
      <c r="D1786" s="43">
        <v>927</v>
      </c>
      <c r="F1786" s="43" t="s">
        <v>1666</v>
      </c>
      <c r="G1786" t="s">
        <v>1659</v>
      </c>
    </row>
    <row r="1787" spans="1:7">
      <c r="A1787" s="247" t="s">
        <v>365</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441</v>
      </c>
      <c r="C1793" s="56">
        <v>45945</v>
      </c>
      <c r="D1793" s="43">
        <v>791</v>
      </c>
      <c r="F1793" s="43" t="s">
        <v>1693</v>
      </c>
      <c r="G1793" t="s">
        <v>1659</v>
      </c>
    </row>
    <row r="1794" spans="1:7">
      <c r="A1794" s="306" t="s">
        <v>359</v>
      </c>
      <c r="B1794" s="311" t="s">
        <v>1035</v>
      </c>
      <c r="C1794" s="56">
        <v>45945</v>
      </c>
      <c r="D1794" s="43">
        <v>986</v>
      </c>
      <c r="G1794" t="s">
        <v>1659</v>
      </c>
    </row>
    <row r="1795" spans="1:7">
      <c r="A1795" s="306" t="s">
        <v>378</v>
      </c>
      <c r="B1795" s="348" t="s">
        <v>1694</v>
      </c>
      <c r="C1795" s="56">
        <v>45945</v>
      </c>
      <c r="D1795" s="155">
        <v>1457</v>
      </c>
      <c r="F1795" s="43" t="s">
        <v>1695</v>
      </c>
      <c r="G1795" t="s">
        <v>1659</v>
      </c>
    </row>
    <row r="1796" spans="1:7">
      <c r="A1796" s="311" t="s">
        <v>375</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441</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378</v>
      </c>
      <c r="B1805" s="141" t="s">
        <v>1694</v>
      </c>
      <c r="C1805" s="310">
        <v>45946</v>
      </c>
      <c r="D1805" s="155">
        <v>1142</v>
      </c>
      <c r="F1805" s="43" t="s">
        <v>1700</v>
      </c>
      <c r="G1805" t="s">
        <v>1659</v>
      </c>
    </row>
    <row r="1806" spans="1:7">
      <c r="A1806" s="304" t="s">
        <v>375</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441</v>
      </c>
      <c r="C1811" s="56">
        <v>45947</v>
      </c>
      <c r="F1811" s="43" t="s">
        <v>1704</v>
      </c>
      <c r="G1811" t="s">
        <v>1659</v>
      </c>
    </row>
    <row r="1812" spans="1:7">
      <c r="A1812" s="618" t="s">
        <v>378</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441</v>
      </c>
      <c r="C1818" s="56">
        <v>45950</v>
      </c>
      <c r="D1818" s="155">
        <v>3343</v>
      </c>
      <c r="F1818" s="43" t="s">
        <v>1708</v>
      </c>
      <c r="G1818" t="s">
        <v>1659</v>
      </c>
    </row>
    <row r="1819" spans="1:7">
      <c r="A1819" s="950" t="s">
        <v>526</v>
      </c>
      <c r="B1819" s="951" t="s">
        <v>1035</v>
      </c>
      <c r="C1819" s="56">
        <v>45950</v>
      </c>
      <c r="D1819" s="43">
        <v>151</v>
      </c>
      <c r="G1819" t="s">
        <v>1659</v>
      </c>
    </row>
    <row r="1820" spans="1:7">
      <c r="A1820" s="760" t="s">
        <v>378</v>
      </c>
      <c r="B1820" s="760" t="s">
        <v>1694</v>
      </c>
      <c r="C1820" s="56">
        <v>45950</v>
      </c>
      <c r="D1820" s="155">
        <v>1186</v>
      </c>
      <c r="F1820" s="43" t="s">
        <v>1534</v>
      </c>
      <c r="G1820" t="s">
        <v>1659</v>
      </c>
    </row>
    <row r="1821" spans="1:7">
      <c r="A1821" s="948" t="s">
        <v>375</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441</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378</v>
      </c>
      <c r="B1829" s="115" t="s">
        <v>1694</v>
      </c>
      <c r="C1829" s="56">
        <v>45951</v>
      </c>
      <c r="D1829" s="155">
        <v>1564</v>
      </c>
      <c r="F1829" s="43" t="s">
        <v>1712</v>
      </c>
      <c r="G1829" t="s">
        <v>1659</v>
      </c>
    </row>
    <row r="1830" spans="1:7">
      <c r="A1830" s="43" t="s">
        <v>375</v>
      </c>
      <c r="B1830" s="141" t="s">
        <v>236</v>
      </c>
      <c r="C1830" s="56">
        <v>45951</v>
      </c>
      <c r="D1830" s="43">
        <v>527</v>
      </c>
      <c r="F1830" s="43" t="s">
        <v>1701</v>
      </c>
      <c r="G1830" t="s">
        <v>1659</v>
      </c>
    </row>
    <row r="1831" spans="1:7">
      <c r="A1831" s="91" t="s">
        <v>388</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441</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378</v>
      </c>
      <c r="B1838" s="161" t="s">
        <v>1694</v>
      </c>
      <c r="C1838" s="56">
        <v>45952</v>
      </c>
      <c r="D1838" s="155">
        <v>1012</v>
      </c>
      <c r="F1838" s="43" t="s">
        <v>1718</v>
      </c>
      <c r="G1838" t="s">
        <v>1659</v>
      </c>
    </row>
    <row r="1839" spans="1:7">
      <c r="A1839" s="43" t="s">
        <v>375</v>
      </c>
      <c r="B1839" s="318" t="s">
        <v>236</v>
      </c>
      <c r="C1839" s="56">
        <v>45952</v>
      </c>
      <c r="D1839" s="43">
        <v>553</v>
      </c>
      <c r="G1839" t="s">
        <v>1659</v>
      </c>
    </row>
    <row r="1840" spans="1:7">
      <c r="A1840" s="69" t="s">
        <v>388</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441</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378</v>
      </c>
      <c r="B1850" s="161" t="s">
        <v>1694</v>
      </c>
      <c r="C1850" s="56">
        <v>45953</v>
      </c>
      <c r="D1850" s="43">
        <v>588</v>
      </c>
      <c r="F1850" s="43" t="s">
        <v>1725</v>
      </c>
      <c r="G1850" t="s">
        <v>1659</v>
      </c>
    </row>
    <row r="1851" spans="1:7">
      <c r="A1851" s="69" t="s">
        <v>388</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441</v>
      </c>
      <c r="C1856" s="56">
        <v>45954</v>
      </c>
      <c r="D1856" s="155">
        <v>1933</v>
      </c>
      <c r="G1856" t="s">
        <v>1659</v>
      </c>
    </row>
    <row r="1857" spans="1:7">
      <c r="A1857" s="932" t="s">
        <v>526</v>
      </c>
      <c r="B1857" s="967" t="s">
        <v>1035</v>
      </c>
      <c r="C1857" s="56">
        <v>45954</v>
      </c>
      <c r="F1857" s="43" t="s">
        <v>1729</v>
      </c>
      <c r="G1857" t="s">
        <v>1659</v>
      </c>
    </row>
    <row r="1858" spans="1:7">
      <c r="A1858" s="618" t="s">
        <v>376</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441</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376</v>
      </c>
      <c r="B1870" s="161" t="s">
        <v>1694</v>
      </c>
      <c r="C1870" s="56">
        <v>45957</v>
      </c>
      <c r="D1870" s="155">
        <v>1323</v>
      </c>
      <c r="F1870" s="43" t="s">
        <v>1737</v>
      </c>
      <c r="G1870" t="s">
        <v>1659</v>
      </c>
    </row>
    <row r="1871" spans="1:7">
      <c r="A1871" s="43" t="s">
        <v>375</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441</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376</v>
      </c>
      <c r="B1883" s="161" t="s">
        <v>1694</v>
      </c>
      <c r="C1883" s="56">
        <v>45958</v>
      </c>
      <c r="D1883" s="155">
        <v>1516</v>
      </c>
      <c r="F1883" s="43" t="s">
        <v>1744</v>
      </c>
      <c r="G1883" t="s">
        <v>1659</v>
      </c>
    </row>
    <row r="1884" spans="1:7">
      <c r="A1884" s="43" t="s">
        <v>375</v>
      </c>
      <c r="B1884" s="318" t="s">
        <v>236</v>
      </c>
      <c r="C1884" s="56">
        <v>45958</v>
      </c>
      <c r="D1884" s="155">
        <v>1224</v>
      </c>
      <c r="G1884" t="s">
        <v>1659</v>
      </c>
    </row>
    <row r="1885" spans="1:7">
      <c r="A1885" s="43" t="s">
        <v>375</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441</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376</v>
      </c>
      <c r="B1894" s="161" t="s">
        <v>1694</v>
      </c>
      <c r="C1894" s="56">
        <v>45959</v>
      </c>
      <c r="D1894" s="43">
        <v>790</v>
      </c>
      <c r="F1894" s="43" t="s">
        <v>1751</v>
      </c>
      <c r="G1894" t="s">
        <v>1659</v>
      </c>
    </row>
    <row r="1895" spans="1:7">
      <c r="A1895" s="43" t="s">
        <v>375</v>
      </c>
      <c r="B1895" s="655" t="s">
        <v>236</v>
      </c>
      <c r="C1895" s="56">
        <v>45959</v>
      </c>
      <c r="D1895" s="43">
        <v>343</v>
      </c>
      <c r="G1895" t="s">
        <v>1659</v>
      </c>
    </row>
    <row r="1896" spans="1:7">
      <c r="A1896" s="69" t="s">
        <v>371</v>
      </c>
      <c r="B1896" s="43" t="s">
        <v>236</v>
      </c>
      <c r="C1896" s="56">
        <v>45959</v>
      </c>
      <c r="D1896" s="155">
        <v>3179</v>
      </c>
      <c r="G1896" t="s">
        <v>1659</v>
      </c>
    </row>
    <row r="1897" spans="1:7">
      <c r="A1897" s="311" t="s">
        <v>359</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441</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437</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375</v>
      </c>
      <c r="B1910" s="318" t="s">
        <v>236</v>
      </c>
      <c r="C1910" s="56">
        <v>45960</v>
      </c>
      <c r="E1910" s="253"/>
      <c r="F1910" s="615" t="s">
        <v>1349</v>
      </c>
      <c r="G1910" t="s">
        <v>1659</v>
      </c>
    </row>
    <row r="1911" spans="1:7">
      <c r="A1911" s="618" t="s">
        <v>376</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359</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441</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376</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388</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437</v>
      </c>
      <c r="B1932" s="304" t="s">
        <v>1035</v>
      </c>
      <c r="C1932" s="56">
        <v>45964</v>
      </c>
      <c r="D1932" s="43">
        <v>259</v>
      </c>
      <c r="G1932" t="s">
        <v>1769</v>
      </c>
    </row>
    <row r="1933" spans="1:7">
      <c r="A1933" s="141" t="s">
        <v>388</v>
      </c>
      <c r="B1933" s="318" t="s">
        <v>1694</v>
      </c>
      <c r="C1933" s="56">
        <v>45964</v>
      </c>
      <c r="D1933" s="43">
        <v>463</v>
      </c>
      <c r="G1933" t="s">
        <v>1769</v>
      </c>
    </row>
    <row r="1934" spans="1:7">
      <c r="A1934" s="305" t="s">
        <v>371</v>
      </c>
      <c r="B1934" s="304" t="s">
        <v>236</v>
      </c>
      <c r="C1934" s="56">
        <v>45964</v>
      </c>
      <c r="D1934" s="43">
        <v>882</v>
      </c>
      <c r="F1934" s="43" t="s">
        <v>1772</v>
      </c>
      <c r="G1934" t="s">
        <v>1769</v>
      </c>
    </row>
    <row r="1935" spans="1:7">
      <c r="A1935" s="141" t="s">
        <v>359</v>
      </c>
      <c r="B1935" s="349" t="s">
        <v>1035</v>
      </c>
      <c r="C1935" s="56">
        <v>45964</v>
      </c>
      <c r="F1935" s="43" t="s">
        <v>1505</v>
      </c>
      <c r="G1935" t="s">
        <v>1769</v>
      </c>
    </row>
    <row r="1936" spans="1:7">
      <c r="A1936" s="141" t="s">
        <v>359</v>
      </c>
      <c r="B1936" s="349" t="s">
        <v>1773</v>
      </c>
      <c r="C1936" s="56">
        <v>45964</v>
      </c>
      <c r="E1936" s="321">
        <v>3846</v>
      </c>
      <c r="F1936" s="43" t="s">
        <v>1774</v>
      </c>
      <c r="G1936" t="s">
        <v>1769</v>
      </c>
    </row>
    <row r="1937" spans="1:7">
      <c r="A1937" s="141" t="s">
        <v>359</v>
      </c>
      <c r="B1937" s="349" t="s">
        <v>360</v>
      </c>
      <c r="C1937" s="56">
        <v>45964</v>
      </c>
      <c r="F1937" s="924" t="s">
        <v>1775</v>
      </c>
      <c r="G1937" t="s">
        <v>1769</v>
      </c>
    </row>
    <row r="1938" spans="1:7">
      <c r="A1938" s="141" t="s">
        <v>390</v>
      </c>
      <c r="B1938" s="1005" t="s">
        <v>1035</v>
      </c>
      <c r="C1938" s="56">
        <v>45964</v>
      </c>
      <c r="D1938" s="43">
        <v>207</v>
      </c>
      <c r="G1938" t="s">
        <v>1769</v>
      </c>
    </row>
    <row r="1939" spans="1:7">
      <c r="A1939" s="141" t="s">
        <v>457</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437</v>
      </c>
      <c r="B1947" s="43" t="s">
        <v>1778</v>
      </c>
      <c r="C1947" s="56">
        <v>45965</v>
      </c>
      <c r="D1947" s="43">
        <v>817</v>
      </c>
      <c r="G1947" t="s">
        <v>1769</v>
      </c>
    </row>
    <row r="1948" spans="1:7">
      <c r="A1948" s="43" t="s">
        <v>437</v>
      </c>
      <c r="B1948" s="43" t="s">
        <v>1035</v>
      </c>
      <c r="C1948" s="56">
        <v>45965</v>
      </c>
      <c r="D1948" s="43">
        <v>270</v>
      </c>
      <c r="G1948" t="s">
        <v>1769</v>
      </c>
    </row>
    <row r="1949" spans="1:7">
      <c r="A1949" s="618" t="s">
        <v>388</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371</v>
      </c>
      <c r="B1951" s="43" t="s">
        <v>236</v>
      </c>
      <c r="C1951" s="56">
        <v>45965</v>
      </c>
      <c r="D1951" s="155">
        <v>1072</v>
      </c>
      <c r="F1951" s="43" t="s">
        <v>1780</v>
      </c>
      <c r="G1951" t="s">
        <v>1769</v>
      </c>
    </row>
    <row r="1952" spans="1:7">
      <c r="A1952" s="1007" t="s">
        <v>378</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457</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437</v>
      </c>
      <c r="B1960" s="304" t="s">
        <v>1778</v>
      </c>
      <c r="C1960" s="56">
        <v>45966</v>
      </c>
      <c r="D1960" s="155">
        <v>1377</v>
      </c>
      <c r="G1960" t="s">
        <v>1769</v>
      </c>
    </row>
    <row r="1961" spans="1:7">
      <c r="A1961" s="304" t="s">
        <v>437</v>
      </c>
      <c r="B1961" s="304" t="s">
        <v>1035</v>
      </c>
      <c r="C1961" s="56">
        <v>45966</v>
      </c>
      <c r="D1961" s="43">
        <v>829</v>
      </c>
      <c r="G1961" t="s">
        <v>1769</v>
      </c>
    </row>
    <row r="1962" spans="1:7">
      <c r="A1962" s="304" t="s">
        <v>593</v>
      </c>
      <c r="B1962" s="304" t="s">
        <v>131</v>
      </c>
      <c r="C1962" s="56">
        <v>45966</v>
      </c>
      <c r="D1962" s="155">
        <v>1031</v>
      </c>
      <c r="G1962" t="s">
        <v>1769</v>
      </c>
    </row>
    <row r="1963" spans="1:7">
      <c r="A1963" s="141" t="s">
        <v>388</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371</v>
      </c>
      <c r="B1965" s="304" t="s">
        <v>236</v>
      </c>
      <c r="C1965" s="56">
        <v>45966</v>
      </c>
      <c r="D1965" s="155">
        <v>1034</v>
      </c>
      <c r="G1965" t="s">
        <v>1769</v>
      </c>
    </row>
    <row r="1966" spans="1:7">
      <c r="A1966" s="311" t="s">
        <v>365</v>
      </c>
      <c r="B1966" s="1008" t="s">
        <v>1474</v>
      </c>
      <c r="C1966" s="56">
        <v>45966</v>
      </c>
      <c r="D1966" s="43">
        <v>150</v>
      </c>
      <c r="G1966" t="s">
        <v>1769</v>
      </c>
    </row>
    <row r="1967" spans="1:7">
      <c r="A1967" s="247" t="s">
        <v>359</v>
      </c>
      <c r="B1967" s="157" t="s">
        <v>1773</v>
      </c>
      <c r="C1967" s="56">
        <v>45966</v>
      </c>
      <c r="E1967" s="1013">
        <v>13112</v>
      </c>
      <c r="F1967" s="115" t="s">
        <v>1783</v>
      </c>
      <c r="G1967" t="s">
        <v>1769</v>
      </c>
    </row>
    <row r="1968" spans="1:7">
      <c r="A1968" s="247" t="s">
        <v>457</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448</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437</v>
      </c>
      <c r="B1974" s="43" t="s">
        <v>1778</v>
      </c>
      <c r="C1974" s="56">
        <v>45967</v>
      </c>
      <c r="D1974" s="43">
        <v>183</v>
      </c>
      <c r="G1974" t="s">
        <v>1769</v>
      </c>
    </row>
    <row r="1975" spans="1:7">
      <c r="A1975" s="43" t="s">
        <v>437</v>
      </c>
      <c r="B1975" s="43" t="s">
        <v>1035</v>
      </c>
      <c r="C1975" s="56">
        <v>45967</v>
      </c>
      <c r="D1975" s="43">
        <v>270</v>
      </c>
      <c r="G1975" t="s">
        <v>1769</v>
      </c>
    </row>
    <row r="1976" spans="1:7">
      <c r="A1976" s="618" t="s">
        <v>388</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371</v>
      </c>
      <c r="B1978" s="43" t="s">
        <v>236</v>
      </c>
      <c r="C1978" s="56">
        <v>45967</v>
      </c>
      <c r="D1978" s="43">
        <v>209</v>
      </c>
      <c r="G1978" t="s">
        <v>1769</v>
      </c>
    </row>
    <row r="1979" spans="1:7">
      <c r="A1979" s="618" t="s">
        <v>387</v>
      </c>
      <c r="B1979" s="757" t="s">
        <v>1694</v>
      </c>
      <c r="C1979" s="56">
        <v>45967</v>
      </c>
      <c r="D1979" s="155">
        <v>1063</v>
      </c>
      <c r="G1979" t="s">
        <v>1769</v>
      </c>
    </row>
    <row r="1980" spans="1:7">
      <c r="A1980" s="733" t="s">
        <v>448</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437</v>
      </c>
      <c r="B1984" s="141" t="s">
        <v>1778</v>
      </c>
      <c r="C1984" s="56">
        <v>45968</v>
      </c>
      <c r="G1984" t="s">
        <v>1769</v>
      </c>
    </row>
    <row r="1985" spans="1:7">
      <c r="A1985" s="141" t="s">
        <v>387</v>
      </c>
      <c r="B1985" s="304" t="s">
        <v>1035</v>
      </c>
      <c r="C1985" s="56">
        <v>45968</v>
      </c>
      <c r="D1985" s="43">
        <v>350</v>
      </c>
      <c r="G1985" t="s">
        <v>1769</v>
      </c>
    </row>
    <row r="1986" spans="1:7">
      <c r="A1986" s="141" t="s">
        <v>387</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376</v>
      </c>
      <c r="B1988" s="757" t="s">
        <v>1694</v>
      </c>
      <c r="C1988" s="56">
        <v>45968</v>
      </c>
      <c r="F1988" s="311" t="s">
        <v>1419</v>
      </c>
      <c r="G1988" t="s">
        <v>1769</v>
      </c>
    </row>
    <row r="1989" spans="1:7">
      <c r="A1989" s="247" t="s">
        <v>385</v>
      </c>
      <c r="B1989" s="43" t="s">
        <v>236</v>
      </c>
      <c r="C1989" s="56">
        <v>45968</v>
      </c>
      <c r="D1989" s="43">
        <v>569</v>
      </c>
      <c r="G1989" t="s">
        <v>1769</v>
      </c>
    </row>
    <row r="1990" spans="1:7">
      <c r="A1990" s="247" t="s">
        <v>475</v>
      </c>
      <c r="B1990" s="43" t="s">
        <v>131</v>
      </c>
      <c r="C1990" s="56">
        <v>45968</v>
      </c>
      <c r="D1990" s="155">
        <v>2948</v>
      </c>
      <c r="G1990" t="s">
        <v>1769</v>
      </c>
    </row>
    <row r="1991" spans="1:7">
      <c r="A1991" s="954" t="s">
        <v>519</v>
      </c>
      <c r="B1991" s="346" t="s">
        <v>1721</v>
      </c>
      <c r="C1991" s="56">
        <v>45971</v>
      </c>
      <c r="D1991" s="155">
        <v>560</v>
      </c>
      <c r="G1991" t="s">
        <v>1769</v>
      </c>
    </row>
    <row r="1992" spans="1:7">
      <c r="A1992" s="311" t="s">
        <v>437</v>
      </c>
      <c r="B1992" s="311" t="s">
        <v>1035</v>
      </c>
      <c r="C1992" s="56">
        <v>45971</v>
      </c>
      <c r="D1992" s="43">
        <v>558</v>
      </c>
      <c r="G1992" t="s">
        <v>1769</v>
      </c>
    </row>
    <row r="1993" spans="1:7">
      <c r="A1993" s="311" t="s">
        <v>437</v>
      </c>
      <c r="B1993" s="311" t="s">
        <v>441</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371</v>
      </c>
      <c r="B1998" s="803" t="s">
        <v>236</v>
      </c>
      <c r="C1998" s="56">
        <v>45971</v>
      </c>
      <c r="D1998" s="43">
        <v>96</v>
      </c>
      <c r="G1998" t="s">
        <v>1769</v>
      </c>
    </row>
    <row r="1999" spans="1:7">
      <c r="A1999" s="304" t="s">
        <v>243</v>
      </c>
      <c r="B1999" s="349" t="s">
        <v>1768</v>
      </c>
      <c r="C1999" s="56">
        <v>45971</v>
      </c>
      <c r="D1999" s="43">
        <v>562</v>
      </c>
      <c r="G1999" t="s">
        <v>1769</v>
      </c>
    </row>
    <row r="2000" spans="1:7">
      <c r="A2000" s="141" t="s">
        <v>373</v>
      </c>
      <c r="B2000" s="803" t="s">
        <v>236</v>
      </c>
      <c r="C2000" s="56">
        <v>45971</v>
      </c>
      <c r="D2000" s="43">
        <v>435</v>
      </c>
      <c r="F2000" s="43" t="s">
        <v>1793</v>
      </c>
      <c r="G2000" t="s">
        <v>1769</v>
      </c>
    </row>
    <row r="2001" spans="1:7">
      <c r="A2001" s="1014" t="s">
        <v>475</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378</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437</v>
      </c>
      <c r="B2007" s="43" t="s">
        <v>1474</v>
      </c>
      <c r="C2007" s="56">
        <v>45973</v>
      </c>
      <c r="F2007" s="311" t="s">
        <v>1481</v>
      </c>
      <c r="G2007" t="s">
        <v>1769</v>
      </c>
    </row>
    <row r="2008" spans="1:7">
      <c r="A2008" s="43" t="s">
        <v>418</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441</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376</v>
      </c>
      <c r="B2014" s="43" t="s">
        <v>1694</v>
      </c>
      <c r="C2014" s="56">
        <v>45973</v>
      </c>
      <c r="F2014" s="311" t="s">
        <v>1800</v>
      </c>
      <c r="G2014" t="s">
        <v>1769</v>
      </c>
    </row>
    <row r="2015" spans="1:7">
      <c r="A2015" s="618" t="s">
        <v>402</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475</v>
      </c>
      <c r="B2017" s="43" t="s">
        <v>131</v>
      </c>
      <c r="C2017" s="56">
        <v>45973</v>
      </c>
      <c r="D2017" s="43">
        <v>242</v>
      </c>
      <c r="G2017" t="s">
        <v>1769</v>
      </c>
    </row>
    <row r="2018" spans="1:7">
      <c r="A2018" s="43" t="s">
        <v>467</v>
      </c>
      <c r="B2018" s="43" t="s">
        <v>131</v>
      </c>
      <c r="C2018" s="56">
        <v>45973</v>
      </c>
      <c r="D2018" s="155">
        <v>1264</v>
      </c>
      <c r="G2018" t="s">
        <v>1769</v>
      </c>
    </row>
    <row r="2019" spans="1:7">
      <c r="A2019" s="43" t="s">
        <v>480</v>
      </c>
      <c r="B2019" s="43" t="s">
        <v>131</v>
      </c>
      <c r="C2019" s="56">
        <v>45973</v>
      </c>
      <c r="D2019" s="155">
        <v>3678</v>
      </c>
      <c r="G2019" t="s">
        <v>1769</v>
      </c>
    </row>
    <row r="2020" spans="1:7">
      <c r="A2020" s="43" t="s">
        <v>437</v>
      </c>
      <c r="B2020" s="43" t="s">
        <v>1474</v>
      </c>
      <c r="C2020" s="56">
        <v>45974</v>
      </c>
      <c r="F2020" s="43" t="s">
        <v>1542</v>
      </c>
      <c r="G2020" t="s">
        <v>1769</v>
      </c>
    </row>
    <row r="2021" spans="1:7">
      <c r="A2021" s="43" t="s">
        <v>418</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373</v>
      </c>
      <c r="B2026" s="1065" t="s">
        <v>236</v>
      </c>
      <c r="C2026" s="56">
        <v>45974</v>
      </c>
      <c r="D2026" s="155">
        <v>1123</v>
      </c>
      <c r="F2026" s="43" t="s">
        <v>1805</v>
      </c>
      <c r="G2026" t="s">
        <v>1769</v>
      </c>
    </row>
    <row r="2027" spans="1:7">
      <c r="A2027" s="618" t="s">
        <v>402</v>
      </c>
      <c r="B2027" s="43" t="s">
        <v>1694</v>
      </c>
      <c r="C2027" s="56">
        <v>45974</v>
      </c>
      <c r="D2027" s="155">
        <v>2912</v>
      </c>
      <c r="G2027" t="s">
        <v>1769</v>
      </c>
    </row>
    <row r="2028" spans="1:7">
      <c r="A2028" s="618" t="s">
        <v>362</v>
      </c>
      <c r="B2028" s="43" t="s">
        <v>1474</v>
      </c>
      <c r="C2028" s="56">
        <v>45974</v>
      </c>
      <c r="F2028" s="43" t="s">
        <v>1196</v>
      </c>
      <c r="G2028" t="s">
        <v>1769</v>
      </c>
    </row>
    <row r="2029" spans="1:7">
      <c r="A2029" s="43" t="s">
        <v>480</v>
      </c>
      <c r="B2029" s="43" t="s">
        <v>131</v>
      </c>
      <c r="C2029" s="56">
        <v>45974</v>
      </c>
      <c r="D2029" s="155">
        <v>3382</v>
      </c>
      <c r="G2029" t="s">
        <v>1769</v>
      </c>
    </row>
    <row r="2030" spans="1:7">
      <c r="A2030" s="43" t="s">
        <v>467</v>
      </c>
      <c r="B2030" s="43" t="s">
        <v>131</v>
      </c>
      <c r="C2030" s="56">
        <v>45974</v>
      </c>
      <c r="D2030" s="155">
        <v>1281</v>
      </c>
      <c r="G2030" t="s">
        <v>1769</v>
      </c>
    </row>
    <row r="2031" spans="1:7">
      <c r="A2031" s="247" t="s">
        <v>355</v>
      </c>
      <c r="B2031" s="43" t="s">
        <v>131</v>
      </c>
      <c r="C2031" s="56">
        <v>45974</v>
      </c>
      <c r="D2031" s="43">
        <v>424</v>
      </c>
      <c r="G2031" t="s">
        <v>1769</v>
      </c>
    </row>
    <row r="2032" spans="1:7">
      <c r="A2032" s="247" t="s">
        <v>482</v>
      </c>
      <c r="B2032" s="43" t="s">
        <v>131</v>
      </c>
      <c r="C2032" s="56">
        <v>45974</v>
      </c>
      <c r="D2032" s="43">
        <v>598</v>
      </c>
      <c r="G2032" t="s">
        <v>1769</v>
      </c>
    </row>
    <row r="2033" spans="1:7">
      <c r="A2033" s="141" t="s">
        <v>437</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402</v>
      </c>
      <c r="B2038" s="315" t="s">
        <v>1694</v>
      </c>
      <c r="C2038" s="56">
        <v>45975</v>
      </c>
      <c r="D2038" s="155">
        <v>2125</v>
      </c>
      <c r="G2038" t="s">
        <v>1769</v>
      </c>
    </row>
    <row r="2039" spans="1:7">
      <c r="A2039" s="141" t="s">
        <v>437</v>
      </c>
      <c r="B2039" s="141" t="s">
        <v>1474</v>
      </c>
      <c r="C2039" s="56">
        <v>45978</v>
      </c>
      <c r="D2039" s="43">
        <v>127</v>
      </c>
      <c r="G2039" t="s">
        <v>1769</v>
      </c>
    </row>
    <row r="2040" spans="1:7">
      <c r="A2040" s="141" t="s">
        <v>437</v>
      </c>
      <c r="B2040" s="141" t="s">
        <v>1474</v>
      </c>
      <c r="C2040" s="56">
        <v>45978</v>
      </c>
      <c r="E2040" s="139">
        <v>300</v>
      </c>
      <c r="F2040" s="43" t="s">
        <v>1808</v>
      </c>
      <c r="G2040" t="s">
        <v>1769</v>
      </c>
    </row>
    <row r="2041" spans="1:7">
      <c r="A2041" s="304" t="s">
        <v>1094</v>
      </c>
      <c r="B2041" s="304" t="s">
        <v>441</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402</v>
      </c>
      <c r="B2049" s="304" t="s">
        <v>1694</v>
      </c>
      <c r="C2049" s="56">
        <v>45978</v>
      </c>
      <c r="D2049" s="155">
        <v>1449</v>
      </c>
      <c r="G2049" t="s">
        <v>1769</v>
      </c>
    </row>
    <row r="2050" spans="1:7">
      <c r="A2050" s="141" t="s">
        <v>477</v>
      </c>
      <c r="B2050" s="141" t="s">
        <v>131</v>
      </c>
      <c r="C2050" s="56">
        <v>45978</v>
      </c>
      <c r="D2050" s="155">
        <v>5466</v>
      </c>
      <c r="G2050" t="s">
        <v>1769</v>
      </c>
    </row>
    <row r="2051" spans="1:7">
      <c r="A2051" s="304" t="s">
        <v>467</v>
      </c>
      <c r="B2051" s="304" t="s">
        <v>131</v>
      </c>
      <c r="C2051" s="56">
        <v>45978</v>
      </c>
      <c r="D2051" s="155">
        <v>1662</v>
      </c>
      <c r="G2051" t="s">
        <v>1769</v>
      </c>
    </row>
    <row r="2052" spans="1:7">
      <c r="A2052" s="304" t="s">
        <v>482</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441</v>
      </c>
      <c r="C2056" s="56">
        <v>45979</v>
      </c>
      <c r="D2056" s="155">
        <v>1518</v>
      </c>
      <c r="G2056" t="s">
        <v>1769</v>
      </c>
    </row>
    <row r="2057" spans="1:7">
      <c r="A2057" s="43" t="s">
        <v>421</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368</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373</v>
      </c>
      <c r="B2062" s="655" t="s">
        <v>236</v>
      </c>
      <c r="C2062" s="56">
        <v>45979</v>
      </c>
      <c r="D2062" s="155">
        <v>1917</v>
      </c>
      <c r="F2062" s="69"/>
      <c r="G2062" t="s">
        <v>1769</v>
      </c>
    </row>
    <row r="2063" spans="1:7">
      <c r="A2063" s="43" t="s">
        <v>403</v>
      </c>
      <c r="B2063" s="43" t="s">
        <v>1694</v>
      </c>
      <c r="C2063" s="56">
        <v>45979</v>
      </c>
      <c r="D2063" s="155">
        <v>2351</v>
      </c>
      <c r="F2063" s="69"/>
      <c r="G2063" t="s">
        <v>1769</v>
      </c>
    </row>
    <row r="2064" spans="1:7">
      <c r="A2064" s="69" t="s">
        <v>467</v>
      </c>
      <c r="B2064" s="43" t="s">
        <v>131</v>
      </c>
      <c r="C2064" s="56">
        <v>45979</v>
      </c>
      <c r="D2064" s="155">
        <v>2684</v>
      </c>
      <c r="F2064" s="69"/>
      <c r="G2064" t="s">
        <v>1769</v>
      </c>
    </row>
    <row r="2065" spans="1:7">
      <c r="A2065" s="148" t="s">
        <v>482</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441</v>
      </c>
      <c r="C2068" s="56">
        <v>45980</v>
      </c>
      <c r="D2068" s="155">
        <v>1968</v>
      </c>
      <c r="E2068" s="201"/>
      <c r="F2068" s="148" t="s">
        <v>1816</v>
      </c>
      <c r="G2068" t="s">
        <v>1769</v>
      </c>
    </row>
    <row r="2069" spans="1:7">
      <c r="A2069" s="304" t="s">
        <v>421</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368</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403</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441</v>
      </c>
      <c r="C2078" s="56">
        <v>45981</v>
      </c>
      <c r="D2078" s="43">
        <v>345</v>
      </c>
      <c r="F2078" s="69" t="s">
        <v>1821</v>
      </c>
      <c r="G2078" t="s">
        <v>1769</v>
      </c>
    </row>
    <row r="2079" spans="1:7">
      <c r="A2079" s="304" t="s">
        <v>421</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373</v>
      </c>
      <c r="B2083" s="1005" t="s">
        <v>236</v>
      </c>
      <c r="C2083" s="56">
        <v>45981</v>
      </c>
      <c r="D2083" s="43">
        <v>272</v>
      </c>
      <c r="F2083" s="69"/>
      <c r="G2083" t="s">
        <v>1769</v>
      </c>
    </row>
    <row r="2084" spans="1:7">
      <c r="A2084" s="43" t="s">
        <v>402</v>
      </c>
      <c r="B2084" s="43" t="s">
        <v>1694</v>
      </c>
      <c r="C2084" s="56">
        <v>45982</v>
      </c>
      <c r="E2084" s="253"/>
      <c r="F2084" s="311" t="s">
        <v>1825</v>
      </c>
      <c r="G2084" t="s">
        <v>1769</v>
      </c>
    </row>
    <row r="2085" spans="1:7">
      <c r="A2085" s="304" t="s">
        <v>403</v>
      </c>
      <c r="B2085" s="304" t="s">
        <v>1694</v>
      </c>
      <c r="C2085" s="56">
        <v>45981</v>
      </c>
      <c r="D2085" s="155">
        <v>2139</v>
      </c>
      <c r="F2085" s="69"/>
      <c r="G2085" t="s">
        <v>1769</v>
      </c>
    </row>
    <row r="2086" spans="1:7">
      <c r="A2086" s="348" t="s">
        <v>477</v>
      </c>
      <c r="B2086" s="357" t="s">
        <v>131</v>
      </c>
      <c r="C2086" s="56">
        <v>45981</v>
      </c>
      <c r="D2086" s="155">
        <v>2252</v>
      </c>
      <c r="F2086" s="69"/>
      <c r="G2086" t="s">
        <v>1769</v>
      </c>
    </row>
    <row r="2087" spans="1:7">
      <c r="A2087" s="318" t="s">
        <v>482</v>
      </c>
      <c r="B2087" s="387" t="s">
        <v>131</v>
      </c>
      <c r="C2087" s="56">
        <v>45981</v>
      </c>
      <c r="D2087" s="1085">
        <v>1027</v>
      </c>
      <c r="F2087" s="69"/>
      <c r="G2087" t="s">
        <v>1769</v>
      </c>
    </row>
    <row r="2088" spans="1:7">
      <c r="A2088" s="348" t="s">
        <v>485</v>
      </c>
      <c r="B2088" s="357" t="s">
        <v>131</v>
      </c>
      <c r="C2088" s="56">
        <v>45981</v>
      </c>
      <c r="D2088" s="155">
        <v>1420</v>
      </c>
      <c r="F2088" s="69"/>
      <c r="G2088" t="s">
        <v>1769</v>
      </c>
    </row>
    <row r="2089" spans="1:7">
      <c r="A2089" s="318" t="s">
        <v>488</v>
      </c>
      <c r="B2089" s="387" t="s">
        <v>131</v>
      </c>
      <c r="C2089" s="56">
        <v>45981</v>
      </c>
      <c r="D2089" s="155">
        <v>2376</v>
      </c>
      <c r="F2089" s="69"/>
      <c r="G2089" t="s">
        <v>1769</v>
      </c>
    </row>
    <row r="2090" spans="1:7">
      <c r="A2090" s="348" t="s">
        <v>355</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441</v>
      </c>
      <c r="C2093" s="56">
        <v>45982</v>
      </c>
      <c r="D2093" s="43">
        <v>375</v>
      </c>
      <c r="E2093" s="201"/>
      <c r="F2093" s="148"/>
      <c r="G2093" t="s">
        <v>1769</v>
      </c>
    </row>
    <row r="2094" spans="1:7">
      <c r="A2094" s="306" t="s">
        <v>368</v>
      </c>
      <c r="B2094" s="318" t="s">
        <v>1035</v>
      </c>
      <c r="C2094" s="56">
        <v>45982</v>
      </c>
      <c r="D2094" s="139">
        <v>15</v>
      </c>
      <c r="E2094" s="155">
        <v>1159</v>
      </c>
      <c r="F2094" s="1084" t="s">
        <v>1827</v>
      </c>
      <c r="G2094" t="s">
        <v>1769</v>
      </c>
    </row>
    <row r="2095" spans="1:7">
      <c r="A2095" s="43" t="s">
        <v>403</v>
      </c>
      <c r="B2095" s="43" t="s">
        <v>1694</v>
      </c>
      <c r="C2095" s="56">
        <v>45982</v>
      </c>
      <c r="D2095" s="43">
        <v>789</v>
      </c>
      <c r="E2095" s="253"/>
      <c r="F2095" s="91" t="s">
        <v>1828</v>
      </c>
      <c r="G2095" t="s">
        <v>1769</v>
      </c>
    </row>
    <row r="2096" spans="1:7">
      <c r="A2096" s="43" t="s">
        <v>405</v>
      </c>
      <c r="B2096" s="43" t="s">
        <v>1694</v>
      </c>
      <c r="C2096" s="56">
        <v>45982</v>
      </c>
      <c r="D2096" s="155">
        <v>1281</v>
      </c>
      <c r="E2096" s="253"/>
      <c r="F2096" s="91" t="s">
        <v>1829</v>
      </c>
      <c r="G2096" t="s">
        <v>1769</v>
      </c>
    </row>
    <row r="2097" spans="1:7">
      <c r="A2097" s="334" t="s">
        <v>467</v>
      </c>
      <c r="B2097" s="165" t="s">
        <v>131</v>
      </c>
      <c r="C2097" s="56">
        <v>45982</v>
      </c>
      <c r="D2097" s="43">
        <v>51</v>
      </c>
      <c r="F2097" s="69"/>
      <c r="G2097" t="s">
        <v>1769</v>
      </c>
    </row>
    <row r="2098" spans="1:7">
      <c r="A2098" s="404" t="s">
        <v>355</v>
      </c>
      <c r="B2098" s="173" t="s">
        <v>131</v>
      </c>
      <c r="C2098" s="56">
        <v>45982</v>
      </c>
      <c r="D2098" s="155">
        <v>3007</v>
      </c>
      <c r="F2098" s="69"/>
      <c r="G2098" t="s">
        <v>1769</v>
      </c>
    </row>
    <row r="2099" spans="1:7">
      <c r="A2099" s="404" t="s">
        <v>482</v>
      </c>
      <c r="B2099" s="173" t="s">
        <v>131</v>
      </c>
      <c r="C2099" s="56">
        <v>45982</v>
      </c>
      <c r="D2099" s="43">
        <v>490</v>
      </c>
      <c r="F2099" s="69"/>
      <c r="G2099" t="s">
        <v>1769</v>
      </c>
    </row>
    <row r="2100" spans="1:7">
      <c r="A2100" s="404" t="s">
        <v>485</v>
      </c>
      <c r="B2100" s="173" t="s">
        <v>131</v>
      </c>
      <c r="C2100" s="56">
        <v>45982</v>
      </c>
      <c r="D2100" s="155">
        <v>3043</v>
      </c>
      <c r="F2100" s="69"/>
      <c r="G2100" t="s">
        <v>1769</v>
      </c>
    </row>
    <row r="2101" spans="1:7">
      <c r="A2101" s="404" t="s">
        <v>488</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441</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421</v>
      </c>
      <c r="B2113" s="1095" t="s">
        <v>131</v>
      </c>
      <c r="C2113" s="56">
        <v>45985</v>
      </c>
      <c r="D2113" s="43">
        <v>572</v>
      </c>
      <c r="F2113" s="69" t="s">
        <v>1834</v>
      </c>
      <c r="G2113" t="s">
        <v>1769</v>
      </c>
    </row>
    <row r="2114" spans="1:7">
      <c r="A2114" s="169" t="s">
        <v>427</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418</v>
      </c>
      <c r="B2116" s="43" t="s">
        <v>1035</v>
      </c>
      <c r="C2116" s="56">
        <v>45985</v>
      </c>
      <c r="D2116" s="139"/>
      <c r="E2116" s="43">
        <v>719</v>
      </c>
      <c r="F2116" s="69"/>
      <c r="G2116" t="s">
        <v>1769</v>
      </c>
    </row>
    <row r="2117" spans="1:7">
      <c r="A2117" s="306" t="s">
        <v>373</v>
      </c>
      <c r="B2117" s="318" t="s">
        <v>236</v>
      </c>
      <c r="C2117" s="56">
        <v>45985</v>
      </c>
      <c r="D2117" s="139">
        <v>900</v>
      </c>
      <c r="E2117" s="43"/>
      <c r="F2117" s="69" t="s">
        <v>1835</v>
      </c>
      <c r="G2117" t="s">
        <v>1769</v>
      </c>
    </row>
    <row r="2118" spans="1:7">
      <c r="A2118" s="432" t="s">
        <v>388</v>
      </c>
      <c r="B2118" s="371" t="s">
        <v>1694</v>
      </c>
      <c r="C2118" s="56">
        <v>45985</v>
      </c>
      <c r="D2118" s="139"/>
      <c r="E2118" s="43"/>
      <c r="F2118" s="1094" t="s">
        <v>1836</v>
      </c>
      <c r="G2118" t="s">
        <v>1769</v>
      </c>
    </row>
    <row r="2119" spans="1:7">
      <c r="A2119" s="430" t="s">
        <v>387</v>
      </c>
      <c r="B2119" s="247" t="s">
        <v>1694</v>
      </c>
      <c r="C2119" s="56">
        <v>45985</v>
      </c>
      <c r="D2119" s="139"/>
      <c r="E2119" s="43"/>
      <c r="F2119" s="1094" t="s">
        <v>1837</v>
      </c>
      <c r="G2119" t="s">
        <v>1769</v>
      </c>
    </row>
    <row r="2120" spans="1:7">
      <c r="A2120" s="43" t="s">
        <v>376</v>
      </c>
      <c r="B2120" s="247" t="s">
        <v>1694</v>
      </c>
      <c r="C2120" s="56">
        <v>45985</v>
      </c>
      <c r="D2120" s="139"/>
      <c r="E2120" s="43"/>
      <c r="F2120" s="1094" t="s">
        <v>1838</v>
      </c>
      <c r="G2120" t="s">
        <v>1769</v>
      </c>
    </row>
    <row r="2121" spans="1:7">
      <c r="A2121" s="43" t="s">
        <v>399</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427</v>
      </c>
      <c r="B2126" s="806" t="s">
        <v>1035</v>
      </c>
      <c r="C2126" s="56">
        <v>45986</v>
      </c>
      <c r="D2126" s="43">
        <v>357</v>
      </c>
      <c r="F2126" s="43" t="s">
        <v>1162</v>
      </c>
      <c r="G2126" t="s">
        <v>1769</v>
      </c>
    </row>
    <row r="2127" spans="1:7">
      <c r="A2127" s="43" t="s">
        <v>1094</v>
      </c>
      <c r="B2127" s="43" t="s">
        <v>441</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388</v>
      </c>
      <c r="B2131" s="371" t="s">
        <v>1694</v>
      </c>
      <c r="C2131" s="56">
        <v>45986</v>
      </c>
      <c r="D2131" s="139"/>
      <c r="E2131" s="43"/>
      <c r="F2131" s="757" t="s">
        <v>1842</v>
      </c>
      <c r="G2131" t="s">
        <v>1769</v>
      </c>
    </row>
    <row r="2132" spans="1:7">
      <c r="A2132" s="430" t="s">
        <v>387</v>
      </c>
      <c r="B2132" s="247" t="s">
        <v>1694</v>
      </c>
      <c r="C2132" s="56">
        <v>45986</v>
      </c>
      <c r="D2132" s="139"/>
      <c r="E2132" s="43"/>
      <c r="F2132" s="757" t="s">
        <v>1842</v>
      </c>
      <c r="G2132" t="s">
        <v>1769</v>
      </c>
    </row>
    <row r="2133" spans="1:7">
      <c r="A2133" s="43" t="s">
        <v>376</v>
      </c>
      <c r="B2133" s="247" t="s">
        <v>1694</v>
      </c>
      <c r="C2133" s="56">
        <v>45986</v>
      </c>
      <c r="D2133" s="139"/>
      <c r="E2133" s="43"/>
      <c r="F2133" s="757" t="s">
        <v>1842</v>
      </c>
      <c r="G2133" t="s">
        <v>1769</v>
      </c>
    </row>
    <row r="2134" spans="1:7">
      <c r="A2134" s="43" t="s">
        <v>405</v>
      </c>
      <c r="B2134" s="43" t="s">
        <v>1694</v>
      </c>
      <c r="C2134" s="56">
        <v>45986</v>
      </c>
      <c r="D2134" s="321">
        <v>2568</v>
      </c>
      <c r="E2134" s="43"/>
      <c r="G2134" t="s">
        <v>1769</v>
      </c>
    </row>
    <row r="2135" spans="1:7">
      <c r="A2135" s="43" t="s">
        <v>399</v>
      </c>
      <c r="B2135" s="43" t="s">
        <v>1694</v>
      </c>
      <c r="C2135" s="56">
        <v>45986</v>
      </c>
      <c r="D2135" s="155">
        <v>2537</v>
      </c>
      <c r="E2135" s="253"/>
      <c r="F2135" s="169"/>
      <c r="G2135" t="s">
        <v>1769</v>
      </c>
    </row>
    <row r="2136" spans="1:7">
      <c r="A2136" s="334" t="s">
        <v>469</v>
      </c>
      <c r="B2136" s="165" t="s">
        <v>131</v>
      </c>
      <c r="C2136" s="56">
        <v>45986</v>
      </c>
      <c r="D2136" s="155">
        <v>2382</v>
      </c>
      <c r="G2136" t="s">
        <v>1769</v>
      </c>
    </row>
    <row r="2137" spans="1:7">
      <c r="A2137" s="404" t="s">
        <v>448</v>
      </c>
      <c r="B2137" s="173" t="s">
        <v>131</v>
      </c>
      <c r="C2137" s="56">
        <v>45986</v>
      </c>
      <c r="D2137" s="43">
        <v>996</v>
      </c>
      <c r="G2137" t="s">
        <v>1769</v>
      </c>
    </row>
    <row r="2138" spans="1:7">
      <c r="A2138" s="404" t="s">
        <v>491</v>
      </c>
      <c r="B2138" s="173" t="s">
        <v>131</v>
      </c>
      <c r="C2138" s="56">
        <v>45986</v>
      </c>
      <c r="D2138" s="155">
        <v>3634</v>
      </c>
      <c r="G2138" t="s">
        <v>1769</v>
      </c>
    </row>
    <row r="2139" spans="1:7">
      <c r="A2139" s="69" t="s">
        <v>488</v>
      </c>
      <c r="B2139" s="173" t="s">
        <v>131</v>
      </c>
      <c r="C2139" s="56">
        <v>45986</v>
      </c>
      <c r="D2139" s="155">
        <v>3311</v>
      </c>
      <c r="G2139" t="s">
        <v>1769</v>
      </c>
    </row>
    <row r="2140" spans="1:7">
      <c r="A2140" s="69" t="s">
        <v>325</v>
      </c>
      <c r="B2140" s="173" t="s">
        <v>131</v>
      </c>
      <c r="C2140" s="56">
        <v>45986</v>
      </c>
      <c r="D2140" s="155">
        <v>1175</v>
      </c>
      <c r="G2140" t="s">
        <v>1769</v>
      </c>
    </row>
    <row r="2141" spans="1:7">
      <c r="A2141" s="247" t="s">
        <v>485</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427</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441</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388</v>
      </c>
      <c r="B2151" s="306" t="s">
        <v>1694</v>
      </c>
      <c r="C2151" s="56">
        <v>45987</v>
      </c>
      <c r="D2151" s="139"/>
      <c r="E2151" s="43"/>
      <c r="F2151" s="757" t="s">
        <v>1842</v>
      </c>
      <c r="G2151" t="s">
        <v>1769</v>
      </c>
    </row>
    <row r="2152" spans="1:7">
      <c r="A2152" s="141" t="s">
        <v>387</v>
      </c>
      <c r="B2152" s="141" t="s">
        <v>1694</v>
      </c>
      <c r="C2152" s="56">
        <v>45987</v>
      </c>
      <c r="D2152" s="139"/>
      <c r="E2152" s="43"/>
      <c r="F2152" s="757" t="s">
        <v>1842</v>
      </c>
      <c r="G2152" t="s">
        <v>1769</v>
      </c>
    </row>
    <row r="2153" spans="1:7">
      <c r="A2153" s="305" t="s">
        <v>376</v>
      </c>
      <c r="B2153" s="305" t="s">
        <v>1694</v>
      </c>
      <c r="C2153" s="336">
        <v>45987</v>
      </c>
      <c r="D2153" s="139"/>
      <c r="E2153" s="43"/>
      <c r="F2153" s="757" t="s">
        <v>1842</v>
      </c>
      <c r="G2153" t="s">
        <v>1769</v>
      </c>
    </row>
    <row r="2154" spans="1:7">
      <c r="A2154" s="141" t="s">
        <v>371</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373</v>
      </c>
      <c r="B2156" s="141" t="s">
        <v>236</v>
      </c>
      <c r="C2156" s="56">
        <v>45987</v>
      </c>
      <c r="D2156" s="423"/>
      <c r="E2156" s="43"/>
      <c r="F2156" s="141" t="s">
        <v>1842</v>
      </c>
      <c r="G2156" t="s">
        <v>1769</v>
      </c>
    </row>
    <row r="2157" spans="1:7">
      <c r="A2157" s="141" t="s">
        <v>362</v>
      </c>
      <c r="B2157" s="141" t="s">
        <v>1848</v>
      </c>
      <c r="C2157" s="56">
        <v>45987</v>
      </c>
      <c r="D2157" s="161"/>
      <c r="E2157" s="1097">
        <v>4668</v>
      </c>
      <c r="F2157" s="169" t="s">
        <v>1849</v>
      </c>
      <c r="G2157" t="s">
        <v>1769</v>
      </c>
    </row>
    <row r="2158" spans="1:7">
      <c r="A2158" s="247" t="s">
        <v>457</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451</v>
      </c>
      <c r="B2160" s="311" t="s">
        <v>1035</v>
      </c>
      <c r="C2160" s="56">
        <v>45987</v>
      </c>
      <c r="E2160" s="139">
        <v>175</v>
      </c>
      <c r="G2160" t="s">
        <v>1769</v>
      </c>
    </row>
    <row r="2161" spans="1:7">
      <c r="A2161" s="306" t="s">
        <v>451</v>
      </c>
      <c r="B2161" s="315" t="s">
        <v>131</v>
      </c>
      <c r="C2161" s="56">
        <v>45987</v>
      </c>
      <c r="E2161" s="321">
        <v>2455</v>
      </c>
      <c r="F2161" s="43" t="s">
        <v>1851</v>
      </c>
      <c r="G2161" t="s">
        <v>1769</v>
      </c>
    </row>
    <row r="2162" spans="1:7">
      <c r="A2162" s="306" t="s">
        <v>453</v>
      </c>
      <c r="B2162" s="315" t="s">
        <v>1035</v>
      </c>
      <c r="C2162" s="56">
        <v>45987</v>
      </c>
      <c r="E2162" s="139">
        <v>376</v>
      </c>
      <c r="G2162" t="s">
        <v>1769</v>
      </c>
    </row>
    <row r="2163" spans="1:7">
      <c r="A2163" s="306" t="s">
        <v>453</v>
      </c>
      <c r="B2163" s="737" t="s">
        <v>131</v>
      </c>
      <c r="C2163" s="56">
        <v>45987</v>
      </c>
      <c r="E2163" s="139">
        <v>404</v>
      </c>
      <c r="F2163" s="43" t="s">
        <v>1852</v>
      </c>
      <c r="G2163" t="s">
        <v>1769</v>
      </c>
    </row>
    <row r="2164" spans="1:7">
      <c r="A2164" s="311" t="s">
        <v>455</v>
      </c>
      <c r="B2164" s="311" t="s">
        <v>1035</v>
      </c>
      <c r="C2164" s="56">
        <v>45987</v>
      </c>
      <c r="E2164" s="321">
        <v>1264</v>
      </c>
      <c r="G2164" t="s">
        <v>1769</v>
      </c>
    </row>
    <row r="2165" spans="1:7">
      <c r="A2165" s="315" t="s">
        <v>460</v>
      </c>
      <c r="B2165" s="315" t="s">
        <v>1035</v>
      </c>
      <c r="C2165" s="56">
        <v>45987</v>
      </c>
      <c r="E2165" s="321">
        <v>1520</v>
      </c>
      <c r="G2165" t="s">
        <v>1769</v>
      </c>
    </row>
    <row r="2166" spans="1:7">
      <c r="A2166" s="315" t="s">
        <v>461</v>
      </c>
      <c r="B2166" s="315" t="s">
        <v>1474</v>
      </c>
      <c r="C2166" s="56">
        <v>45987</v>
      </c>
      <c r="E2166" s="321">
        <v>1739</v>
      </c>
      <c r="G2166" t="s">
        <v>1769</v>
      </c>
    </row>
    <row r="2167" spans="1:7">
      <c r="A2167" s="315" t="s">
        <v>463</v>
      </c>
      <c r="B2167" s="315" t="s">
        <v>1035</v>
      </c>
      <c r="C2167" s="56">
        <v>45987</v>
      </c>
      <c r="E2167" s="321">
        <v>1584</v>
      </c>
      <c r="G2167" t="s">
        <v>1769</v>
      </c>
    </row>
    <row r="2168" spans="1:7">
      <c r="A2168" s="315" t="s">
        <v>465</v>
      </c>
      <c r="B2168" s="315" t="s">
        <v>1035</v>
      </c>
      <c r="C2168" s="56">
        <v>45987</v>
      </c>
      <c r="E2168" s="321">
        <v>1140</v>
      </c>
      <c r="G2168" t="s">
        <v>1769</v>
      </c>
    </row>
    <row r="2169" spans="1:7">
      <c r="A2169" s="315" t="s">
        <v>466</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441</v>
      </c>
      <c r="C2178" s="56">
        <v>45992</v>
      </c>
      <c r="D2178" s="155">
        <v>1765</v>
      </c>
      <c r="G2178" t="s">
        <v>1854</v>
      </c>
    </row>
    <row r="2179" spans="1:7">
      <c r="A2179" s="304" t="s">
        <v>1097</v>
      </c>
      <c r="B2179" s="304" t="s">
        <v>215</v>
      </c>
      <c r="C2179" s="56">
        <v>45992</v>
      </c>
      <c r="D2179" s="43">
        <v>600</v>
      </c>
      <c r="G2179" t="s">
        <v>1854</v>
      </c>
    </row>
    <row r="2180" spans="1:7">
      <c r="A2180" s="141" t="s">
        <v>399</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491</v>
      </c>
      <c r="B2182" s="357" t="s">
        <v>131</v>
      </c>
      <c r="C2182" s="56">
        <v>45992</v>
      </c>
      <c r="D2182" s="155">
        <v>3376</v>
      </c>
      <c r="G2182" t="s">
        <v>1854</v>
      </c>
    </row>
    <row r="2183" spans="1:7">
      <c r="A2183" s="317" t="s">
        <v>469</v>
      </c>
      <c r="B2183" s="308" t="s">
        <v>131</v>
      </c>
      <c r="C2183" s="56">
        <v>45992</v>
      </c>
      <c r="D2183" s="155">
        <v>3084</v>
      </c>
      <c r="G2183" t="s">
        <v>1854</v>
      </c>
    </row>
    <row r="2184" spans="1:7">
      <c r="A2184" s="311" t="s">
        <v>352</v>
      </c>
      <c r="B2184" s="311" t="s">
        <v>131</v>
      </c>
      <c r="C2184" s="56">
        <v>45992</v>
      </c>
      <c r="D2184" s="155">
        <v>1829</v>
      </c>
      <c r="G2184" t="s">
        <v>1854</v>
      </c>
    </row>
    <row r="2185" spans="1:7">
      <c r="A2185" s="247" t="s">
        <v>472</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441</v>
      </c>
      <c r="C2192" s="56">
        <v>45993</v>
      </c>
      <c r="D2192" s="155">
        <v>1153</v>
      </c>
      <c r="F2192" s="43" t="s">
        <v>1864</v>
      </c>
      <c r="G2192" t="s">
        <v>1854</v>
      </c>
    </row>
    <row r="2193" spans="1:7">
      <c r="A2193" s="304" t="s">
        <v>575</v>
      </c>
      <c r="B2193" s="304" t="s">
        <v>1035</v>
      </c>
      <c r="C2193" s="56">
        <v>45993</v>
      </c>
      <c r="D2193" s="43">
        <v>175</v>
      </c>
      <c r="G2193" t="s">
        <v>1854</v>
      </c>
    </row>
    <row r="2194" spans="1:7">
      <c r="A2194" s="311" t="s">
        <v>472</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415</v>
      </c>
      <c r="B2202" s="1131" t="s">
        <v>156</v>
      </c>
      <c r="C2202" s="56">
        <v>45994</v>
      </c>
      <c r="D2202" s="43">
        <v>466</v>
      </c>
      <c r="F2202" s="43" t="s">
        <v>1868</v>
      </c>
      <c r="G2202" t="s">
        <v>1854</v>
      </c>
    </row>
    <row r="2203" spans="1:7">
      <c r="A2203" s="757" t="s">
        <v>1098</v>
      </c>
      <c r="B2203" s="1131" t="s">
        <v>441</v>
      </c>
      <c r="C2203" s="56">
        <v>45994</v>
      </c>
      <c r="D2203" s="43">
        <v>383</v>
      </c>
      <c r="G2203" t="s">
        <v>1854</v>
      </c>
    </row>
    <row r="2204" spans="1:7">
      <c r="A2204" s="757" t="s">
        <v>560</v>
      </c>
      <c r="B2204" s="1131" t="s">
        <v>131</v>
      </c>
      <c r="C2204" s="56">
        <v>45994</v>
      </c>
      <c r="D2204" s="155">
        <v>1379</v>
      </c>
      <c r="F2204" s="43" t="s">
        <v>1869</v>
      </c>
      <c r="G2204" t="s">
        <v>1854</v>
      </c>
    </row>
    <row r="2205" spans="1:7">
      <c r="A2205" s="757" t="s">
        <v>399</v>
      </c>
      <c r="B2205" s="757" t="s">
        <v>1694</v>
      </c>
      <c r="C2205" s="56">
        <v>45994</v>
      </c>
      <c r="D2205" s="155">
        <v>1677</v>
      </c>
      <c r="G2205" t="s">
        <v>1854</v>
      </c>
    </row>
    <row r="2206" spans="1:7">
      <c r="A2206" s="1132" t="s">
        <v>472</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424</v>
      </c>
      <c r="B2213" s="306" t="s">
        <v>131</v>
      </c>
      <c r="C2213" s="56">
        <v>45995</v>
      </c>
      <c r="D2213" s="155">
        <v>1431</v>
      </c>
      <c r="F2213" s="43" t="s">
        <v>1872</v>
      </c>
      <c r="G2213" t="s">
        <v>1854</v>
      </c>
    </row>
    <row r="2214" spans="1:7">
      <c r="A2214" s="311" t="s">
        <v>415</v>
      </c>
      <c r="B2214" s="311" t="s">
        <v>156</v>
      </c>
      <c r="C2214" s="56">
        <v>45995</v>
      </c>
      <c r="D2214" s="43">
        <v>195</v>
      </c>
      <c r="F2214" s="43" t="s">
        <v>1873</v>
      </c>
      <c r="G2214" t="s">
        <v>1854</v>
      </c>
    </row>
    <row r="2215" spans="1:7">
      <c r="A2215" s="315" t="s">
        <v>1098</v>
      </c>
      <c r="B2215" s="315" t="s">
        <v>441</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415</v>
      </c>
      <c r="B2217" s="1131" t="s">
        <v>156</v>
      </c>
      <c r="C2217" s="56">
        <v>45995</v>
      </c>
      <c r="D2217" s="155">
        <v>150</v>
      </c>
      <c r="F2217" s="43" t="s">
        <v>1877</v>
      </c>
      <c r="G2217" t="s">
        <v>1854</v>
      </c>
    </row>
    <row r="2218" spans="1:7">
      <c r="A2218" s="141" t="s">
        <v>399</v>
      </c>
      <c r="B2218" s="141" t="s">
        <v>1694</v>
      </c>
      <c r="C2218" s="56">
        <v>45995</v>
      </c>
      <c r="D2218" s="155">
        <v>1316</v>
      </c>
      <c r="G2218" t="s">
        <v>1854</v>
      </c>
    </row>
    <row r="2219" spans="1:7">
      <c r="A2219" s="141" t="s">
        <v>405</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477</v>
      </c>
      <c r="B2221" s="311" t="s">
        <v>1035</v>
      </c>
      <c r="C2221" s="56">
        <v>45995</v>
      </c>
      <c r="D2221" s="43">
        <v>64</v>
      </c>
      <c r="F2221" s="43" t="s">
        <v>1879</v>
      </c>
      <c r="G2221" t="s">
        <v>1854</v>
      </c>
    </row>
    <row r="2222" spans="1:7">
      <c r="A2222" s="247" t="s">
        <v>485</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441</v>
      </c>
      <c r="C2231" s="56">
        <v>45996</v>
      </c>
      <c r="F2231" s="311" t="s">
        <v>1883</v>
      </c>
      <c r="G2231" t="s">
        <v>1854</v>
      </c>
    </row>
    <row r="2232" spans="1:7">
      <c r="A2232" s="757" t="s">
        <v>405</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480</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415</v>
      </c>
      <c r="B2241" s="1144" t="s">
        <v>156</v>
      </c>
      <c r="C2241" s="56">
        <v>45999</v>
      </c>
      <c r="D2241" s="155">
        <v>1172</v>
      </c>
      <c r="E2241" s="201"/>
      <c r="F2241" s="115" t="s">
        <v>1888</v>
      </c>
      <c r="G2241" t="s">
        <v>1854</v>
      </c>
    </row>
    <row r="2242" spans="1:7">
      <c r="A2242" s="1143" t="s">
        <v>424</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405</v>
      </c>
      <c r="B2245" s="43" t="s">
        <v>1694</v>
      </c>
      <c r="C2245" s="56">
        <v>45999</v>
      </c>
      <c r="D2245" s="139">
        <v>428</v>
      </c>
      <c r="E2245" s="43"/>
      <c r="F2245" s="43" t="s">
        <v>1891</v>
      </c>
      <c r="G2245" t="s">
        <v>1854</v>
      </c>
    </row>
    <row r="2246" spans="1:7">
      <c r="A2246" s="404" t="s">
        <v>497</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424</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412</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393</v>
      </c>
      <c r="B2257" s="169" t="s">
        <v>1694</v>
      </c>
      <c r="C2257" s="56">
        <v>46000</v>
      </c>
      <c r="D2257" s="155">
        <v>1640</v>
      </c>
      <c r="F2257" s="43" t="s">
        <v>1897</v>
      </c>
      <c r="G2257" t="s">
        <v>1854</v>
      </c>
    </row>
    <row r="2258" spans="1:7">
      <c r="A2258" s="404" t="s">
        <v>494</v>
      </c>
      <c r="B2258" s="173" t="s">
        <v>131</v>
      </c>
      <c r="C2258" s="56">
        <v>46000</v>
      </c>
      <c r="D2258" s="155">
        <v>1980</v>
      </c>
      <c r="F2258" s="43" t="s">
        <v>1898</v>
      </c>
      <c r="G2258" t="s">
        <v>1854</v>
      </c>
    </row>
    <row r="2259" spans="1:7">
      <c r="A2259" s="404" t="s">
        <v>497</v>
      </c>
      <c r="B2259" s="173" t="s">
        <v>131</v>
      </c>
      <c r="C2259" s="56">
        <v>46000</v>
      </c>
      <c r="D2259" s="155">
        <v>3343</v>
      </c>
      <c r="G2259" t="s">
        <v>1854</v>
      </c>
    </row>
    <row r="2260" spans="1:7">
      <c r="A2260" s="161" t="s">
        <v>448</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500</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424</v>
      </c>
      <c r="B2268" s="1146" t="s">
        <v>131</v>
      </c>
      <c r="C2268" s="56">
        <v>46001</v>
      </c>
      <c r="D2268" s="43">
        <v>621</v>
      </c>
      <c r="F2268" s="43" t="s">
        <v>1901</v>
      </c>
      <c r="G2268" t="s">
        <v>1854</v>
      </c>
    </row>
    <row r="2269" spans="1:7">
      <c r="A2269" s="745" t="s">
        <v>412</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393</v>
      </c>
      <c r="B2271" s="757" t="s">
        <v>1694</v>
      </c>
      <c r="C2271" s="56">
        <v>46001</v>
      </c>
      <c r="D2271" s="155">
        <v>1177</v>
      </c>
      <c r="F2271" s="43" t="s">
        <v>1903</v>
      </c>
      <c r="G2271" t="s">
        <v>1854</v>
      </c>
    </row>
    <row r="2272" spans="1:7">
      <c r="A2272" s="757" t="s">
        <v>396</v>
      </c>
      <c r="B2272" s="757" t="s">
        <v>1694</v>
      </c>
      <c r="C2272" s="56">
        <v>46001</v>
      </c>
      <c r="D2272" s="43">
        <v>817</v>
      </c>
      <c r="F2272" s="43" t="s">
        <v>1904</v>
      </c>
      <c r="G2272" t="s">
        <v>1854</v>
      </c>
    </row>
    <row r="2273" spans="1:7">
      <c r="A2273" s="757" t="s">
        <v>494</v>
      </c>
      <c r="B2273" s="757" t="s">
        <v>131</v>
      </c>
      <c r="C2273" s="56">
        <v>46001</v>
      </c>
      <c r="D2273" s="155">
        <v>1251</v>
      </c>
      <c r="G2273" t="s">
        <v>1854</v>
      </c>
    </row>
    <row r="2274" spans="1:7">
      <c r="A2274" s="1147" t="s">
        <v>497</v>
      </c>
      <c r="B2274" s="1131" t="s">
        <v>131</v>
      </c>
      <c r="C2274" s="56">
        <v>46001</v>
      </c>
      <c r="D2274" s="43">
        <v>931</v>
      </c>
      <c r="G2274" t="s">
        <v>1854</v>
      </c>
    </row>
    <row r="2275" spans="1:7">
      <c r="A2275" s="757" t="s">
        <v>500</v>
      </c>
      <c r="B2275" s="1005" t="s">
        <v>131</v>
      </c>
      <c r="C2275" s="56">
        <v>46001</v>
      </c>
      <c r="D2275" s="43">
        <v>522</v>
      </c>
      <c r="G2275" t="s">
        <v>1854</v>
      </c>
    </row>
    <row r="2276" spans="1:7">
      <c r="A2276" s="757" t="s">
        <v>352</v>
      </c>
      <c r="B2276" s="731" t="s">
        <v>131</v>
      </c>
      <c r="C2276" s="56">
        <v>46001</v>
      </c>
      <c r="D2276" s="43">
        <v>91</v>
      </c>
      <c r="G2276" t="s">
        <v>1854</v>
      </c>
    </row>
    <row r="2277" spans="1:7">
      <c r="A2277" s="757" t="s">
        <v>448</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409</v>
      </c>
      <c r="B2285" s="1144" t="s">
        <v>156</v>
      </c>
      <c r="C2285" s="56">
        <v>46002</v>
      </c>
      <c r="D2285" s="155">
        <v>1351</v>
      </c>
      <c r="F2285" s="43" t="s">
        <v>1910</v>
      </c>
      <c r="G2285" t="s">
        <v>1854</v>
      </c>
    </row>
    <row r="2286" spans="1:7">
      <c r="A2286" s="43" t="s">
        <v>396</v>
      </c>
      <c r="B2286" s="43" t="s">
        <v>1694</v>
      </c>
      <c r="C2286" s="56">
        <v>46002</v>
      </c>
      <c r="D2286" s="155">
        <v>1820</v>
      </c>
      <c r="F2286" s="760" t="s">
        <v>1911</v>
      </c>
      <c r="G2286" t="s">
        <v>1854</v>
      </c>
    </row>
    <row r="2287" spans="1:7">
      <c r="A2287" s="1149" t="s">
        <v>494</v>
      </c>
      <c r="B2287" s="69" t="s">
        <v>131</v>
      </c>
      <c r="C2287" s="56">
        <v>46002</v>
      </c>
      <c r="D2287" s="155">
        <v>3172</v>
      </c>
      <c r="G2287" t="s">
        <v>1854</v>
      </c>
    </row>
    <row r="2288" spans="1:7">
      <c r="A2288" s="1149" t="s">
        <v>482</v>
      </c>
      <c r="B2288" s="69" t="s">
        <v>131</v>
      </c>
      <c r="C2288" s="56">
        <v>46002</v>
      </c>
      <c r="D2288" s="43">
        <v>242</v>
      </c>
      <c r="F2288" s="43" t="s">
        <v>1912</v>
      </c>
      <c r="G2288" t="s">
        <v>1854</v>
      </c>
    </row>
    <row r="2289" spans="1:7">
      <c r="A2289" s="395" t="s">
        <v>500</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482</v>
      </c>
      <c r="B2298" s="1131" t="s">
        <v>131</v>
      </c>
      <c r="C2298" s="56">
        <v>46003</v>
      </c>
      <c r="F2298" s="337" t="s">
        <v>1918</v>
      </c>
      <c r="G2298" t="s">
        <v>1854</v>
      </c>
    </row>
    <row r="2299" spans="1:7">
      <c r="A2299" s="1147" t="s">
        <v>500</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409</v>
      </c>
      <c r="B2306" s="1145" t="s">
        <v>156</v>
      </c>
      <c r="C2306" s="56">
        <v>46006</v>
      </c>
      <c r="D2306" s="43">
        <v>689</v>
      </c>
      <c r="F2306" s="43" t="s">
        <v>1922</v>
      </c>
      <c r="G2306" t="s">
        <v>1854</v>
      </c>
    </row>
    <row r="2307" spans="1:7">
      <c r="A2307" s="1096" t="s">
        <v>407</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494</v>
      </c>
      <c r="B2311" s="69" t="s">
        <v>131</v>
      </c>
      <c r="C2311" s="56">
        <v>46006</v>
      </c>
      <c r="D2311" s="43">
        <v>29</v>
      </c>
      <c r="E2311" s="201"/>
      <c r="F2311" s="115"/>
      <c r="G2311" t="s">
        <v>1854</v>
      </c>
    </row>
    <row r="2312" spans="1:7">
      <c r="A2312" s="1149" t="s">
        <v>457</v>
      </c>
      <c r="B2312" s="69" t="s">
        <v>131</v>
      </c>
      <c r="C2312" s="56">
        <v>46006</v>
      </c>
      <c r="D2312" s="139"/>
      <c r="E2312" s="43"/>
      <c r="F2312" s="757" t="s">
        <v>1335</v>
      </c>
      <c r="G2312" t="s">
        <v>1854</v>
      </c>
    </row>
    <row r="2313" spans="1:7">
      <c r="A2313" s="1149" t="s">
        <v>488</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409</v>
      </c>
      <c r="B2318" s="1144" t="s">
        <v>156</v>
      </c>
      <c r="C2318" s="56">
        <v>46007</v>
      </c>
      <c r="D2318" s="43">
        <v>586</v>
      </c>
      <c r="F2318" s="43" t="s">
        <v>1929</v>
      </c>
      <c r="G2318" t="s">
        <v>1854</v>
      </c>
    </row>
    <row r="2319" spans="1:7">
      <c r="A2319" s="1096" t="s">
        <v>407</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494</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409</v>
      </c>
      <c r="B2332" s="1144" t="s">
        <v>156</v>
      </c>
      <c r="C2332" s="56">
        <v>46008</v>
      </c>
      <c r="D2332" s="43">
        <v>199</v>
      </c>
      <c r="F2332" s="43" t="s">
        <v>1937</v>
      </c>
      <c r="G2332" t="s">
        <v>1854</v>
      </c>
    </row>
    <row r="2333" spans="1:7">
      <c r="A2333" s="1096" t="s">
        <v>407</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415</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482</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500</v>
      </c>
      <c r="B2344" s="69" t="s">
        <v>131</v>
      </c>
      <c r="C2344" s="56">
        <v>46008</v>
      </c>
      <c r="D2344" s="155">
        <v>1049</v>
      </c>
      <c r="G2344" t="s">
        <v>1854</v>
      </c>
    </row>
    <row r="2345" spans="1:7">
      <c r="A2345" s="148" t="s">
        <v>480</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409</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412</v>
      </c>
      <c r="B2355" s="387" t="s">
        <v>156</v>
      </c>
      <c r="C2355" s="56">
        <v>46009</v>
      </c>
      <c r="F2355" s="304" t="s">
        <v>1766</v>
      </c>
      <c r="G2355" t="s">
        <v>1854</v>
      </c>
    </row>
    <row r="2356" spans="1:7">
      <c r="A2356" s="349" t="s">
        <v>415</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355</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480</v>
      </c>
      <c r="B2365" s="306" t="s">
        <v>131</v>
      </c>
      <c r="C2365" s="56">
        <v>46009</v>
      </c>
      <c r="F2365" s="311" t="s">
        <v>1949</v>
      </c>
      <c r="G2365" t="s">
        <v>1854</v>
      </c>
    </row>
    <row r="2366" spans="1:7">
      <c r="A2366" s="317" t="s">
        <v>1100</v>
      </c>
      <c r="B2366" s="306" t="s">
        <v>1721</v>
      </c>
      <c r="C2366" s="56">
        <v>46010</v>
      </c>
      <c r="G2366" t="s">
        <v>1854</v>
      </c>
    </row>
    <row r="2367" spans="1:7">
      <c r="A2367" s="317" t="s">
        <v>1100</v>
      </c>
      <c r="B2367" s="306" t="s">
        <v>1560</v>
      </c>
      <c r="C2367" s="56">
        <v>46010</v>
      </c>
      <c r="G2367" t="s">
        <v>1854</v>
      </c>
    </row>
    <row r="2368" spans="1:7">
      <c r="A2368" s="317" t="s">
        <v>521</v>
      </c>
      <c r="B2368" s="306" t="s">
        <v>1650</v>
      </c>
      <c r="C2368" s="56">
        <v>46010</v>
      </c>
      <c r="F2368" s="1377" t="s">
        <v>1842</v>
      </c>
      <c r="G2368" t="s">
        <v>1854</v>
      </c>
    </row>
    <row r="2369" spans="1:7">
      <c r="A2369" s="317" t="s">
        <v>521</v>
      </c>
      <c r="B2369" s="141" t="s">
        <v>1560</v>
      </c>
      <c r="C2369" s="56">
        <v>46010</v>
      </c>
      <c r="F2369" s="1378" t="s">
        <v>1842</v>
      </c>
      <c r="G2369" t="s">
        <v>1854</v>
      </c>
    </row>
    <row r="2370" spans="1:7">
      <c r="A2370" s="317" t="s">
        <v>521</v>
      </c>
      <c r="B2370" s="305" t="s">
        <v>1721</v>
      </c>
      <c r="C2370" s="56">
        <v>46010</v>
      </c>
      <c r="F2370" s="1379" t="s">
        <v>1842</v>
      </c>
      <c r="G2370" t="s">
        <v>1854</v>
      </c>
    </row>
    <row r="2371" spans="1:7">
      <c r="A2371" s="318" t="s">
        <v>1101</v>
      </c>
      <c r="B2371" s="387" t="s">
        <v>215</v>
      </c>
      <c r="C2371" s="56">
        <v>46010</v>
      </c>
      <c r="D2371" s="43">
        <v>483</v>
      </c>
      <c r="G2371" t="s">
        <v>1854</v>
      </c>
    </row>
    <row r="2372" spans="1:7">
      <c r="A2372" s="1359" t="s">
        <v>409</v>
      </c>
      <c r="B2372" s="307" t="s">
        <v>156</v>
      </c>
      <c r="C2372" s="56">
        <v>46010</v>
      </c>
      <c r="G2372" t="s">
        <v>1854</v>
      </c>
    </row>
    <row r="2373" spans="1:7">
      <c r="A2373" s="1096" t="s">
        <v>407</v>
      </c>
      <c r="B2373" s="307" t="s">
        <v>131</v>
      </c>
      <c r="C2373" s="56">
        <v>46010</v>
      </c>
      <c r="E2373" s="139">
        <v>883</v>
      </c>
      <c r="F2373" s="1374" t="s">
        <v>1950</v>
      </c>
      <c r="G2373" t="s">
        <v>1854</v>
      </c>
    </row>
    <row r="2374" spans="1:7">
      <c r="A2374" s="803" t="s">
        <v>130</v>
      </c>
      <c r="B2374" s="346" t="s">
        <v>131</v>
      </c>
      <c r="C2374" s="56">
        <v>46010</v>
      </c>
      <c r="G2374" t="s">
        <v>1854</v>
      </c>
    </row>
    <row r="2375" spans="1:7">
      <c r="A2375" s="349" t="s">
        <v>412</v>
      </c>
      <c r="B2375" s="387" t="s">
        <v>156</v>
      </c>
      <c r="C2375" s="56">
        <v>46010</v>
      </c>
      <c r="E2375" s="139">
        <v>765</v>
      </c>
      <c r="G2375" t="s">
        <v>1854</v>
      </c>
    </row>
    <row r="2376" spans="1:7">
      <c r="A2376" s="349" t="s">
        <v>415</v>
      </c>
      <c r="B2376" s="307" t="s">
        <v>156</v>
      </c>
      <c r="C2376" s="56">
        <v>46010</v>
      </c>
      <c r="E2376" s="139">
        <v>560</v>
      </c>
      <c r="G2376" t="s">
        <v>1854</v>
      </c>
    </row>
    <row r="2377" spans="1:7">
      <c r="A2377" s="43" t="s">
        <v>310</v>
      </c>
      <c r="B2377" s="115" t="s">
        <v>1474</v>
      </c>
      <c r="C2377" s="56">
        <v>46010</v>
      </c>
      <c r="G2377" t="s">
        <v>1854</v>
      </c>
    </row>
    <row r="2378" spans="1:7">
      <c r="A2378" s="148" t="s">
        <v>319</v>
      </c>
      <c r="B2378" s="43" t="s">
        <v>1694</v>
      </c>
      <c r="C2378" s="56">
        <v>46010</v>
      </c>
      <c r="G2378" t="s">
        <v>1854</v>
      </c>
    </row>
    <row r="2379" spans="1:7">
      <c r="A2379" s="1363" t="s">
        <v>345</v>
      </c>
      <c r="B2379" s="1365" t="s">
        <v>131</v>
      </c>
      <c r="C2379" s="56">
        <v>46010</v>
      </c>
      <c r="G2379" t="s">
        <v>1854</v>
      </c>
    </row>
    <row r="2380" spans="1:7" ht="15.75">
      <c r="A2380" s="1364" t="s">
        <v>330</v>
      </c>
      <c r="B2380" s="1365" t="s">
        <v>131</v>
      </c>
      <c r="C2380" s="56">
        <v>46010</v>
      </c>
      <c r="G2380" t="s">
        <v>1854</v>
      </c>
    </row>
    <row r="2381" spans="1:7" ht="15.75">
      <c r="A2381" s="1364" t="s">
        <v>333</v>
      </c>
      <c r="B2381" s="1365" t="s">
        <v>131</v>
      </c>
      <c r="C2381" s="56">
        <v>46010</v>
      </c>
      <c r="G2381" t="s">
        <v>1854</v>
      </c>
    </row>
    <row r="2382" spans="1:7" ht="15.75">
      <c r="A2382" s="1364" t="s">
        <v>339</v>
      </c>
      <c r="B2382" s="1365" t="s">
        <v>131</v>
      </c>
      <c r="C2382" s="56">
        <v>46010</v>
      </c>
      <c r="G2382" t="s">
        <v>1854</v>
      </c>
    </row>
    <row r="2383" spans="1:7">
      <c r="A2383" s="1363" t="s">
        <v>336</v>
      </c>
      <c r="B2383" s="1365" t="s">
        <v>131</v>
      </c>
      <c r="C2383" s="56">
        <v>46010</v>
      </c>
      <c r="G2383" t="s">
        <v>1854</v>
      </c>
    </row>
    <row r="2384" spans="1:7">
      <c r="A2384" s="1363" t="s">
        <v>494</v>
      </c>
      <c r="B2384" s="1365" t="s">
        <v>131</v>
      </c>
      <c r="C2384" s="56">
        <v>46010</v>
      </c>
      <c r="G2384" t="s">
        <v>1854</v>
      </c>
    </row>
    <row r="2385" spans="1:7">
      <c r="A2385" s="1363" t="s">
        <v>352</v>
      </c>
      <c r="B2385" s="1365" t="s">
        <v>131</v>
      </c>
      <c r="C2385" s="56">
        <v>46010</v>
      </c>
      <c r="G2385" t="s">
        <v>1854</v>
      </c>
    </row>
    <row r="2386" spans="1:7">
      <c r="A2386" s="1363" t="s">
        <v>1104</v>
      </c>
      <c r="B2386" s="1365" t="s">
        <v>131</v>
      </c>
      <c r="C2386" s="56">
        <v>46010</v>
      </c>
      <c r="G2386" t="s">
        <v>1854</v>
      </c>
    </row>
    <row r="2387" spans="1:7">
      <c r="C2387" s="56">
        <v>46013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379</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382</v>
      </c>
      <c r="B14" s="180" t="s">
        <v>222</v>
      </c>
      <c r="C14" s="177">
        <v>45991</v>
      </c>
      <c r="D14" s="410" t="s">
        <v>383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381</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87BCE53-0EF4-426D-8E04-3B1BF59751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2025-12-19T19:57:53Z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