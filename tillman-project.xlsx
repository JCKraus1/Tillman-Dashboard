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055" documentId="8_{E14B221E-02E2-46A3-8CEC-C736815F2DD5}" xr6:coauthVersionLast="47" xr6:coauthVersionMax="47" xr10:uidLastSave="{2927401A-E9FB-4EDB-9908-83C24F19925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19" r:id="rId12"/>
    <pivotCache cacheId="4420" r:id="rId13"/>
    <pivotCache cacheId="4421" r:id="rId14"/>
    <pivotCache cacheId="4422" r:id="rId15"/>
    <pivotCache cacheId="44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2" i="30" l="1"/>
  <c r="U161" i="30"/>
  <c r="U164" i="30"/>
  <c r="U160" i="30"/>
  <c r="U163" i="30"/>
  <c r="Y49" i="32"/>
  <c r="X49" i="32"/>
  <c r="X37" i="2"/>
  <c r="Y4" i="32"/>
  <c r="X4" i="32"/>
  <c r="Y34" i="32"/>
  <c r="X34" i="32"/>
  <c r="Y33" i="32"/>
  <c r="X33" i="32"/>
  <c r="Y15" i="32"/>
  <c r="X15" i="32"/>
  <c r="Y39" i="32"/>
  <c r="X39" i="32"/>
  <c r="Y32" i="32"/>
  <c r="X32" i="32"/>
  <c r="Y18" i="32"/>
  <c r="X18" i="32"/>
  <c r="Y54" i="31"/>
  <c r="X54"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8" i="30"/>
  <c r="Y11" i="32"/>
  <c r="X11" i="32"/>
  <c r="Y122" i="2"/>
  <c r="Y123" i="2"/>
  <c r="Y124" i="2"/>
  <c r="Y125" i="2"/>
  <c r="Y126" i="2"/>
  <c r="Y127" i="2"/>
  <c r="Y128" i="2"/>
  <c r="Y129" i="2"/>
  <c r="Y130" i="2"/>
  <c r="Y131" i="2"/>
  <c r="Y132" i="2"/>
  <c r="Y133" i="2"/>
  <c r="Y48" i="31"/>
  <c r="X48" i="31"/>
  <c r="Y41" i="2"/>
  <c r="X41" i="2"/>
  <c r="Y45" i="31"/>
  <c r="X45" i="31"/>
  <c r="Y28" i="31"/>
  <c r="X28" i="31"/>
  <c r="Y49" i="31"/>
  <c r="X49" i="31"/>
  <c r="Y47" i="31"/>
  <c r="X47" i="31"/>
  <c r="Y42" i="31"/>
  <c r="X42" i="31"/>
  <c r="X58" i="2"/>
  <c r="Y58" i="2"/>
  <c r="Y72" i="2"/>
  <c r="X72" i="2"/>
  <c r="Y82" i="2"/>
  <c r="X82" i="2"/>
  <c r="Y30" i="32"/>
  <c r="X30" i="32"/>
  <c r="Y16" i="31"/>
  <c r="X16" i="31"/>
  <c r="U133" i="30"/>
  <c r="Y29" i="32"/>
  <c r="X29" i="32"/>
  <c r="Y20" i="32"/>
  <c r="X20" i="32"/>
  <c r="X46" i="31"/>
  <c r="Y46" i="31"/>
  <c r="X44" i="31"/>
  <c r="Y44" i="31"/>
  <c r="X40" i="31"/>
  <c r="Y40" i="31"/>
  <c r="X102" i="2"/>
  <c r="X103" i="2"/>
  <c r="X104" i="2"/>
  <c r="X105" i="2"/>
  <c r="X106" i="2"/>
  <c r="X107" i="2"/>
  <c r="X108" i="2"/>
  <c r="X109" i="2"/>
  <c r="U42" i="30"/>
  <c r="U147" i="30"/>
  <c r="X31" i="32"/>
  <c r="Y31" i="32"/>
  <c r="X20" i="31"/>
  <c r="Y20" i="31"/>
  <c r="Y87" i="2"/>
  <c r="X87" i="2"/>
  <c r="X37" i="32"/>
  <c r="Y37" i="32"/>
  <c r="X29" i="31"/>
  <c r="Y29" i="31"/>
  <c r="X15" i="31"/>
  <c r="Y15" i="31"/>
  <c r="X24" i="31"/>
  <c r="Y24" i="31"/>
  <c r="Y34" i="2"/>
  <c r="X34" i="2"/>
  <c r="Y41" i="31"/>
  <c r="X41" i="31"/>
  <c r="Y38" i="31"/>
  <c r="X38" i="31"/>
  <c r="Y17" i="31"/>
  <c r="X17" i="31"/>
  <c r="Y25" i="31"/>
  <c r="X25" i="31"/>
  <c r="Y26" i="32"/>
  <c r="X26" i="32"/>
  <c r="Y36" i="31"/>
  <c r="X36" i="31"/>
  <c r="Y81" i="2"/>
  <c r="X81" i="2"/>
  <c r="T31" i="8"/>
  <c r="U31" i="8"/>
  <c r="T29" i="8"/>
  <c r="U29" i="8"/>
  <c r="Y38" i="32"/>
  <c r="X38" i="32"/>
  <c r="Y43" i="31"/>
  <c r="X43" i="31"/>
  <c r="Y35" i="31"/>
  <c r="X35" i="31"/>
  <c r="Y19" i="31"/>
  <c r="X19" i="31"/>
  <c r="Y2" i="32"/>
  <c r="X2" i="32"/>
  <c r="Y76" i="2"/>
  <c r="X76" i="2"/>
  <c r="Y103" i="2"/>
  <c r="X75" i="2"/>
  <c r="Y75" i="2"/>
  <c r="Y28" i="32"/>
  <c r="X28" i="32"/>
  <c r="Y27" i="32"/>
  <c r="X27" i="32"/>
  <c r="Y43" i="32"/>
  <c r="X43" i="32"/>
  <c r="X52" i="31"/>
  <c r="Y52" i="31"/>
  <c r="Y49" i="2"/>
  <c r="X49" i="2"/>
  <c r="Y6" i="31"/>
  <c r="X6" i="31"/>
  <c r="Y23" i="31"/>
  <c r="X23" i="31"/>
  <c r="Y105" i="2"/>
  <c r="Y106" i="2"/>
  <c r="Y107" i="2"/>
  <c r="Y108" i="2"/>
  <c r="Y109" i="2"/>
  <c r="X86" i="2"/>
  <c r="Y86" i="2"/>
  <c r="Y31" i="31"/>
  <c r="X31" i="31"/>
  <c r="Y22" i="2"/>
  <c r="X22" i="2"/>
  <c r="Y39" i="31"/>
  <c r="X39" i="31"/>
  <c r="Y37" i="31"/>
  <c r="X37"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8"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7" i="30"/>
  <c r="Y7" i="32"/>
  <c r="X7" i="32"/>
  <c r="X41" i="32"/>
  <c r="Y41" i="32"/>
  <c r="X51" i="2"/>
  <c r="X57" i="2"/>
  <c r="Y57" i="2"/>
  <c r="U130"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3" i="31"/>
  <c r="X53" i="31"/>
  <c r="Y51" i="31"/>
  <c r="X51" i="31"/>
  <c r="Y50" i="31"/>
  <c r="X50"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<sst xmlns="http://schemas.openxmlformats.org/spreadsheetml/2006/main" count="17052" uniqueCount="2202">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</sst>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18" borderId="15" xfId="0" applyFill="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91" activePane="topRight" state="frozen"/>
      <selection pane="topRight" activeCell="AB103" sqref="AB103"/>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7"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8"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190" t="s">
        <v>66</v>
      </c>
      <c r="B4" s="820" t="s">
        <v>50</v>
      </c>
      <c r="C4" s="1191">
        <v>46008</v>
      </c>
      <c r="D4" s="1191" t="s">
        <v>67</v>
      </c>
      <c r="E4" s="1211">
        <v>45743</v>
      </c>
      <c r="F4" s="1212" t="s">
        <v>68</v>
      </c>
      <c r="G4" s="1212" t="s">
        <v>69</v>
      </c>
      <c r="H4" s="1213">
        <v>54</v>
      </c>
      <c r="I4" s="659" t="s">
        <v>55</v>
      </c>
      <c r="J4" s="1193" t="s">
        <v>63</v>
      </c>
      <c r="K4" s="1214"/>
      <c r="L4" s="1211">
        <v>45741</v>
      </c>
      <c r="M4" s="1193" t="s">
        <v>57</v>
      </c>
      <c r="N4" s="1224">
        <v>48215.5</v>
      </c>
      <c r="O4" s="1193" t="s">
        <v>57</v>
      </c>
      <c r="P4" s="1215" t="s">
        <v>64</v>
      </c>
      <c r="Q4" s="1216">
        <v>45744</v>
      </c>
      <c r="R4" s="1216"/>
      <c r="S4" s="1216"/>
      <c r="T4" s="1216"/>
      <c r="U4" s="1216"/>
      <c r="V4" s="1225">
        <v>3796</v>
      </c>
      <c r="W4" s="1430">
        <v>3706</v>
      </c>
      <c r="X4" s="1197">
        <f t="shared" si="0"/>
        <v>90</v>
      </c>
      <c r="Y4" s="660">
        <f t="shared" si="1"/>
        <v>0.97629083245521597</v>
      </c>
      <c r="Z4" s="1218">
        <v>45996</v>
      </c>
      <c r="AA4" s="1199">
        <v>0</v>
      </c>
      <c r="AB4" s="1199">
        <v>0</v>
      </c>
      <c r="AC4" s="643">
        <v>0</v>
      </c>
      <c r="AD4" s="1219" t="s">
        <v>70</v>
      </c>
      <c r="CX4" s="1221"/>
      <c r="CY4" s="1222"/>
      <c r="DD4" s="1223"/>
      <c r="DL4" s="1222"/>
    </row>
    <row r="5" spans="1:121" ht="24.75" customHeight="1">
      <c r="A5" s="1190" t="s">
        <v>71</v>
      </c>
      <c r="B5" s="820" t="s">
        <v>50</v>
      </c>
      <c r="C5" s="1191">
        <v>46008</v>
      </c>
      <c r="D5" s="1191" t="s">
        <v>60</v>
      </c>
      <c r="E5" s="1211">
        <v>45700</v>
      </c>
      <c r="F5" s="1212" t="s">
        <v>61</v>
      </c>
      <c r="G5" s="1211" t="s">
        <v>72</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73</v>
      </c>
      <c r="AE5" s="1227"/>
    </row>
    <row r="6" spans="1:121" ht="24.75" customHeight="1">
      <c r="A6" s="1190" t="s">
        <v>74</v>
      </c>
      <c r="B6" s="820" t="s">
        <v>50</v>
      </c>
      <c r="C6" s="1191">
        <v>45930</v>
      </c>
      <c r="D6" s="1212" t="s">
        <v>51</v>
      </c>
      <c r="E6" s="1212" t="s">
        <v>52</v>
      </c>
      <c r="F6" s="1212" t="s">
        <v>53</v>
      </c>
      <c r="G6" s="1212" t="s">
        <v>75</v>
      </c>
      <c r="H6" s="1213">
        <v>0</v>
      </c>
      <c r="I6" s="1213" t="s">
        <v>55</v>
      </c>
      <c r="J6" s="1213" t="s">
        <v>63</v>
      </c>
      <c r="K6" s="1193" t="s">
        <v>76</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77</v>
      </c>
      <c r="B7" s="820" t="s">
        <v>50</v>
      </c>
      <c r="C7" s="1191">
        <v>46008</v>
      </c>
      <c r="D7" s="1191" t="s">
        <v>60</v>
      </c>
      <c r="E7" s="1211">
        <v>45748</v>
      </c>
      <c r="F7" s="1212" t="s">
        <v>61</v>
      </c>
      <c r="G7" s="1212" t="s">
        <v>78</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79</v>
      </c>
    </row>
    <row r="8" spans="1:121" s="1220" customFormat="1" ht="24.75" customHeight="1">
      <c r="A8" s="1190" t="s">
        <v>80</v>
      </c>
      <c r="B8" s="820" t="s">
        <v>50</v>
      </c>
      <c r="C8" s="1191">
        <v>46008</v>
      </c>
      <c r="D8" s="1191" t="s">
        <v>67</v>
      </c>
      <c r="E8" s="1211">
        <v>45748</v>
      </c>
      <c r="F8" s="823" t="s">
        <v>68</v>
      </c>
      <c r="G8" s="1212" t="s">
        <v>81</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9">
        <v>312</v>
      </c>
      <c r="X8" s="1197">
        <f t="shared" si="0"/>
        <v>519</v>
      </c>
      <c r="Y8" s="660">
        <f t="shared" si="1"/>
        <v>0.37545126353790614</v>
      </c>
      <c r="Z8" s="1216">
        <v>46034</v>
      </c>
      <c r="AA8" s="1199">
        <v>0</v>
      </c>
      <c r="AB8" s="1199">
        <v>0</v>
      </c>
      <c r="AC8" s="643">
        <v>0</v>
      </c>
      <c r="AD8" s="1219" t="s">
        <v>82</v>
      </c>
      <c r="AE8" s="1235"/>
    </row>
    <row r="9" spans="1:121" s="1220" customFormat="1" ht="24.75" customHeight="1">
      <c r="A9" s="1190" t="s">
        <v>83</v>
      </c>
      <c r="B9" s="820" t="s">
        <v>50</v>
      </c>
      <c r="C9" s="1191">
        <v>46044</v>
      </c>
      <c r="D9" s="1191" t="s">
        <v>84</v>
      </c>
      <c r="E9" s="1211">
        <v>45700</v>
      </c>
      <c r="F9" s="1211" t="s">
        <v>68</v>
      </c>
      <c r="G9" s="1211" t="s">
        <v>85</v>
      </c>
      <c r="H9" s="1213">
        <v>0</v>
      </c>
      <c r="I9" s="1213" t="s">
        <v>55</v>
      </c>
      <c r="J9" s="1213" t="s">
        <v>63</v>
      </c>
      <c r="K9" s="1213"/>
      <c r="L9" s="1211">
        <v>45700</v>
      </c>
      <c r="M9" s="1213" t="s">
        <v>57</v>
      </c>
      <c r="N9" s="1224">
        <v>19745.25</v>
      </c>
      <c r="O9" s="1213" t="s">
        <v>57</v>
      </c>
      <c r="P9" s="1233" t="s">
        <v>86</v>
      </c>
      <c r="Q9" s="1216">
        <v>45696</v>
      </c>
      <c r="R9" s="1216"/>
      <c r="S9" s="1216"/>
      <c r="T9" s="1216"/>
      <c r="U9" s="1216"/>
      <c r="V9" s="1217">
        <v>1534</v>
      </c>
      <c r="W9" s="1437">
        <v>1571</v>
      </c>
      <c r="X9" s="1197">
        <f t="shared" si="0"/>
        <v>-37</v>
      </c>
      <c r="Y9" s="660">
        <f t="shared" si="1"/>
        <v>1.0241199478487615</v>
      </c>
      <c r="Z9" s="1216">
        <v>45736</v>
      </c>
      <c r="AA9" s="1199">
        <v>0</v>
      </c>
      <c r="AB9" s="1199">
        <v>0</v>
      </c>
      <c r="AC9" s="812">
        <v>0</v>
      </c>
      <c r="AD9" s="1219" t="s">
        <v>87</v>
      </c>
    </row>
    <row r="10" spans="1:121" ht="24.75" customHeight="1">
      <c r="A10" s="1190" t="s">
        <v>88</v>
      </c>
      <c r="B10" s="820" t="s">
        <v>50</v>
      </c>
      <c r="C10" s="1191">
        <v>46044</v>
      </c>
      <c r="D10" s="1191" t="s">
        <v>60</v>
      </c>
      <c r="E10" s="1211">
        <v>45748</v>
      </c>
      <c r="F10" s="1212" t="s">
        <v>61</v>
      </c>
      <c r="G10" s="1236" t="s">
        <v>89</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73</v>
      </c>
      <c r="AE10" s="1238"/>
    </row>
    <row r="11" spans="1:121" s="1240" customFormat="1" ht="24.75" customHeight="1">
      <c r="A11" s="1190" t="s">
        <v>90</v>
      </c>
      <c r="B11" s="820" t="s">
        <v>50</v>
      </c>
      <c r="C11" s="1191">
        <v>46001</v>
      </c>
      <c r="D11" s="1191"/>
      <c r="E11" s="1211"/>
      <c r="F11" s="1212"/>
      <c r="G11" s="1192"/>
      <c r="H11" s="1213">
        <v>0</v>
      </c>
      <c r="I11" s="825" t="s">
        <v>55</v>
      </c>
      <c r="J11" s="1213" t="s">
        <v>91</v>
      </c>
      <c r="K11" s="1237"/>
      <c r="L11" s="1211"/>
      <c r="M11" s="1213" t="s">
        <v>92</v>
      </c>
      <c r="N11" s="1224"/>
      <c r="O11" s="1213" t="s">
        <v>92</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93</v>
      </c>
      <c r="B12" s="820" t="s">
        <v>50</v>
      </c>
      <c r="C12" s="1191">
        <v>46203</v>
      </c>
      <c r="D12" s="1191"/>
      <c r="E12" s="1211"/>
      <c r="F12" s="1212"/>
      <c r="G12" s="1212" t="s">
        <v>94</v>
      </c>
      <c r="H12" s="1213">
        <v>89</v>
      </c>
      <c r="I12" s="825" t="s">
        <v>55</v>
      </c>
      <c r="J12" s="1213" t="s">
        <v>91</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95</v>
      </c>
      <c r="AE12" s="1239"/>
    </row>
    <row r="13" spans="1:121" s="1240" customFormat="1" ht="24.75" customHeight="1">
      <c r="A13" s="1241" t="s">
        <v>96</v>
      </c>
      <c r="B13" s="820" t="s">
        <v>50</v>
      </c>
      <c r="C13" s="1191">
        <v>46142</v>
      </c>
      <c r="D13" s="1191"/>
      <c r="E13" s="1211"/>
      <c r="F13" s="1212"/>
      <c r="G13" s="1212" t="s">
        <v>97</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95</v>
      </c>
      <c r="AE13" s="1239"/>
    </row>
    <row r="14" spans="1:121" s="1240" customFormat="1" ht="24.75" customHeight="1">
      <c r="A14" s="1241" t="s">
        <v>98</v>
      </c>
      <c r="B14" s="820" t="s">
        <v>50</v>
      </c>
      <c r="C14" s="1191">
        <v>46233</v>
      </c>
      <c r="D14" s="1191"/>
      <c r="E14" s="1211"/>
      <c r="F14" s="1212"/>
      <c r="G14" s="1212" t="s">
        <v>99</v>
      </c>
      <c r="H14" s="1213">
        <v>51</v>
      </c>
      <c r="I14" s="825" t="s">
        <v>55</v>
      </c>
      <c r="J14" s="1213" t="s">
        <v>91</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95</v>
      </c>
      <c r="AE14" s="1239"/>
    </row>
    <row r="15" spans="1:121" s="1240" customFormat="1" ht="24.75" customHeight="1">
      <c r="A15" s="1241" t="s">
        <v>100</v>
      </c>
      <c r="B15" s="820" t="s">
        <v>50</v>
      </c>
      <c r="C15" s="1191">
        <v>46188</v>
      </c>
      <c r="D15" s="1191"/>
      <c r="E15" s="1211"/>
      <c r="F15" s="1212"/>
      <c r="G15" s="1212"/>
      <c r="H15" s="1213">
        <v>262</v>
      </c>
      <c r="I15" s="659" t="s">
        <v>55</v>
      </c>
      <c r="J15" s="1193" t="s">
        <v>56</v>
      </c>
      <c r="K15" s="1193" t="s">
        <v>76</v>
      </c>
      <c r="L15" s="1211">
        <v>45964</v>
      </c>
      <c r="M15" s="1213" t="s">
        <v>57</v>
      </c>
      <c r="N15" s="1224">
        <v>76768.800000000003</v>
      </c>
      <c r="O15" s="1213" t="s">
        <v>57</v>
      </c>
      <c r="P15" s="1226" t="s">
        <v>101</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102</v>
      </c>
      <c r="B16" s="820" t="s">
        <v>50</v>
      </c>
      <c r="C16" s="1191">
        <v>46188</v>
      </c>
      <c r="D16" s="1191"/>
      <c r="E16" s="1211"/>
      <c r="F16" s="1212"/>
      <c r="G16" s="1212"/>
      <c r="H16" s="1213">
        <v>156</v>
      </c>
      <c r="I16" s="659" t="s">
        <v>55</v>
      </c>
      <c r="J16" s="1193" t="s">
        <v>56</v>
      </c>
      <c r="K16" s="1213" t="s">
        <v>103</v>
      </c>
      <c r="L16" s="1211"/>
      <c r="M16" s="1213" t="s">
        <v>92</v>
      </c>
      <c r="N16" s="1224"/>
      <c r="O16" s="1213" t="s">
        <v>92</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104</v>
      </c>
      <c r="AE16" s="1239"/>
    </row>
    <row r="17" spans="1:31" s="1240" customFormat="1" ht="24.75" customHeight="1">
      <c r="A17" s="1190" t="s">
        <v>105</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106</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107</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108</v>
      </c>
      <c r="B21" s="1192" t="s">
        <v>109</v>
      </c>
      <c r="C21" s="1191">
        <v>46041</v>
      </c>
      <c r="D21" s="1191"/>
      <c r="E21" s="1211"/>
      <c r="F21" s="1192" t="s">
        <v>110</v>
      </c>
      <c r="G21" s="1212" t="s">
        <v>111</v>
      </c>
      <c r="H21" s="1193">
        <v>67</v>
      </c>
      <c r="I21" s="659" t="s">
        <v>55</v>
      </c>
      <c r="J21" s="1193" t="s">
        <v>91</v>
      </c>
      <c r="K21" s="1193"/>
      <c r="L21" s="1211"/>
      <c r="M21" s="1213" t="s">
        <v>57</v>
      </c>
      <c r="N21" s="1224">
        <v>66854</v>
      </c>
      <c r="O21" s="1213" t="s">
        <v>57</v>
      </c>
      <c r="P21" s="1226" t="s">
        <v>58</v>
      </c>
      <c r="Q21" s="1216"/>
      <c r="R21" s="1216"/>
      <c r="S21" s="1216"/>
      <c r="T21" s="1216"/>
      <c r="U21" s="1216"/>
      <c r="V21" s="1217">
        <v>5534</v>
      </c>
      <c r="W21" s="1197"/>
      <c r="X21" s="1197">
        <f t="shared" ref="X21:X51" si="3">SUM(V21-W21)</f>
        <v>5534</v>
      </c>
      <c r="Y21" s="660">
        <f t="shared" si="1"/>
        <v>0</v>
      </c>
      <c r="Z21" s="1216"/>
      <c r="AA21" s="1199">
        <v>0</v>
      </c>
      <c r="AB21" s="1199">
        <v>0</v>
      </c>
      <c r="AC21" s="643">
        <v>0</v>
      </c>
      <c r="AD21" s="1200" t="s">
        <v>112</v>
      </c>
      <c r="AE21" s="1239"/>
    </row>
    <row r="22" spans="1:31" s="1240" customFormat="1" ht="24.75" customHeight="1">
      <c r="A22" s="1241" t="s">
        <v>113</v>
      </c>
      <c r="B22" s="1192" t="s">
        <v>109</v>
      </c>
      <c r="C22" s="1191">
        <v>46041</v>
      </c>
      <c r="D22" s="1191"/>
      <c r="E22" s="1191"/>
      <c r="F22" s="1192"/>
      <c r="G22" s="1192" t="s">
        <v>114</v>
      </c>
      <c r="H22" s="1193">
        <v>65</v>
      </c>
      <c r="I22" s="659" t="s">
        <v>55</v>
      </c>
      <c r="J22" s="1193" t="s">
        <v>91</v>
      </c>
      <c r="K22" s="1193" t="s">
        <v>115</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116</v>
      </c>
      <c r="AE22" s="1239"/>
    </row>
    <row r="23" spans="1:31" s="1240" customFormat="1" ht="24.75" customHeight="1">
      <c r="A23" s="1241" t="s">
        <v>117</v>
      </c>
      <c r="B23" s="1192" t="s">
        <v>109</v>
      </c>
      <c r="C23" s="1191">
        <v>46041</v>
      </c>
      <c r="D23" s="1191"/>
      <c r="E23" s="1191"/>
      <c r="F23" s="1192"/>
      <c r="G23" s="1192" t="s">
        <v>118</v>
      </c>
      <c r="H23" s="1193">
        <v>79</v>
      </c>
      <c r="I23" s="659" t="s">
        <v>55</v>
      </c>
      <c r="J23" s="1193" t="s">
        <v>91</v>
      </c>
      <c r="K23" s="1193" t="s">
        <v>115</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119</v>
      </c>
      <c r="AE23" s="1239"/>
    </row>
    <row r="24" spans="1:31" s="1240" customFormat="1" ht="24.75" customHeight="1">
      <c r="A24" s="1241" t="s">
        <v>120</v>
      </c>
      <c r="B24" s="1192" t="s">
        <v>109</v>
      </c>
      <c r="C24" s="1191">
        <v>46041</v>
      </c>
      <c r="D24" s="1191"/>
      <c r="E24" s="1191"/>
      <c r="F24" s="1192"/>
      <c r="G24" s="1192" t="s">
        <v>121</v>
      </c>
      <c r="H24" s="1193">
        <v>87</v>
      </c>
      <c r="I24" s="659" t="s">
        <v>55</v>
      </c>
      <c r="J24" s="1193" t="s">
        <v>91</v>
      </c>
      <c r="K24" s="1193" t="s">
        <v>115</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122</v>
      </c>
      <c r="AE24" s="1239"/>
    </row>
    <row r="25" spans="1:31" s="1240" customFormat="1" ht="24.75" customHeight="1">
      <c r="A25" s="1241" t="s">
        <v>123</v>
      </c>
      <c r="B25" s="1192" t="s">
        <v>109</v>
      </c>
      <c r="C25" s="1191">
        <v>46041</v>
      </c>
      <c r="D25" s="1191"/>
      <c r="E25" s="1211"/>
      <c r="F25" s="1192" t="s">
        <v>110</v>
      </c>
      <c r="G25" s="1212" t="s">
        <v>124</v>
      </c>
      <c r="H25" s="1193">
        <v>55</v>
      </c>
      <c r="I25" s="659" t="s">
        <v>55</v>
      </c>
      <c r="J25" s="1193" t="s">
        <v>91</v>
      </c>
      <c r="K25" s="1193" t="s">
        <v>115</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125</v>
      </c>
      <c r="AE25" s="1239"/>
    </row>
    <row r="26" spans="1:31" s="1240" customFormat="1" ht="24.75" customHeight="1">
      <c r="A26" s="1241" t="s">
        <v>126</v>
      </c>
      <c r="B26" s="1192" t="s">
        <v>109</v>
      </c>
      <c r="C26" s="1191">
        <v>46041</v>
      </c>
      <c r="D26" s="1191"/>
      <c r="E26" s="1191"/>
      <c r="F26" s="1192"/>
      <c r="G26" s="1192" t="s">
        <v>127</v>
      </c>
      <c r="H26" s="1193">
        <v>43</v>
      </c>
      <c r="I26" s="659" t="s">
        <v>55</v>
      </c>
      <c r="J26" s="1193" t="s">
        <v>91</v>
      </c>
      <c r="K26" s="1193" t="s">
        <v>76</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119</v>
      </c>
      <c r="AE26" s="1239"/>
    </row>
    <row r="27" spans="1:31" ht="24.75" customHeight="1">
      <c r="A27" s="1190" t="s">
        <v>128</v>
      </c>
      <c r="B27" s="1192" t="s">
        <v>109</v>
      </c>
      <c r="C27" s="1191">
        <v>46006</v>
      </c>
      <c r="D27" s="1191" t="s">
        <v>129</v>
      </c>
      <c r="E27" s="1191">
        <v>46006</v>
      </c>
      <c r="F27" s="1192" t="s">
        <v>110</v>
      </c>
      <c r="G27" s="1192" t="s">
        <v>130</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8">
        <v>1333</v>
      </c>
      <c r="X27" s="1197">
        <f t="shared" si="3"/>
        <v>487</v>
      </c>
      <c r="Y27" s="660">
        <f t="shared" si="1"/>
        <v>0.73241758241758237</v>
      </c>
      <c r="Z27" s="1216">
        <v>46028</v>
      </c>
      <c r="AA27" s="1199">
        <v>1</v>
      </c>
      <c r="AB27" s="1199">
        <v>0</v>
      </c>
      <c r="AC27" s="1123">
        <v>576</v>
      </c>
      <c r="AD27" s="1245" t="s">
        <v>131</v>
      </c>
      <c r="AE27" s="1246"/>
    </row>
    <row r="28" spans="1:31" ht="24.75" customHeight="1">
      <c r="A28" s="1241" t="s">
        <v>132</v>
      </c>
      <c r="B28" s="1192" t="s">
        <v>109</v>
      </c>
      <c r="C28" s="1211">
        <v>45838</v>
      </c>
      <c r="D28" s="1191"/>
      <c r="E28" s="1191"/>
      <c r="F28" s="1192"/>
      <c r="G28" s="1192" t="s">
        <v>133</v>
      </c>
      <c r="H28" s="1193">
        <v>26</v>
      </c>
      <c r="I28" s="659" t="s">
        <v>55</v>
      </c>
      <c r="J28" s="1193" t="s">
        <v>91</v>
      </c>
      <c r="K28" s="1193" t="s">
        <v>115</v>
      </c>
      <c r="L28" s="1191"/>
      <c r="M28" s="1193" t="s">
        <v>57</v>
      </c>
      <c r="N28" s="1194">
        <v>12781.6</v>
      </c>
      <c r="O28" s="1193" t="s">
        <v>57</v>
      </c>
      <c r="P28" s="1195" t="s">
        <v>58</v>
      </c>
      <c r="Q28" s="1196"/>
      <c r="R28" s="1196"/>
      <c r="S28" s="1196"/>
      <c r="T28" s="1196"/>
      <c r="U28" s="1196"/>
      <c r="V28" s="784">
        <v>937</v>
      </c>
      <c r="W28" s="1197"/>
      <c r="X28" s="1197">
        <f>SUM(V28-W28)</f>
        <v>937</v>
      </c>
      <c r="Y28" s="660">
        <f t="shared" ref="Y28:Y51" si="4">IFERROR($W28/$V28, 0)</f>
        <v>0</v>
      </c>
      <c r="Z28" s="1198"/>
      <c r="AA28" s="1199">
        <v>0</v>
      </c>
      <c r="AB28" s="1199">
        <v>0</v>
      </c>
      <c r="AC28" s="1123">
        <v>0</v>
      </c>
      <c r="AD28" s="1247" t="s">
        <v>122</v>
      </c>
      <c r="AE28" s="1246"/>
    </row>
    <row r="29" spans="1:31" ht="24.75" customHeight="1">
      <c r="A29" s="1190" t="s">
        <v>134</v>
      </c>
      <c r="B29" s="1192" t="s">
        <v>109</v>
      </c>
      <c r="C29" s="1191">
        <v>46006</v>
      </c>
      <c r="D29" s="1191" t="s">
        <v>129</v>
      </c>
      <c r="E29" s="1191">
        <v>46021</v>
      </c>
      <c r="F29" s="1192" t="s">
        <v>110</v>
      </c>
      <c r="G29" s="1192" t="s">
        <v>135</v>
      </c>
      <c r="H29" s="1193">
        <v>85</v>
      </c>
      <c r="I29" s="659" t="s">
        <v>55</v>
      </c>
      <c r="J29" s="1193" t="s">
        <v>63</v>
      </c>
      <c r="K29" s="1193"/>
      <c r="L29" s="1191">
        <v>46027</v>
      </c>
      <c r="M29" s="1193" t="s">
        <v>57</v>
      </c>
      <c r="N29" s="1194">
        <v>38323.550000000003</v>
      </c>
      <c r="O29" s="1193" t="s">
        <v>57</v>
      </c>
      <c r="P29" s="1195" t="s">
        <v>101</v>
      </c>
      <c r="Q29" s="1196">
        <v>46021</v>
      </c>
      <c r="R29" s="1242"/>
      <c r="S29" s="1242"/>
      <c r="T29" s="1242"/>
      <c r="U29" s="1242"/>
      <c r="V29" s="1197">
        <v>2691</v>
      </c>
      <c r="W29" s="1433">
        <v>2740</v>
      </c>
      <c r="X29" s="1197">
        <f t="shared" si="3"/>
        <v>-49</v>
      </c>
      <c r="Y29" s="660">
        <f t="shared" si="4"/>
        <v>1.0182088442958008</v>
      </c>
      <c r="Z29" s="1216">
        <v>46029</v>
      </c>
      <c r="AA29" s="1199">
        <v>0</v>
      </c>
      <c r="AB29" s="1199">
        <v>0</v>
      </c>
      <c r="AC29" s="1124">
        <v>0</v>
      </c>
      <c r="AD29" s="1248" t="s">
        <v>136</v>
      </c>
      <c r="AE29" s="1227"/>
    </row>
    <row r="30" spans="1:31" ht="24.75" customHeight="1">
      <c r="A30" s="1190" t="s">
        <v>137</v>
      </c>
      <c r="B30" s="1192" t="s">
        <v>109</v>
      </c>
      <c r="C30" s="1191">
        <v>46006</v>
      </c>
      <c r="D30" s="1191" t="s">
        <v>129</v>
      </c>
      <c r="E30" s="1191">
        <v>46021</v>
      </c>
      <c r="F30" s="1192" t="s">
        <v>110</v>
      </c>
      <c r="G30" s="1192" t="s">
        <v>138</v>
      </c>
      <c r="H30" s="1193">
        <v>87</v>
      </c>
      <c r="I30" s="659" t="s">
        <v>55</v>
      </c>
      <c r="J30" s="1193" t="s">
        <v>63</v>
      </c>
      <c r="K30" s="1193"/>
      <c r="L30" s="1191">
        <v>46027</v>
      </c>
      <c r="M30" s="1193" t="s">
        <v>57</v>
      </c>
      <c r="N30" s="1194">
        <v>63322.45</v>
      </c>
      <c r="O30" s="1193" t="s">
        <v>57</v>
      </c>
      <c r="P30" s="1195" t="s">
        <v>86</v>
      </c>
      <c r="Q30" s="1196">
        <v>46021</v>
      </c>
      <c r="R30" s="1242"/>
      <c r="S30" s="1242"/>
      <c r="T30" s="1242"/>
      <c r="U30" s="1242"/>
      <c r="V30" s="1197">
        <v>5030</v>
      </c>
      <c r="W30" s="1428">
        <v>5142</v>
      </c>
      <c r="X30" s="1197">
        <f t="shared" si="3"/>
        <v>-112</v>
      </c>
      <c r="Y30" s="660">
        <f t="shared" si="4"/>
        <v>1.0222664015904572</v>
      </c>
      <c r="Z30" s="1216">
        <v>46029</v>
      </c>
      <c r="AA30" s="1199">
        <v>0</v>
      </c>
      <c r="AB30" s="1199">
        <v>0</v>
      </c>
      <c r="AC30" s="784">
        <v>0</v>
      </c>
      <c r="AD30" s="1200" t="s">
        <v>139</v>
      </c>
      <c r="AE30" s="1227"/>
    </row>
    <row r="31" spans="1:31" ht="24.75" customHeight="1">
      <c r="A31" s="1190" t="s">
        <v>140</v>
      </c>
      <c r="B31" s="1192" t="s">
        <v>109</v>
      </c>
      <c r="C31" s="1191">
        <v>46006</v>
      </c>
      <c r="D31" s="1191" t="s">
        <v>141</v>
      </c>
      <c r="E31" s="1191">
        <v>46021</v>
      </c>
      <c r="F31" s="1192" t="s">
        <v>142</v>
      </c>
      <c r="G31" s="1192" t="s">
        <v>143</v>
      </c>
      <c r="H31" s="1193">
        <v>88</v>
      </c>
      <c r="I31" s="659" t="s">
        <v>55</v>
      </c>
      <c r="J31" s="1193" t="s">
        <v>63</v>
      </c>
      <c r="K31" s="1193"/>
      <c r="L31" s="1191"/>
      <c r="M31" s="1193" t="s">
        <v>57</v>
      </c>
      <c r="N31" s="1194">
        <v>77109.5</v>
      </c>
      <c r="O31" s="1193" t="s">
        <v>57</v>
      </c>
      <c r="P31" s="1195" t="s">
        <v>101</v>
      </c>
      <c r="Q31" s="1196">
        <v>46021</v>
      </c>
      <c r="R31" s="1242"/>
      <c r="S31" s="1242"/>
      <c r="T31" s="1242"/>
      <c r="U31" s="1242"/>
      <c r="V31" s="1197">
        <v>6325</v>
      </c>
      <c r="W31" s="1197"/>
      <c r="X31" s="1197">
        <f t="shared" si="3"/>
        <v>6325</v>
      </c>
      <c r="Y31" s="660">
        <f t="shared" si="4"/>
        <v>0</v>
      </c>
      <c r="Z31" s="1198"/>
      <c r="AA31" s="1199">
        <v>0</v>
      </c>
      <c r="AB31" s="1199">
        <v>0</v>
      </c>
      <c r="AC31" s="784">
        <v>0</v>
      </c>
      <c r="AD31" s="1200" t="s">
        <v>144</v>
      </c>
      <c r="AE31" s="1227"/>
    </row>
    <row r="32" spans="1:31" ht="24.75" customHeight="1">
      <c r="A32" s="1190" t="s">
        <v>145</v>
      </c>
      <c r="B32" s="1192" t="s">
        <v>109</v>
      </c>
      <c r="C32" s="1191">
        <v>46006</v>
      </c>
      <c r="D32" s="1191" t="s">
        <v>141</v>
      </c>
      <c r="E32" s="1191">
        <v>46021</v>
      </c>
      <c r="F32" s="1192" t="s">
        <v>142</v>
      </c>
      <c r="G32" s="1192" t="s">
        <v>146</v>
      </c>
      <c r="H32" s="1193">
        <v>58</v>
      </c>
      <c r="I32" s="659" t="s">
        <v>55</v>
      </c>
      <c r="J32" s="1193" t="s">
        <v>63</v>
      </c>
      <c r="K32" s="1193"/>
      <c r="L32" s="1191"/>
      <c r="M32" s="1193" t="s">
        <v>57</v>
      </c>
      <c r="N32" s="1194">
        <v>58952.88</v>
      </c>
      <c r="O32" s="1193" t="s">
        <v>57</v>
      </c>
      <c r="P32" s="1195" t="s">
        <v>101</v>
      </c>
      <c r="Q32" s="1196">
        <v>46021</v>
      </c>
      <c r="R32" s="1242"/>
      <c r="S32" s="1242"/>
      <c r="T32" s="1242"/>
      <c r="U32" s="1242"/>
      <c r="V32" s="1197">
        <v>4731</v>
      </c>
      <c r="W32" s="1197"/>
      <c r="X32" s="1197">
        <f t="shared" si="3"/>
        <v>4731</v>
      </c>
      <c r="Y32" s="660">
        <f t="shared" si="4"/>
        <v>0</v>
      </c>
      <c r="Z32" s="1198"/>
      <c r="AA32" s="1199">
        <v>0</v>
      </c>
      <c r="AB32" s="1199">
        <v>0</v>
      </c>
      <c r="AC32" s="784">
        <v>0</v>
      </c>
      <c r="AD32" s="1200" t="s">
        <v>147</v>
      </c>
      <c r="AE32" s="1227"/>
    </row>
    <row r="33" spans="1:32" ht="24.75" customHeight="1">
      <c r="A33" s="1241" t="s">
        <v>148</v>
      </c>
      <c r="B33" s="1192" t="s">
        <v>109</v>
      </c>
      <c r="C33" s="1191">
        <v>46006</v>
      </c>
      <c r="D33" s="1191"/>
      <c r="E33" s="1191"/>
      <c r="F33" s="1192" t="s">
        <v>110</v>
      </c>
      <c r="G33" s="1192" t="s">
        <v>149</v>
      </c>
      <c r="H33" s="1193">
        <v>69</v>
      </c>
      <c r="I33" s="659" t="s">
        <v>55</v>
      </c>
      <c r="J33" s="1193" t="s">
        <v>91</v>
      </c>
      <c r="K33" s="1193" t="s">
        <v>115</v>
      </c>
      <c r="L33" s="1191"/>
      <c r="M33" s="1193" t="s">
        <v>57</v>
      </c>
      <c r="N33" s="1194">
        <v>41834.75</v>
      </c>
      <c r="O33" s="1193" t="s">
        <v>57</v>
      </c>
      <c r="P33" s="1195" t="s">
        <v>58</v>
      </c>
      <c r="Q33" s="1196">
        <v>46027</v>
      </c>
      <c r="R33" s="1242"/>
      <c r="S33" s="1242"/>
      <c r="T33" s="1242"/>
      <c r="U33" s="1242"/>
      <c r="V33" s="1197">
        <v>3183</v>
      </c>
      <c r="W33" s="1197"/>
      <c r="X33" s="1197">
        <f t="shared" si="3"/>
        <v>3183</v>
      </c>
      <c r="Y33" s="660">
        <f t="shared" si="4"/>
        <v>0</v>
      </c>
      <c r="Z33" s="1216"/>
      <c r="AA33" s="1199">
        <v>0</v>
      </c>
      <c r="AB33" s="1199">
        <v>0</v>
      </c>
      <c r="AC33" s="784">
        <v>0</v>
      </c>
      <c r="AD33" s="1200" t="s">
        <v>150</v>
      </c>
      <c r="AE33" s="1227"/>
    </row>
    <row r="34" spans="1:32" ht="24.75" customHeight="1">
      <c r="A34" s="1241" t="s">
        <v>151</v>
      </c>
      <c r="B34" s="1192" t="s">
        <v>109</v>
      </c>
      <c r="C34" s="1191">
        <v>46044</v>
      </c>
      <c r="D34" s="1191"/>
      <c r="E34" s="1191"/>
      <c r="F34" s="1192"/>
      <c r="G34" s="1192"/>
      <c r="H34" s="1193">
        <v>81</v>
      </c>
      <c r="I34" s="659" t="s">
        <v>55</v>
      </c>
      <c r="J34" s="1193" t="s">
        <v>91</v>
      </c>
      <c r="K34" s="1193" t="s">
        <v>115</v>
      </c>
      <c r="L34" s="1191"/>
      <c r="M34" s="1193" t="s">
        <v>57</v>
      </c>
      <c r="N34" s="1194">
        <v>53152.33</v>
      </c>
      <c r="O34" s="1193" t="s">
        <v>57</v>
      </c>
      <c r="P34" s="1195" t="s">
        <v>58</v>
      </c>
      <c r="Q34" s="1196">
        <v>46027</v>
      </c>
      <c r="R34" s="1196"/>
      <c r="S34" s="1196"/>
      <c r="T34" s="1196"/>
      <c r="U34" s="1196"/>
      <c r="V34" s="784">
        <v>3603</v>
      </c>
      <c r="W34" s="1197"/>
      <c r="X34" s="1197">
        <f>SUM(V34-W34)</f>
        <v>3603</v>
      </c>
      <c r="Y34" s="660">
        <f t="shared" si="4"/>
        <v>0</v>
      </c>
      <c r="Z34" s="1216"/>
      <c r="AA34" s="1199">
        <v>0</v>
      </c>
      <c r="AB34" s="1199">
        <v>0</v>
      </c>
      <c r="AC34" s="784">
        <v>0</v>
      </c>
      <c r="AD34" s="1200" t="s">
        <v>152</v>
      </c>
      <c r="AE34" s="1227"/>
    </row>
    <row r="35" spans="1:32" ht="24.75" customHeight="1">
      <c r="A35" s="1241" t="s">
        <v>153</v>
      </c>
      <c r="B35" s="1192" t="s">
        <v>109</v>
      </c>
      <c r="C35" s="1191">
        <v>46039</v>
      </c>
      <c r="D35" s="1191"/>
      <c r="E35" s="1191"/>
      <c r="F35" s="1192"/>
      <c r="G35" s="1192" t="s">
        <v>154</v>
      </c>
      <c r="H35" s="1193">
        <v>11</v>
      </c>
      <c r="I35" s="659" t="s">
        <v>55</v>
      </c>
      <c r="J35" s="1193" t="s">
        <v>91</v>
      </c>
      <c r="K35" s="1193" t="s">
        <v>115</v>
      </c>
      <c r="L35" s="1191"/>
      <c r="M35" s="1193" t="s">
        <v>57</v>
      </c>
      <c r="N35" s="1194">
        <v>10772</v>
      </c>
      <c r="O35" s="1193" t="s">
        <v>57</v>
      </c>
      <c r="P35" s="1195" t="s">
        <v>58</v>
      </c>
      <c r="Q35" s="1196"/>
      <c r="R35" s="1196"/>
      <c r="S35" s="1196"/>
      <c r="T35" s="1196"/>
      <c r="U35" s="1196"/>
      <c r="V35" s="784">
        <v>789</v>
      </c>
      <c r="W35" s="1197"/>
      <c r="X35" s="1197">
        <f t="shared" si="3"/>
        <v>789</v>
      </c>
      <c r="Y35" s="660"/>
      <c r="Z35" s="1198"/>
      <c r="AA35" s="1199">
        <v>0</v>
      </c>
      <c r="AB35" s="1199">
        <v>0</v>
      </c>
      <c r="AC35" s="643">
        <v>0</v>
      </c>
      <c r="AD35" s="1200" t="s">
        <v>155</v>
      </c>
      <c r="AE35" s="1227"/>
    </row>
    <row r="36" spans="1:32" ht="24.75" customHeight="1">
      <c r="A36" s="1190" t="s">
        <v>156</v>
      </c>
      <c r="B36" s="1192" t="s">
        <v>109</v>
      </c>
      <c r="C36" s="1191">
        <v>46006</v>
      </c>
      <c r="D36" s="1191" t="s">
        <v>129</v>
      </c>
      <c r="E36" s="1191">
        <v>45936</v>
      </c>
      <c r="F36" s="1192" t="s">
        <v>110</v>
      </c>
      <c r="G36" s="1192" t="s">
        <v>157</v>
      </c>
      <c r="H36" s="1193">
        <v>0</v>
      </c>
      <c r="I36" s="659" t="s">
        <v>55</v>
      </c>
      <c r="J36" s="1193" t="s">
        <v>63</v>
      </c>
      <c r="K36" s="1193" t="s">
        <v>115</v>
      </c>
      <c r="L36" s="1191" t="s">
        <v>158</v>
      </c>
      <c r="M36" s="1193" t="s">
        <v>57</v>
      </c>
      <c r="N36" s="1194">
        <v>54857.5</v>
      </c>
      <c r="O36" s="1193" t="s">
        <v>57</v>
      </c>
      <c r="P36" s="1195" t="s">
        <v>64</v>
      </c>
      <c r="Q36" s="1243">
        <v>45933</v>
      </c>
      <c r="R36" s="1244"/>
      <c r="S36" s="1242"/>
      <c r="T36" s="1242"/>
      <c r="U36" s="1242"/>
      <c r="V36" s="1197">
        <v>4104</v>
      </c>
      <c r="W36" s="1197">
        <v>3928</v>
      </c>
      <c r="X36" s="1197">
        <f t="shared" si="3"/>
        <v>176</v>
      </c>
      <c r="Y36" s="660">
        <f t="shared" si="4"/>
        <v>0.9571150097465887</v>
      </c>
      <c r="Z36" s="1216">
        <v>45938</v>
      </c>
      <c r="AA36" s="1199">
        <v>0</v>
      </c>
      <c r="AB36" s="1199">
        <v>0</v>
      </c>
      <c r="AC36" s="643">
        <v>0</v>
      </c>
      <c r="AD36" s="1200" t="s">
        <v>159</v>
      </c>
      <c r="AE36" s="1227"/>
    </row>
    <row r="37" spans="1:32" ht="24.75" customHeight="1">
      <c r="A37" s="1331" t="s">
        <v>160</v>
      </c>
      <c r="B37" s="1436" t="s">
        <v>109</v>
      </c>
      <c r="C37" s="1332">
        <v>45959</v>
      </c>
      <c r="D37" s="1332" t="s">
        <v>129</v>
      </c>
      <c r="E37" s="1332">
        <v>45961</v>
      </c>
      <c r="F37" s="1436" t="s">
        <v>142</v>
      </c>
      <c r="G37" s="1192"/>
      <c r="H37" s="1487">
        <v>0</v>
      </c>
      <c r="I37" s="659" t="s">
        <v>55</v>
      </c>
      <c r="J37" s="1487" t="s">
        <v>63</v>
      </c>
      <c r="K37" s="1487" t="s">
        <v>115</v>
      </c>
      <c r="L37" s="1332" t="s">
        <v>158</v>
      </c>
      <c r="M37" s="1487" t="s">
        <v>57</v>
      </c>
      <c r="N37" s="1488">
        <v>15670.45</v>
      </c>
      <c r="O37" s="1487" t="s">
        <v>57</v>
      </c>
      <c r="P37" s="1489" t="s">
        <v>64</v>
      </c>
      <c r="Q37" s="1490">
        <v>46031</v>
      </c>
      <c r="R37" s="1490"/>
      <c r="S37" s="1490"/>
      <c r="T37" s="1490"/>
      <c r="U37" s="1490"/>
      <c r="V37" s="784">
        <v>1202</v>
      </c>
      <c r="W37" s="1437">
        <v>1208</v>
      </c>
      <c r="X37" s="1491">
        <f>SUM(V37-W37)</f>
        <v>-6</v>
      </c>
      <c r="Y37" s="660">
        <v>1</v>
      </c>
      <c r="Z37" s="1216">
        <v>46035</v>
      </c>
      <c r="AA37" s="1492">
        <v>0</v>
      </c>
      <c r="AB37" s="1492">
        <v>0</v>
      </c>
      <c r="AC37" s="1491">
        <v>0</v>
      </c>
      <c r="AD37" s="1200" t="s">
        <v>161</v>
      </c>
      <c r="AE37" s="1227"/>
    </row>
    <row r="38" spans="1:32" ht="24.75" customHeight="1">
      <c r="A38" s="1241" t="s">
        <v>162</v>
      </c>
      <c r="B38" s="1192" t="s">
        <v>109</v>
      </c>
      <c r="C38" s="1191">
        <v>46066</v>
      </c>
      <c r="D38" s="1191"/>
      <c r="E38" s="1191"/>
      <c r="F38" s="640" t="s">
        <v>163</v>
      </c>
      <c r="G38" s="1192" t="s">
        <v>164</v>
      </c>
      <c r="H38" s="1193">
        <v>0</v>
      </c>
      <c r="I38" s="659" t="s">
        <v>55</v>
      </c>
      <c r="J38" s="1193" t="s">
        <v>91</v>
      </c>
      <c r="K38" s="1193" t="s">
        <v>115</v>
      </c>
      <c r="L38" s="1191"/>
      <c r="M38" s="1193" t="s">
        <v>57</v>
      </c>
      <c r="N38" s="1194">
        <v>13022.05</v>
      </c>
      <c r="O38" s="1193" t="s">
        <v>57</v>
      </c>
      <c r="P38" s="1195" t="s">
        <v>58</v>
      </c>
      <c r="Q38" s="1243"/>
      <c r="R38" s="1249"/>
      <c r="S38" s="1196"/>
      <c r="T38" s="1196"/>
      <c r="U38" s="1196"/>
      <c r="V38" s="784">
        <v>923</v>
      </c>
      <c r="W38" s="784"/>
      <c r="X38" s="1197">
        <f t="shared" si="3"/>
        <v>923</v>
      </c>
      <c r="Y38" s="660">
        <f t="shared" si="4"/>
        <v>0</v>
      </c>
      <c r="Z38" s="1234"/>
      <c r="AA38" s="1199">
        <v>0</v>
      </c>
      <c r="AB38" s="1199">
        <v>0</v>
      </c>
      <c r="AC38" s="1197">
        <v>0</v>
      </c>
      <c r="AD38" s="1231" t="s">
        <v>165</v>
      </c>
    </row>
    <row r="39" spans="1:32" ht="24.75" customHeight="1">
      <c r="A39" s="1241" t="s">
        <v>166</v>
      </c>
      <c r="B39" s="1192" t="s">
        <v>109</v>
      </c>
      <c r="C39" s="1191">
        <v>46047</v>
      </c>
      <c r="D39" s="1191"/>
      <c r="E39" s="1191"/>
      <c r="F39" s="640" t="s">
        <v>163</v>
      </c>
      <c r="G39" s="1192" t="s">
        <v>167</v>
      </c>
      <c r="H39" s="1193">
        <v>0</v>
      </c>
      <c r="I39" s="659" t="s">
        <v>55</v>
      </c>
      <c r="J39" s="1193" t="s">
        <v>91</v>
      </c>
      <c r="K39" s="1193" t="s">
        <v>115</v>
      </c>
      <c r="L39" s="1191"/>
      <c r="M39" s="1193" t="s">
        <v>57</v>
      </c>
      <c r="N39" s="1194">
        <v>17139.400000000001</v>
      </c>
      <c r="O39" s="1193" t="s">
        <v>57</v>
      </c>
      <c r="P39" s="1195" t="s">
        <v>58</v>
      </c>
      <c r="Q39" s="1243"/>
      <c r="R39" s="1249"/>
      <c r="S39" s="1196"/>
      <c r="T39" s="1196"/>
      <c r="U39" s="1196"/>
      <c r="V39" s="784">
        <v>1347</v>
      </c>
      <c r="W39" s="784"/>
      <c r="X39" s="1197">
        <f t="shared" si="3"/>
        <v>1347</v>
      </c>
      <c r="Y39" s="660">
        <f t="shared" si="4"/>
        <v>0</v>
      </c>
      <c r="Z39" s="1198"/>
      <c r="AA39" s="1199">
        <v>0</v>
      </c>
      <c r="AB39" s="1199">
        <v>0</v>
      </c>
      <c r="AC39" s="784">
        <v>0</v>
      </c>
      <c r="AD39" s="1200" t="s">
        <v>168</v>
      </c>
    </row>
    <row r="40" spans="1:32" ht="24.75" customHeight="1">
      <c r="A40" s="1241" t="s">
        <v>169</v>
      </c>
      <c r="B40" s="1192" t="s">
        <v>109</v>
      </c>
      <c r="C40" s="1191"/>
      <c r="D40" s="1191"/>
      <c r="E40" s="1191"/>
      <c r="F40" s="640" t="s">
        <v>163</v>
      </c>
      <c r="G40" s="1192" t="s">
        <v>170</v>
      </c>
      <c r="H40" s="1193">
        <v>0</v>
      </c>
      <c r="I40" s="1193" t="s">
        <v>55</v>
      </c>
      <c r="J40" s="1193" t="s">
        <v>91</v>
      </c>
      <c r="K40" s="1193" t="s">
        <v>115</v>
      </c>
      <c r="L40" s="1192" t="s">
        <v>158</v>
      </c>
      <c r="M40" s="1193" t="s">
        <v>57</v>
      </c>
      <c r="N40" s="1194">
        <v>3410.1</v>
      </c>
      <c r="O40" s="1193" t="s">
        <v>57</v>
      </c>
      <c r="P40" s="1195" t="s">
        <v>58</v>
      </c>
      <c r="Q40" s="1243"/>
      <c r="R40" s="1249"/>
      <c r="S40" s="1196"/>
      <c r="T40" s="1196"/>
      <c r="U40" s="1243"/>
      <c r="V40" s="1250">
        <v>226</v>
      </c>
      <c r="W40" s="1250"/>
      <c r="X40" s="1251">
        <f t="shared" si="3"/>
        <v>226</v>
      </c>
      <c r="Y40" s="660">
        <f t="shared" si="4"/>
        <v>0</v>
      </c>
      <c r="Z40" s="1234"/>
      <c r="AA40" s="1199">
        <v>0</v>
      </c>
      <c r="AB40" s="1199">
        <v>0</v>
      </c>
      <c r="AC40" s="1197">
        <v>0</v>
      </c>
      <c r="AD40" s="1252" t="s">
        <v>171</v>
      </c>
    </row>
    <row r="41" spans="1:32" ht="24.75" customHeight="1">
      <c r="A41" s="1190" t="s">
        <v>172</v>
      </c>
      <c r="B41" s="1192" t="s">
        <v>109</v>
      </c>
      <c r="C41" s="1191">
        <v>45675</v>
      </c>
      <c r="D41" s="1191" t="s">
        <v>129</v>
      </c>
      <c r="E41" s="1191">
        <v>46006</v>
      </c>
      <c r="F41" s="1192" t="s">
        <v>142</v>
      </c>
      <c r="G41" s="1192"/>
      <c r="H41" s="1193">
        <v>0</v>
      </c>
      <c r="I41" s="1193" t="s">
        <v>55</v>
      </c>
      <c r="J41" s="1193" t="s">
        <v>63</v>
      </c>
      <c r="K41" s="1193"/>
      <c r="L41" s="1191">
        <v>46006</v>
      </c>
      <c r="M41" s="1193" t="s">
        <v>57</v>
      </c>
      <c r="N41" s="1194">
        <v>45512.75</v>
      </c>
      <c r="O41" s="1193" t="s">
        <v>57</v>
      </c>
      <c r="P41" s="1195" t="s">
        <v>101</v>
      </c>
      <c r="Q41" s="1196">
        <v>46006</v>
      </c>
      <c r="R41" s="1196"/>
      <c r="S41" s="1196"/>
      <c r="T41" s="1196"/>
      <c r="U41" s="1196"/>
      <c r="V41" s="784">
        <v>3675</v>
      </c>
      <c r="W41" s="1434">
        <v>3820</v>
      </c>
      <c r="X41" s="1197">
        <f>SUM(V41-W41)</f>
        <v>-145</v>
      </c>
      <c r="Y41" s="660">
        <f t="shared" si="4"/>
        <v>1.0394557823129251</v>
      </c>
      <c r="Z41" s="1216">
        <v>46027</v>
      </c>
      <c r="AA41" s="1199">
        <v>0</v>
      </c>
      <c r="AB41" s="1199">
        <v>0</v>
      </c>
      <c r="AC41" s="643">
        <v>0</v>
      </c>
      <c r="AD41" s="1200" t="s">
        <v>173</v>
      </c>
    </row>
    <row r="42" spans="1:32" ht="24.75" customHeight="1">
      <c r="A42" s="1241" t="s">
        <v>174</v>
      </c>
      <c r="B42" s="1192" t="s">
        <v>109</v>
      </c>
      <c r="C42" s="1191">
        <v>46053</v>
      </c>
      <c r="D42" s="1191"/>
      <c r="E42" s="1191"/>
      <c r="F42" s="1192" t="s">
        <v>142</v>
      </c>
      <c r="G42" s="1192" t="s">
        <v>175</v>
      </c>
      <c r="H42" s="1193">
        <v>0</v>
      </c>
      <c r="I42" s="1193" t="s">
        <v>55</v>
      </c>
      <c r="J42" s="1193" t="s">
        <v>91</v>
      </c>
      <c r="K42" s="1193" t="s">
        <v>115</v>
      </c>
      <c r="L42" s="1191"/>
      <c r="M42" s="1193" t="s">
        <v>57</v>
      </c>
      <c r="N42" s="1194">
        <v>72842</v>
      </c>
      <c r="O42" s="1193" t="s">
        <v>57</v>
      </c>
      <c r="P42" s="1195" t="s">
        <v>58</v>
      </c>
      <c r="Q42" s="1253"/>
      <c r="R42" s="1196"/>
      <c r="S42" s="1196"/>
      <c r="T42" s="1196"/>
      <c r="U42" s="1243"/>
      <c r="V42" s="1254">
        <v>5780</v>
      </c>
      <c r="W42" s="1254"/>
      <c r="X42" s="1251">
        <f t="shared" si="3"/>
        <v>5780</v>
      </c>
      <c r="Y42" s="660">
        <f t="shared" si="4"/>
        <v>0</v>
      </c>
      <c r="Z42" s="1198"/>
      <c r="AA42" s="1199">
        <v>0</v>
      </c>
      <c r="AB42" s="1199">
        <v>0</v>
      </c>
      <c r="AC42" s="643">
        <v>0</v>
      </c>
      <c r="AD42" s="1200" t="s">
        <v>176</v>
      </c>
    </row>
    <row r="43" spans="1:32" ht="24.75" customHeight="1">
      <c r="A43" s="1190" t="s">
        <v>177</v>
      </c>
      <c r="B43" s="1192" t="s">
        <v>109</v>
      </c>
      <c r="C43" s="1191">
        <v>46031</v>
      </c>
      <c r="D43" s="1191" t="s">
        <v>178</v>
      </c>
      <c r="E43" s="1191"/>
      <c r="F43" s="1192" t="s">
        <v>53</v>
      </c>
      <c r="G43" s="1192" t="s">
        <v>179</v>
      </c>
      <c r="H43" s="1193">
        <v>0</v>
      </c>
      <c r="I43" s="1193" t="s">
        <v>55</v>
      </c>
      <c r="J43" s="1193" t="s">
        <v>63</v>
      </c>
      <c r="K43" s="1193"/>
      <c r="L43" s="1191"/>
      <c r="M43" s="1193" t="s">
        <v>57</v>
      </c>
      <c r="N43" s="1194">
        <v>255.05</v>
      </c>
      <c r="O43" s="1193" t="s">
        <v>57</v>
      </c>
      <c r="P43" s="1195" t="s">
        <v>58</v>
      </c>
      <c r="Q43" s="1196"/>
      <c r="R43" s="1196"/>
      <c r="S43" s="1196"/>
      <c r="T43" s="1196"/>
      <c r="U43" s="1196"/>
      <c r="V43" s="784">
        <v>3</v>
      </c>
      <c r="W43" s="1197"/>
      <c r="X43" s="1197">
        <f>SUM(V43-W43)</f>
        <v>3</v>
      </c>
      <c r="Y43" s="660">
        <f t="shared" si="4"/>
        <v>0</v>
      </c>
      <c r="Z43" s="1198"/>
      <c r="AA43" s="1199">
        <v>0</v>
      </c>
      <c r="AB43" s="1199">
        <v>0</v>
      </c>
      <c r="AC43" s="643">
        <v>0</v>
      </c>
      <c r="AD43" s="1200" t="s">
        <v>180</v>
      </c>
    </row>
    <row r="44" spans="1:32" ht="24.75" customHeight="1">
      <c r="A44" s="1241" t="s">
        <v>181</v>
      </c>
      <c r="B44" s="1192" t="s">
        <v>109</v>
      </c>
      <c r="C44" s="1191">
        <v>46020</v>
      </c>
      <c r="D44" s="1191"/>
      <c r="E44" s="1191"/>
      <c r="F44" s="1192" t="s">
        <v>110</v>
      </c>
      <c r="G44" s="1192" t="s">
        <v>182</v>
      </c>
      <c r="H44" s="1193">
        <v>0</v>
      </c>
      <c r="I44" s="1193" t="s">
        <v>55</v>
      </c>
      <c r="J44" s="1193" t="s">
        <v>91</v>
      </c>
      <c r="K44" s="1193" t="s">
        <v>115</v>
      </c>
      <c r="L44" s="1192"/>
      <c r="M44" s="1193" t="s">
        <v>57</v>
      </c>
      <c r="N44" s="1194">
        <v>17916.55</v>
      </c>
      <c r="O44" s="1193" t="s">
        <v>57</v>
      </c>
      <c r="P44" s="1195" t="s">
        <v>58</v>
      </c>
      <c r="Q44" s="1196"/>
      <c r="R44" s="1196"/>
      <c r="S44" s="1196"/>
      <c r="T44" s="1196"/>
      <c r="U44" s="1196"/>
      <c r="V44" s="957">
        <v>1433</v>
      </c>
      <c r="W44" s="957"/>
      <c r="X44" s="1197">
        <f t="shared" si="3"/>
        <v>1433</v>
      </c>
      <c r="Y44" s="660">
        <f t="shared" si="4"/>
        <v>0</v>
      </c>
      <c r="Z44" s="1234"/>
      <c r="AA44" s="1199">
        <v>0</v>
      </c>
      <c r="AB44" s="1199">
        <v>0</v>
      </c>
      <c r="AC44" s="1197">
        <v>0</v>
      </c>
      <c r="AD44" s="1252" t="s">
        <v>183</v>
      </c>
    </row>
    <row r="45" spans="1:32" ht="24.75" customHeight="1">
      <c r="A45" s="1241" t="s">
        <v>184</v>
      </c>
      <c r="B45" s="1192" t="s">
        <v>109</v>
      </c>
      <c r="C45" s="1191">
        <v>46031</v>
      </c>
      <c r="D45" s="1191"/>
      <c r="E45" s="1191">
        <v>45866</v>
      </c>
      <c r="F45" s="1192" t="s">
        <v>110</v>
      </c>
      <c r="G45" s="1192" t="s">
        <v>185</v>
      </c>
      <c r="H45" s="1193">
        <v>0</v>
      </c>
      <c r="I45" s="659" t="s">
        <v>55</v>
      </c>
      <c r="J45" s="1193" t="s">
        <v>91</v>
      </c>
      <c r="K45" s="1193" t="s">
        <v>115</v>
      </c>
      <c r="L45" s="1191">
        <v>45866</v>
      </c>
      <c r="M45" s="1193" t="s">
        <v>57</v>
      </c>
      <c r="N45" s="1194">
        <v>18401.05</v>
      </c>
      <c r="O45" s="1193" t="s">
        <v>57</v>
      </c>
      <c r="P45" s="1195" t="s">
        <v>101</v>
      </c>
      <c r="Q45" s="1196">
        <v>45866</v>
      </c>
      <c r="R45" s="1196"/>
      <c r="S45" s="1196"/>
      <c r="T45" s="1196"/>
      <c r="U45" s="1196"/>
      <c r="V45" s="784">
        <v>1403</v>
      </c>
      <c r="W45" s="784"/>
      <c r="X45" s="1197">
        <f t="shared" si="3"/>
        <v>1403</v>
      </c>
      <c r="Y45" s="660">
        <f t="shared" si="4"/>
        <v>0</v>
      </c>
      <c r="Z45" s="1234"/>
      <c r="AA45" s="1199">
        <v>0</v>
      </c>
      <c r="AB45" s="1199">
        <v>0</v>
      </c>
      <c r="AC45" s="1197">
        <v>0</v>
      </c>
      <c r="AD45" s="1231" t="s">
        <v>186</v>
      </c>
    </row>
    <row r="46" spans="1:32" ht="24.75" customHeight="1">
      <c r="A46" s="1241" t="s">
        <v>187</v>
      </c>
      <c r="B46" s="1192" t="s">
        <v>109</v>
      </c>
      <c r="C46" s="1191"/>
      <c r="D46" s="1191"/>
      <c r="E46" s="1191"/>
      <c r="F46" s="1192" t="s">
        <v>110</v>
      </c>
      <c r="G46" s="1192" t="s">
        <v>188</v>
      </c>
      <c r="H46" s="1193">
        <v>0</v>
      </c>
      <c r="I46" s="659" t="s">
        <v>55</v>
      </c>
      <c r="J46" s="1193" t="s">
        <v>91</v>
      </c>
      <c r="K46" s="1193" t="s">
        <v>115</v>
      </c>
      <c r="L46" s="1191"/>
      <c r="M46" s="1193" t="s">
        <v>57</v>
      </c>
      <c r="N46" s="1194">
        <v>7666.75</v>
      </c>
      <c r="O46" s="1193" t="s">
        <v>57</v>
      </c>
      <c r="P46" s="1195" t="s">
        <v>58</v>
      </c>
      <c r="Q46" s="1196"/>
      <c r="R46" s="1196"/>
      <c r="S46" s="1196"/>
      <c r="T46" s="1196"/>
      <c r="U46" s="1196"/>
      <c r="V46" s="784">
        <v>465</v>
      </c>
      <c r="W46" s="784"/>
      <c r="X46" s="1197">
        <f t="shared" si="3"/>
        <v>465</v>
      </c>
      <c r="Y46" s="660">
        <f t="shared" si="4"/>
        <v>0</v>
      </c>
      <c r="Z46" s="1198"/>
      <c r="AA46" s="1199">
        <v>0</v>
      </c>
      <c r="AB46" s="1199">
        <v>0</v>
      </c>
      <c r="AC46" s="643">
        <v>0</v>
      </c>
      <c r="AD46" s="1200" t="s">
        <v>189</v>
      </c>
      <c r="AF46" s="1255"/>
    </row>
    <row r="47" spans="1:32" ht="24.75" customHeight="1">
      <c r="A47" s="1190" t="s">
        <v>190</v>
      </c>
      <c r="B47" s="1192" t="s">
        <v>109</v>
      </c>
      <c r="C47" s="1191">
        <v>46010</v>
      </c>
      <c r="D47" s="1191" t="s">
        <v>141</v>
      </c>
      <c r="E47" s="1191">
        <v>46007</v>
      </c>
      <c r="F47" s="1192" t="s">
        <v>110</v>
      </c>
      <c r="G47" s="1192" t="s">
        <v>191</v>
      </c>
      <c r="H47" s="1193">
        <v>0</v>
      </c>
      <c r="I47" s="659" t="s">
        <v>55</v>
      </c>
      <c r="J47" s="1193" t="s">
        <v>63</v>
      </c>
      <c r="K47" s="1193"/>
      <c r="L47" s="1191" t="s">
        <v>158</v>
      </c>
      <c r="M47" s="1193" t="s">
        <v>57</v>
      </c>
      <c r="N47" s="1194">
        <v>34863</v>
      </c>
      <c r="O47" s="1193" t="s">
        <v>57</v>
      </c>
      <c r="P47" s="1195" t="s">
        <v>101</v>
      </c>
      <c r="Q47" s="1196">
        <v>45995</v>
      </c>
      <c r="R47" s="1196"/>
      <c r="S47" s="1196"/>
      <c r="T47" s="1196"/>
      <c r="U47" s="1196"/>
      <c r="V47" s="784">
        <v>2710</v>
      </c>
      <c r="W47" s="784"/>
      <c r="X47" s="1197">
        <f t="shared" si="3"/>
        <v>2710</v>
      </c>
      <c r="Y47" s="660">
        <f t="shared" si="4"/>
        <v>0</v>
      </c>
      <c r="Z47" s="1198"/>
      <c r="AA47" s="1199">
        <v>0</v>
      </c>
      <c r="AB47" s="1199">
        <v>0</v>
      </c>
      <c r="AC47" s="643">
        <v>0</v>
      </c>
      <c r="AD47" s="1200" t="s">
        <v>192</v>
      </c>
      <c r="AF47" s="1255"/>
    </row>
    <row r="48" spans="1:32" ht="24.75" customHeight="1">
      <c r="A48" s="1190" t="s">
        <v>193</v>
      </c>
      <c r="B48" s="1192" t="s">
        <v>109</v>
      </c>
      <c r="C48" s="1191">
        <v>46203</v>
      </c>
      <c r="D48" s="1192" t="s">
        <v>51</v>
      </c>
      <c r="E48" s="1191"/>
      <c r="F48" s="1192" t="s">
        <v>53</v>
      </c>
      <c r="G48" s="1192" t="s">
        <v>194</v>
      </c>
      <c r="H48" s="1193">
        <v>0</v>
      </c>
      <c r="I48" s="659" t="s">
        <v>55</v>
      </c>
      <c r="J48" s="1193" t="s">
        <v>56</v>
      </c>
      <c r="K48" s="1193"/>
      <c r="L48" s="1191" t="s">
        <v>158</v>
      </c>
      <c r="M48" s="1193" t="s">
        <v>57</v>
      </c>
      <c r="N48" s="1194">
        <v>388</v>
      </c>
      <c r="O48" s="1193" t="s">
        <v>57</v>
      </c>
      <c r="P48" s="1195" t="s">
        <v>58</v>
      </c>
      <c r="Q48" s="1256" t="s">
        <v>158</v>
      </c>
      <c r="R48" s="1249"/>
      <c r="S48" s="1196"/>
      <c r="T48" s="1196"/>
      <c r="U48" s="1196"/>
      <c r="V48" s="784">
        <v>0</v>
      </c>
      <c r="W48" s="784"/>
      <c r="X48" s="1197">
        <f t="shared" si="3"/>
        <v>0</v>
      </c>
      <c r="Y48" s="660">
        <f t="shared" si="4"/>
        <v>0</v>
      </c>
      <c r="Z48" s="1234"/>
      <c r="AA48" s="1199">
        <v>0</v>
      </c>
      <c r="AB48" s="1199">
        <v>0</v>
      </c>
      <c r="AC48" s="1197">
        <v>0</v>
      </c>
      <c r="AD48" s="1231" t="s">
        <v>195</v>
      </c>
      <c r="AF48" s="1255"/>
    </row>
    <row r="49" spans="1:56" ht="24.75" customHeight="1">
      <c r="A49" s="1241" t="s">
        <v>196</v>
      </c>
      <c r="B49" s="1192" t="s">
        <v>109</v>
      </c>
      <c r="C49" s="1211">
        <v>46041</v>
      </c>
      <c r="D49" s="1191"/>
      <c r="E49" s="1191"/>
      <c r="F49" s="1192"/>
      <c r="G49" s="1192" t="s">
        <v>197</v>
      </c>
      <c r="H49" s="1193">
        <v>0</v>
      </c>
      <c r="I49" s="659" t="s">
        <v>55</v>
      </c>
      <c r="J49" s="1193" t="s">
        <v>91</v>
      </c>
      <c r="K49" s="1193" t="s">
        <v>115</v>
      </c>
      <c r="L49" s="1191"/>
      <c r="M49" s="1193" t="s">
        <v>57</v>
      </c>
      <c r="N49" s="1194">
        <v>38359.1</v>
      </c>
      <c r="O49" s="1193" t="s">
        <v>57</v>
      </c>
      <c r="P49" s="1195" t="s">
        <v>58</v>
      </c>
      <c r="Q49" s="1196"/>
      <c r="R49" s="1196"/>
      <c r="S49" s="1196"/>
      <c r="T49" s="1196"/>
      <c r="U49" s="1196"/>
      <c r="V49" s="784">
        <v>3146</v>
      </c>
      <c r="W49" s="784"/>
      <c r="X49" s="1197">
        <f>SUM(V49-W49)</f>
        <v>3146</v>
      </c>
      <c r="Y49" s="660">
        <f t="shared" si="4"/>
        <v>0</v>
      </c>
      <c r="Z49" s="1234"/>
      <c r="AA49" s="1199">
        <v>0</v>
      </c>
      <c r="AB49" s="1199">
        <v>0</v>
      </c>
      <c r="AC49" s="1197">
        <v>0</v>
      </c>
      <c r="AD49" s="1231" t="s">
        <v>198</v>
      </c>
      <c r="AE49" s="1257"/>
      <c r="AF49" s="1255"/>
    </row>
    <row r="50" spans="1:56" ht="24.75" customHeight="1">
      <c r="A50" s="1241" t="s">
        <v>199</v>
      </c>
      <c r="B50" s="1192" t="s">
        <v>109</v>
      </c>
      <c r="C50" s="1191"/>
      <c r="D50" s="1191"/>
      <c r="E50" s="1191"/>
      <c r="F50" s="1192"/>
      <c r="G50" s="1192"/>
      <c r="H50" s="1193">
        <v>0</v>
      </c>
      <c r="I50" s="1193" t="s">
        <v>55</v>
      </c>
      <c r="J50" s="1193" t="s">
        <v>91</v>
      </c>
      <c r="K50" s="1193" t="s">
        <v>103</v>
      </c>
      <c r="L50" s="1191"/>
      <c r="M50" s="1193" t="s">
        <v>92</v>
      </c>
      <c r="N50" s="1194"/>
      <c r="O50" s="1193" t="s">
        <v>92</v>
      </c>
      <c r="P50" s="1195" t="s">
        <v>58</v>
      </c>
      <c r="Q50" s="1196"/>
      <c r="R50" s="1196"/>
      <c r="S50" s="1196"/>
      <c r="T50" s="1196"/>
      <c r="U50" s="1196"/>
      <c r="V50" s="784">
        <v>442</v>
      </c>
      <c r="W50" s="784"/>
      <c r="X50" s="1197">
        <f>SUM(V50-W50)</f>
        <v>442</v>
      </c>
      <c r="Y50" s="660">
        <f t="shared" si="4"/>
        <v>0</v>
      </c>
      <c r="Z50" s="1234"/>
      <c r="AA50" s="1199">
        <v>0</v>
      </c>
      <c r="AB50" s="1199">
        <v>0</v>
      </c>
      <c r="AC50" s="1197">
        <v>0</v>
      </c>
      <c r="AD50" s="1231" t="s">
        <v>200</v>
      </c>
      <c r="AE50" s="1257"/>
      <c r="AF50" s="1255"/>
    </row>
    <row r="51" spans="1:56" ht="24.75" customHeight="1">
      <c r="A51" s="1190" t="s">
        <v>201</v>
      </c>
      <c r="B51" s="679" t="s">
        <v>109</v>
      </c>
      <c r="C51" s="1191">
        <v>46015</v>
      </c>
      <c r="D51" s="1191" t="s">
        <v>202</v>
      </c>
      <c r="E51" s="1191">
        <v>45965</v>
      </c>
      <c r="F51" s="1192" t="s">
        <v>110</v>
      </c>
      <c r="G51" s="1192" t="s">
        <v>203</v>
      </c>
      <c r="H51" s="1193">
        <v>0</v>
      </c>
      <c r="I51" s="659" t="s">
        <v>55</v>
      </c>
      <c r="J51" s="1193" t="s">
        <v>63</v>
      </c>
      <c r="K51" s="1193"/>
      <c r="L51" s="1191"/>
      <c r="M51" s="1193" t="s">
        <v>57</v>
      </c>
      <c r="N51" s="1194">
        <v>4773.8</v>
      </c>
      <c r="O51" s="1193" t="s">
        <v>57</v>
      </c>
      <c r="P51" s="1195" t="s">
        <v>64</v>
      </c>
      <c r="Q51" s="1196"/>
      <c r="R51" s="1196"/>
      <c r="S51" s="1196"/>
      <c r="T51" s="1196"/>
      <c r="U51" s="1196"/>
      <c r="V51" s="784">
        <v>103</v>
      </c>
      <c r="W51" s="784">
        <v>82</v>
      </c>
      <c r="X51" s="1197">
        <f t="shared" si="3"/>
        <v>21</v>
      </c>
      <c r="Y51" s="660">
        <f t="shared" si="4"/>
        <v>0.79611650485436891</v>
      </c>
      <c r="Z51" s="1216">
        <v>45985</v>
      </c>
      <c r="AA51" s="1199">
        <v>0</v>
      </c>
      <c r="AB51" s="1199">
        <v>0</v>
      </c>
      <c r="AC51" s="1197">
        <v>0</v>
      </c>
      <c r="AD51" s="1200" t="s">
        <v>204</v>
      </c>
      <c r="AE51" s="1257"/>
      <c r="AF51" s="1255"/>
    </row>
    <row r="52" spans="1:56" ht="24.75" customHeight="1">
      <c r="A52" s="1192"/>
      <c r="B52" s="679"/>
      <c r="C52" s="1191"/>
      <c r="D52" s="1191"/>
      <c r="E52" s="1191"/>
      <c r="F52" s="1192"/>
      <c r="G52" s="1192"/>
      <c r="H52" s="1193"/>
      <c r="I52" s="659"/>
      <c r="J52" s="1193"/>
      <c r="K52" s="1193"/>
      <c r="L52" s="1191"/>
      <c r="M52" s="1193"/>
      <c r="N52" s="1194"/>
      <c r="O52" s="1193"/>
      <c r="P52" s="1195"/>
      <c r="Q52" s="1196"/>
      <c r="R52" s="1196"/>
      <c r="S52" s="1196"/>
      <c r="T52" s="1196"/>
      <c r="U52" s="1196"/>
      <c r="V52" s="1197"/>
      <c r="W52" s="1197"/>
      <c r="X52" s="1197"/>
      <c r="Y52" s="660"/>
      <c r="Z52" s="1198"/>
      <c r="AA52" s="1199"/>
      <c r="AB52" s="1199"/>
      <c r="AC52" s="1197"/>
      <c r="AD52" s="1200"/>
      <c r="AE52" s="1257"/>
      <c r="AF52" s="1255"/>
    </row>
    <row r="53" spans="1:56" ht="24.75" customHeight="1">
      <c r="A53" s="1192"/>
      <c r="B53" s="679"/>
      <c r="C53" s="1191"/>
      <c r="D53" s="1191"/>
      <c r="E53" s="1191"/>
      <c r="F53" s="1192"/>
      <c r="G53" s="1192"/>
      <c r="H53" s="1193"/>
      <c r="I53" s="659"/>
      <c r="J53" s="1193"/>
      <c r="K53" s="1193"/>
      <c r="L53" s="1191"/>
      <c r="M53" s="1193"/>
      <c r="N53" s="1194"/>
      <c r="O53" s="1193"/>
      <c r="P53" s="1195"/>
      <c r="Q53" s="1196"/>
      <c r="R53" s="1196"/>
      <c r="S53" s="1196"/>
      <c r="T53" s="1196"/>
      <c r="U53" s="1196"/>
      <c r="V53" s="1197"/>
      <c r="W53" s="1197"/>
      <c r="X53" s="1197"/>
      <c r="Y53" s="660"/>
      <c r="Z53" s="1198"/>
      <c r="AA53" s="1199"/>
      <c r="AB53" s="1199"/>
      <c r="AC53" s="1197"/>
      <c r="AD53" s="1200"/>
      <c r="AE53" s="1257"/>
      <c r="AF53" s="1255"/>
    </row>
    <row r="54" spans="1:56" ht="24.75" customHeight="1">
      <c r="A54" s="1182" t="s">
        <v>205</v>
      </c>
      <c r="B54" s="1183" t="s">
        <v>20</v>
      </c>
      <c r="C54" s="1183" t="s">
        <v>21</v>
      </c>
      <c r="D54" s="1183" t="s">
        <v>22</v>
      </c>
      <c r="E54" s="1183" t="s">
        <v>23</v>
      </c>
      <c r="F54" s="1183" t="s">
        <v>24</v>
      </c>
      <c r="G54" s="1183" t="s">
        <v>25</v>
      </c>
      <c r="H54" s="1183" t="s">
        <v>26</v>
      </c>
      <c r="I54" s="1183" t="s">
        <v>27</v>
      </c>
      <c r="J54" s="1183" t="s">
        <v>28</v>
      </c>
      <c r="K54" s="1183" t="s">
        <v>29</v>
      </c>
      <c r="L54" s="1183" t="s">
        <v>30</v>
      </c>
      <c r="M54" s="1183" t="s">
        <v>31</v>
      </c>
      <c r="N54" s="1184" t="s">
        <v>32</v>
      </c>
      <c r="O54" s="1183" t="s">
        <v>33</v>
      </c>
      <c r="P54" s="1185" t="s">
        <v>34</v>
      </c>
      <c r="Q54" s="1186" t="s">
        <v>35</v>
      </c>
      <c r="R54" s="1186" t="s">
        <v>36</v>
      </c>
      <c r="S54" s="1186" t="s">
        <v>37</v>
      </c>
      <c r="T54" s="1186" t="s">
        <v>38</v>
      </c>
      <c r="U54" s="1186" t="s">
        <v>39</v>
      </c>
      <c r="V54" s="1186" t="s">
        <v>40</v>
      </c>
      <c r="W54" s="1186" t="s">
        <v>41</v>
      </c>
      <c r="X54" s="1186" t="s">
        <v>42</v>
      </c>
      <c r="Y54" s="1186" t="s">
        <v>43</v>
      </c>
      <c r="Z54" s="1186" t="s">
        <v>44</v>
      </c>
      <c r="AA54" s="1187" t="s">
        <v>45</v>
      </c>
      <c r="AB54" s="1186" t="s">
        <v>46</v>
      </c>
      <c r="AC54" s="1186" t="s">
        <v>47</v>
      </c>
      <c r="AD54" s="1188" t="s">
        <v>48</v>
      </c>
      <c r="AE54" s="1257"/>
      <c r="AF54" s="1255"/>
    </row>
    <row r="55" spans="1:56" ht="24.75" customHeight="1">
      <c r="A55" s="1190" t="s">
        <v>206</v>
      </c>
      <c r="B55" s="827" t="s">
        <v>207</v>
      </c>
      <c r="C55" s="1191">
        <v>46039</v>
      </c>
      <c r="D55" s="1191" t="s">
        <v>84</v>
      </c>
      <c r="E55" s="1191">
        <v>45966</v>
      </c>
      <c r="F55" s="1191" t="s">
        <v>208</v>
      </c>
      <c r="G55" s="1192" t="s">
        <v>209</v>
      </c>
      <c r="H55" s="1193">
        <v>0</v>
      </c>
      <c r="I55" s="659" t="s">
        <v>55</v>
      </c>
      <c r="J55" s="1193" t="s">
        <v>63</v>
      </c>
      <c r="K55" s="1213"/>
      <c r="L55" s="1191"/>
      <c r="M55" s="1193" t="s">
        <v>57</v>
      </c>
      <c r="N55" s="1194">
        <v>82825</v>
      </c>
      <c r="O55" s="1193" t="s">
        <v>57</v>
      </c>
      <c r="P55" s="1195" t="s">
        <v>101</v>
      </c>
      <c r="Q55" s="1196">
        <v>45965</v>
      </c>
      <c r="R55" s="1196"/>
      <c r="S55" s="1196"/>
      <c r="T55" s="1196"/>
      <c r="U55" s="1196"/>
      <c r="V55" s="784">
        <v>6210</v>
      </c>
      <c r="W55" s="784"/>
      <c r="X55" s="1197">
        <f t="shared" ref="X55:X94" si="5">SUM(V55-W55)</f>
        <v>6210</v>
      </c>
      <c r="Y55" s="660">
        <f t="shared" ref="Y55:Y94" si="6">IFERROR($W55/$V55, 0)</f>
        <v>0</v>
      </c>
      <c r="Z55" s="1198"/>
      <c r="AA55" s="1199">
        <v>0</v>
      </c>
      <c r="AB55" s="1199">
        <v>0</v>
      </c>
      <c r="AC55" s="1217">
        <v>0</v>
      </c>
      <c r="AD55" s="1200" t="s">
        <v>210</v>
      </c>
      <c r="AE55" s="1257"/>
      <c r="AF55" s="1255"/>
    </row>
    <row r="56" spans="1:56" ht="24.75" customHeight="1">
      <c r="A56" s="1190" t="s">
        <v>211</v>
      </c>
      <c r="B56" s="827" t="s">
        <v>207</v>
      </c>
      <c r="C56" s="1191">
        <v>46039</v>
      </c>
      <c r="D56" s="1191" t="s">
        <v>84</v>
      </c>
      <c r="E56" s="1191">
        <v>45966</v>
      </c>
      <c r="F56" s="1191" t="s">
        <v>208</v>
      </c>
      <c r="G56" s="1192" t="s">
        <v>212</v>
      </c>
      <c r="H56" s="1193">
        <v>7</v>
      </c>
      <c r="I56" s="659" t="s">
        <v>55</v>
      </c>
      <c r="J56" s="1193" t="s">
        <v>63</v>
      </c>
      <c r="K56" s="1213"/>
      <c r="L56" s="1191"/>
      <c r="M56" s="1193" t="s">
        <v>57</v>
      </c>
      <c r="N56" s="1194">
        <v>34736.85</v>
      </c>
      <c r="O56" s="1193" t="s">
        <v>57</v>
      </c>
      <c r="P56" s="1195" t="s">
        <v>64</v>
      </c>
      <c r="Q56" s="1196">
        <v>45965</v>
      </c>
      <c r="R56" s="1196"/>
      <c r="S56" s="1196"/>
      <c r="T56" s="1196"/>
      <c r="U56" s="1196"/>
      <c r="V56" s="784">
        <v>2601</v>
      </c>
      <c r="W56" s="784">
        <v>1661</v>
      </c>
      <c r="X56" s="1197">
        <f t="shared" si="5"/>
        <v>940</v>
      </c>
      <c r="Y56" s="660">
        <f t="shared" si="6"/>
        <v>0.63860053825451746</v>
      </c>
      <c r="Z56" s="1216">
        <v>45973</v>
      </c>
      <c r="AA56" s="1199">
        <v>0</v>
      </c>
      <c r="AB56" s="1199">
        <v>0</v>
      </c>
      <c r="AC56" s="1217">
        <v>2601</v>
      </c>
      <c r="AD56" s="1200" t="s">
        <v>213</v>
      </c>
      <c r="AE56" s="1257"/>
      <c r="AF56" s="1255"/>
    </row>
    <row r="57" spans="1:56" ht="24.75" customHeight="1">
      <c r="A57" s="1190" t="s">
        <v>214</v>
      </c>
      <c r="B57" s="827" t="s">
        <v>207</v>
      </c>
      <c r="C57" s="1191">
        <v>45987</v>
      </c>
      <c r="D57" s="1212" t="s">
        <v>51</v>
      </c>
      <c r="E57" s="1211"/>
      <c r="F57" s="1212" t="s">
        <v>53</v>
      </c>
      <c r="G57" s="1212" t="s">
        <v>215</v>
      </c>
      <c r="H57" s="1213">
        <v>0</v>
      </c>
      <c r="I57" s="659" t="s">
        <v>55</v>
      </c>
      <c r="J57" s="1193" t="s">
        <v>63</v>
      </c>
      <c r="K57" s="1193"/>
      <c r="L57" s="1191"/>
      <c r="M57" s="1213" t="s">
        <v>57</v>
      </c>
      <c r="N57" s="1224">
        <v>5774.1</v>
      </c>
      <c r="O57" s="1213" t="s">
        <v>57</v>
      </c>
      <c r="P57" s="1226" t="s">
        <v>58</v>
      </c>
      <c r="Q57" s="1216"/>
      <c r="R57" s="1216"/>
      <c r="S57" s="1216"/>
      <c r="T57" s="1216"/>
      <c r="U57" s="1216"/>
      <c r="V57" s="1217">
        <v>446</v>
      </c>
      <c r="W57" s="1430">
        <v>70</v>
      </c>
      <c r="X57" s="1197">
        <f t="shared" si="5"/>
        <v>376</v>
      </c>
      <c r="Y57" s="660">
        <f>IFERROR($W57/$V57, 0)</f>
        <v>0.15695067264573992</v>
      </c>
      <c r="Z57" s="1198"/>
      <c r="AA57" s="1199">
        <v>0</v>
      </c>
      <c r="AB57" s="1199">
        <v>0</v>
      </c>
      <c r="AC57" s="1217">
        <v>0</v>
      </c>
      <c r="AD57" s="1200" t="s">
        <v>216</v>
      </c>
      <c r="AE57" s="1257"/>
      <c r="AF57" s="1255"/>
    </row>
    <row r="58" spans="1:56" ht="24.75" customHeight="1">
      <c r="A58" s="1263" t="s">
        <v>217</v>
      </c>
      <c r="B58" s="827" t="s">
        <v>207</v>
      </c>
      <c r="C58" s="1332">
        <v>46053</v>
      </c>
      <c r="D58" s="1333" t="s">
        <v>218</v>
      </c>
      <c r="E58" s="1334"/>
      <c r="F58" s="1333"/>
      <c r="G58" s="1212"/>
      <c r="H58" s="1213">
        <v>0</v>
      </c>
      <c r="I58" s="1461" t="s">
        <v>219</v>
      </c>
      <c r="J58" s="1487"/>
      <c r="K58" s="1487"/>
      <c r="L58" s="1332"/>
      <c r="M58" s="1213" t="s">
        <v>57</v>
      </c>
      <c r="N58" s="1493">
        <v>1035</v>
      </c>
      <c r="O58" s="1213" t="s">
        <v>57</v>
      </c>
      <c r="P58" s="1264" t="s">
        <v>86</v>
      </c>
      <c r="Q58" s="1494"/>
      <c r="R58" s="1494"/>
      <c r="S58" s="1494"/>
      <c r="T58" s="1494"/>
      <c r="U58" s="1494"/>
      <c r="V58" s="1495">
        <v>0</v>
      </c>
      <c r="W58" s="1491">
        <v>0</v>
      </c>
      <c r="X58" s="1491">
        <f>SUM(V58-W58)</f>
        <v>0</v>
      </c>
      <c r="Y58" s="660">
        <f>IFERROR($W58/$V58, 0)</f>
        <v>0</v>
      </c>
      <c r="Z58" s="1494">
        <v>46030</v>
      </c>
      <c r="AA58" s="1199">
        <v>0</v>
      </c>
      <c r="AB58" s="1199">
        <v>0</v>
      </c>
      <c r="AC58" s="1217">
        <v>0</v>
      </c>
      <c r="AD58" s="1200" t="s">
        <v>220</v>
      </c>
      <c r="AE58" s="1257"/>
      <c r="AF58" s="1255"/>
    </row>
    <row r="59" spans="1:56" ht="24.75" customHeight="1">
      <c r="A59" s="1190" t="s">
        <v>221</v>
      </c>
      <c r="B59" s="827" t="s">
        <v>207</v>
      </c>
      <c r="C59" s="1191">
        <v>46045</v>
      </c>
      <c r="D59" s="1191" t="s">
        <v>222</v>
      </c>
      <c r="E59" s="1191">
        <v>45980</v>
      </c>
      <c r="F59" s="1191" t="s">
        <v>223</v>
      </c>
      <c r="G59" s="1192" t="s">
        <v>224</v>
      </c>
      <c r="H59" s="1193">
        <v>82</v>
      </c>
      <c r="I59" s="1193" t="s">
        <v>55</v>
      </c>
      <c r="J59" s="1193" t="s">
        <v>63</v>
      </c>
      <c r="K59" s="1193"/>
      <c r="L59" s="1191"/>
      <c r="M59" s="1193" t="s">
        <v>57</v>
      </c>
      <c r="N59" s="1194">
        <v>56294</v>
      </c>
      <c r="O59" s="1193" t="s">
        <v>57</v>
      </c>
      <c r="P59" s="1195" t="s">
        <v>64</v>
      </c>
      <c r="Q59" s="1196">
        <v>45981</v>
      </c>
      <c r="R59" s="1196"/>
      <c r="S59" s="1196"/>
      <c r="T59" s="1196"/>
      <c r="U59" s="1196"/>
      <c r="V59" s="1197">
        <v>4146</v>
      </c>
      <c r="W59" s="1197">
        <v>3667</v>
      </c>
      <c r="X59" s="1197">
        <f t="shared" si="5"/>
        <v>479</v>
      </c>
      <c r="Y59" s="660">
        <f t="shared" si="6"/>
        <v>0.88446695610226722</v>
      </c>
      <c r="Z59" s="1216"/>
      <c r="AA59" s="1199">
        <v>0</v>
      </c>
      <c r="AB59" s="1199">
        <v>0</v>
      </c>
      <c r="AC59" s="1197">
        <v>0</v>
      </c>
      <c r="AD59" s="1200" t="s">
        <v>225</v>
      </c>
      <c r="AE59" s="1257"/>
    </row>
    <row r="60" spans="1:56" ht="24.75" customHeight="1">
      <c r="A60" s="1190" t="s">
        <v>226</v>
      </c>
      <c r="B60" s="827" t="s">
        <v>207</v>
      </c>
      <c r="C60" s="1191">
        <v>46045</v>
      </c>
      <c r="D60" s="1191"/>
      <c r="E60" s="1191"/>
      <c r="F60" s="1191"/>
      <c r="G60" s="1192" t="s">
        <v>227</v>
      </c>
      <c r="H60" s="1193">
        <v>54</v>
      </c>
      <c r="I60" s="1193" t="s">
        <v>55</v>
      </c>
      <c r="J60" s="1193" t="s">
        <v>63</v>
      </c>
      <c r="K60" s="1193"/>
      <c r="L60" s="1191"/>
      <c r="M60" s="1193" t="s">
        <v>57</v>
      </c>
      <c r="N60" s="1194">
        <v>58240</v>
      </c>
      <c r="O60" s="1193" t="s">
        <v>57</v>
      </c>
      <c r="P60" s="1195" t="s">
        <v>58</v>
      </c>
      <c r="Q60" s="1196"/>
      <c r="R60" s="1196"/>
      <c r="S60" s="1196"/>
      <c r="T60" s="1196"/>
      <c r="U60" s="1196"/>
      <c r="V60" s="1197">
        <v>4594</v>
      </c>
      <c r="W60" s="1197"/>
      <c r="X60" s="1197">
        <f t="shared" si="5"/>
        <v>4594</v>
      </c>
      <c r="Y60" s="660">
        <f t="shared" si="6"/>
        <v>0</v>
      </c>
      <c r="Z60" s="1216"/>
      <c r="AA60" s="1199">
        <v>0</v>
      </c>
      <c r="AB60" s="1199">
        <v>0</v>
      </c>
      <c r="AC60" s="1217">
        <v>0</v>
      </c>
      <c r="AD60" s="1200" t="s">
        <v>228</v>
      </c>
      <c r="AE60" s="1257"/>
    </row>
    <row r="61" spans="1:56" ht="24.75" customHeight="1">
      <c r="A61" s="1190" t="s">
        <v>229</v>
      </c>
      <c r="B61" s="827" t="s">
        <v>207</v>
      </c>
      <c r="C61" s="1191">
        <v>45999</v>
      </c>
      <c r="D61" s="1211" t="s">
        <v>84</v>
      </c>
      <c r="E61" s="1211">
        <v>45959</v>
      </c>
      <c r="F61" s="1212" t="s">
        <v>208</v>
      </c>
      <c r="G61" s="1211" t="s">
        <v>230</v>
      </c>
      <c r="H61" s="828">
        <v>69</v>
      </c>
      <c r="I61" s="1193" t="s">
        <v>55</v>
      </c>
      <c r="J61" s="1193" t="s">
        <v>63</v>
      </c>
      <c r="K61" s="1193"/>
      <c r="L61" s="1211">
        <v>45925</v>
      </c>
      <c r="M61" s="825" t="s">
        <v>57</v>
      </c>
      <c r="N61" s="829">
        <v>51632</v>
      </c>
      <c r="O61" s="825" t="s">
        <v>57</v>
      </c>
      <c r="P61" s="1226" t="s">
        <v>64</v>
      </c>
      <c r="Q61" s="1216">
        <v>45932</v>
      </c>
      <c r="R61" s="1216"/>
      <c r="S61" s="1216"/>
      <c r="T61" s="1216"/>
      <c r="U61" s="1216"/>
      <c r="V61" s="977">
        <v>3997</v>
      </c>
      <c r="W61" s="784">
        <v>3743</v>
      </c>
      <c r="X61" s="1197">
        <f t="shared" si="5"/>
        <v>254</v>
      </c>
      <c r="Y61" s="660">
        <f t="shared" si="6"/>
        <v>0.93645233925444082</v>
      </c>
      <c r="Z61" s="1216">
        <v>45960</v>
      </c>
      <c r="AA61" s="1199">
        <v>0</v>
      </c>
      <c r="AB61" s="1199">
        <v>0</v>
      </c>
      <c r="AC61" s="643">
        <v>0</v>
      </c>
      <c r="AD61" s="1200" t="s">
        <v>231</v>
      </c>
      <c r="AE61" s="1255"/>
      <c r="AF61" s="1258"/>
      <c r="AG61" s="1258"/>
      <c r="AH61" s="1258"/>
      <c r="AI61" s="1258"/>
      <c r="AJ61" s="1258"/>
      <c r="AK61" s="1258"/>
      <c r="AL61" s="1258"/>
      <c r="AM61" s="1189"/>
      <c r="AN61" s="1189"/>
      <c r="AO61" s="1189"/>
      <c r="AP61" s="1189"/>
      <c r="AQ61" s="1189"/>
      <c r="AR61" s="1189"/>
      <c r="AS61" s="1189"/>
      <c r="AT61" s="1189"/>
      <c r="AU61" s="1189"/>
      <c r="AV61" s="1189"/>
      <c r="AW61" s="1189"/>
      <c r="AX61" s="1189"/>
      <c r="AY61" s="1189"/>
      <c r="AZ61" s="1189"/>
      <c r="BA61" s="1189"/>
      <c r="BB61" s="1189"/>
      <c r="BC61" s="1189"/>
      <c r="BD61" s="1189"/>
    </row>
    <row r="62" spans="1:56" ht="24.75" customHeight="1">
      <c r="A62" s="1190" t="s">
        <v>232</v>
      </c>
      <c r="B62" s="827" t="s">
        <v>207</v>
      </c>
      <c r="C62" s="1191">
        <v>45999</v>
      </c>
      <c r="D62" s="1211" t="s">
        <v>233</v>
      </c>
      <c r="E62" s="1211">
        <v>45964</v>
      </c>
      <c r="F62" s="1212" t="s">
        <v>234</v>
      </c>
      <c r="G62" s="1211" t="s">
        <v>235</v>
      </c>
      <c r="H62" s="828">
        <v>81</v>
      </c>
      <c r="I62" s="1193" t="s">
        <v>55</v>
      </c>
      <c r="J62" s="1193" t="s">
        <v>63</v>
      </c>
      <c r="K62" s="1193"/>
      <c r="L62" s="1211"/>
      <c r="M62" s="825" t="s">
        <v>57</v>
      </c>
      <c r="N62" s="829">
        <v>68962</v>
      </c>
      <c r="O62" s="825" t="s">
        <v>57</v>
      </c>
      <c r="P62" s="1226" t="s">
        <v>101</v>
      </c>
      <c r="Q62" s="1216">
        <v>45932</v>
      </c>
      <c r="R62" s="1216"/>
      <c r="S62" s="1216"/>
      <c r="T62" s="1216"/>
      <c r="U62" s="1216"/>
      <c r="V62" s="977">
        <v>5333</v>
      </c>
      <c r="W62" s="784"/>
      <c r="X62" s="1197">
        <f t="shared" si="5"/>
        <v>5333</v>
      </c>
      <c r="Y62" s="660">
        <f t="shared" si="6"/>
        <v>0</v>
      </c>
      <c r="Z62" s="1198"/>
      <c r="AA62" s="1199">
        <v>0</v>
      </c>
      <c r="AB62" s="1199">
        <v>0</v>
      </c>
      <c r="AC62" s="643">
        <v>0</v>
      </c>
      <c r="AD62" s="1200" t="s">
        <v>236</v>
      </c>
      <c r="AE62" s="1255"/>
      <c r="AF62" s="1258"/>
      <c r="AG62" s="1258"/>
      <c r="AH62" s="1258"/>
      <c r="AI62" s="1258"/>
      <c r="AJ62" s="1258"/>
      <c r="AK62" s="1258"/>
      <c r="AL62" s="1258"/>
      <c r="AM62" s="1189"/>
      <c r="AN62" s="1189"/>
      <c r="AO62" s="1189"/>
      <c r="AP62" s="1189"/>
      <c r="AQ62" s="1189"/>
      <c r="AR62" s="1189"/>
      <c r="AS62" s="1189"/>
      <c r="AT62" s="1189"/>
      <c r="AU62" s="1189"/>
      <c r="AV62" s="1189"/>
      <c r="AW62" s="1189"/>
      <c r="AX62" s="1189"/>
      <c r="AY62" s="1189"/>
      <c r="AZ62" s="1189"/>
      <c r="BA62" s="1189"/>
      <c r="BB62" s="1189"/>
      <c r="BC62" s="1189"/>
      <c r="BD62" s="1189"/>
    </row>
    <row r="63" spans="1:56" ht="24.75" customHeight="1">
      <c r="A63" s="1259" t="s">
        <v>237</v>
      </c>
      <c r="B63" s="827" t="s">
        <v>207</v>
      </c>
      <c r="C63" s="1191">
        <v>45999</v>
      </c>
      <c r="D63" s="1211" t="s">
        <v>222</v>
      </c>
      <c r="E63" s="1211">
        <v>45975</v>
      </c>
      <c r="F63" s="1212" t="s">
        <v>223</v>
      </c>
      <c r="G63" s="1211" t="s">
        <v>238</v>
      </c>
      <c r="H63" s="828">
        <v>48</v>
      </c>
      <c r="I63" s="1193" t="s">
        <v>55</v>
      </c>
      <c r="J63" s="1193" t="s">
        <v>63</v>
      </c>
      <c r="K63" s="1193"/>
      <c r="L63" s="1211"/>
      <c r="M63" s="825" t="s">
        <v>57</v>
      </c>
      <c r="N63" s="829">
        <v>39064</v>
      </c>
      <c r="O63" s="825" t="s">
        <v>57</v>
      </c>
      <c r="P63" s="1226" t="s">
        <v>101</v>
      </c>
      <c r="Q63" s="1216">
        <v>45932</v>
      </c>
      <c r="R63" s="1216"/>
      <c r="S63" s="1216"/>
      <c r="T63" s="1216"/>
      <c r="U63" s="1216"/>
      <c r="V63" s="977">
        <v>2982</v>
      </c>
      <c r="W63" s="784"/>
      <c r="X63" s="1197">
        <f t="shared" si="5"/>
        <v>2982</v>
      </c>
      <c r="Y63" s="660">
        <f t="shared" si="6"/>
        <v>0</v>
      </c>
      <c r="Z63" s="1198"/>
      <c r="AA63" s="1199">
        <v>0</v>
      </c>
      <c r="AB63" s="1199">
        <v>0</v>
      </c>
      <c r="AC63" s="643">
        <v>0</v>
      </c>
      <c r="AD63" s="1200" t="s">
        <v>239</v>
      </c>
      <c r="AE63" s="1260"/>
    </row>
    <row r="64" spans="1:56" ht="24.75" customHeight="1">
      <c r="A64" s="1241" t="s">
        <v>240</v>
      </c>
      <c r="B64" s="827" t="s">
        <v>207</v>
      </c>
      <c r="C64" s="1191">
        <v>46249</v>
      </c>
      <c r="D64" s="1211"/>
      <c r="E64" s="1211"/>
      <c r="F64" s="1212"/>
      <c r="G64" s="1211"/>
      <c r="H64" s="1213">
        <v>52</v>
      </c>
      <c r="I64" s="825" t="s">
        <v>55</v>
      </c>
      <c r="J64" s="828" t="s">
        <v>63</v>
      </c>
      <c r="K64" s="1193" t="s">
        <v>76</v>
      </c>
      <c r="L64" s="1211"/>
      <c r="M64" s="825" t="s">
        <v>57</v>
      </c>
      <c r="N64" s="1224">
        <v>61830</v>
      </c>
      <c r="O64" s="825" t="s">
        <v>57</v>
      </c>
      <c r="P64" s="1226" t="s">
        <v>58</v>
      </c>
      <c r="Q64" s="1216"/>
      <c r="R64" s="1216"/>
      <c r="S64" s="1216"/>
      <c r="T64" s="1216"/>
      <c r="U64" s="1216"/>
      <c r="V64" s="1217">
        <v>5149</v>
      </c>
      <c r="W64" s="1197"/>
      <c r="X64" s="1197">
        <f t="shared" si="5"/>
        <v>5149</v>
      </c>
      <c r="Y64" s="660">
        <f t="shared" si="6"/>
        <v>0</v>
      </c>
      <c r="Z64" s="1198"/>
      <c r="AA64" s="1199">
        <v>0</v>
      </c>
      <c r="AB64" s="1199">
        <v>0</v>
      </c>
      <c r="AC64" s="643">
        <v>0</v>
      </c>
      <c r="AD64" s="1200" t="s">
        <v>241</v>
      </c>
      <c r="AE64" s="1260"/>
    </row>
    <row r="65" spans="1:31" ht="24.75" customHeight="1">
      <c r="A65" s="1241" t="s">
        <v>242</v>
      </c>
      <c r="B65" s="827" t="s">
        <v>207</v>
      </c>
      <c r="C65" s="1211">
        <v>46171</v>
      </c>
      <c r="D65" s="1211"/>
      <c r="E65" s="1211"/>
      <c r="F65" s="1212"/>
      <c r="G65" s="1211"/>
      <c r="H65" s="1213">
        <v>56</v>
      </c>
      <c r="I65" s="825" t="s">
        <v>55</v>
      </c>
      <c r="J65" s="828" t="s">
        <v>63</v>
      </c>
      <c r="K65" s="1193" t="s">
        <v>76</v>
      </c>
      <c r="L65" s="1211"/>
      <c r="M65" s="825" t="s">
        <v>57</v>
      </c>
      <c r="N65" s="1224">
        <v>75665</v>
      </c>
      <c r="O65" s="825" t="s">
        <v>57</v>
      </c>
      <c r="P65" s="1226" t="s">
        <v>58</v>
      </c>
      <c r="Q65" s="1216"/>
      <c r="R65" s="1216"/>
      <c r="S65" s="1216"/>
      <c r="T65" s="1216"/>
      <c r="U65" s="1216"/>
      <c r="V65" s="1217">
        <v>6249</v>
      </c>
      <c r="W65" s="1197"/>
      <c r="X65" s="1197">
        <f t="shared" si="5"/>
        <v>6249</v>
      </c>
      <c r="Y65" s="660">
        <f t="shared" si="6"/>
        <v>0</v>
      </c>
      <c r="Z65" s="1198"/>
      <c r="AA65" s="1199">
        <v>0</v>
      </c>
      <c r="AB65" s="1199">
        <v>0</v>
      </c>
      <c r="AC65" s="643">
        <v>0</v>
      </c>
      <c r="AD65" s="1200" t="s">
        <v>243</v>
      </c>
      <c r="AE65" s="1260"/>
    </row>
    <row r="66" spans="1:31" ht="24.75" customHeight="1">
      <c r="A66" s="1241" t="s">
        <v>244</v>
      </c>
      <c r="B66" s="827" t="s">
        <v>207</v>
      </c>
      <c r="C66" s="1211">
        <v>46171</v>
      </c>
      <c r="D66" s="1211"/>
      <c r="E66" s="1211"/>
      <c r="F66" s="1212"/>
      <c r="G66" s="1211" t="s">
        <v>245</v>
      </c>
      <c r="H66" s="828">
        <v>70</v>
      </c>
      <c r="I66" s="825" t="s">
        <v>55</v>
      </c>
      <c r="J66" s="828" t="s">
        <v>63</v>
      </c>
      <c r="K66" s="1193" t="s">
        <v>76</v>
      </c>
      <c r="L66" s="1211"/>
      <c r="M66" s="825" t="s">
        <v>57</v>
      </c>
      <c r="N66" s="829">
        <v>80624</v>
      </c>
      <c r="O66" s="825" t="s">
        <v>57</v>
      </c>
      <c r="P66" s="1226" t="s">
        <v>58</v>
      </c>
      <c r="Q66" s="1216"/>
      <c r="R66" s="1216"/>
      <c r="S66" s="1216"/>
      <c r="T66" s="1216"/>
      <c r="U66" s="1216"/>
      <c r="V66" s="977">
        <v>6762</v>
      </c>
      <c r="W66" s="784"/>
      <c r="X66" s="1197">
        <f t="shared" si="5"/>
        <v>6762</v>
      </c>
      <c r="Y66" s="660">
        <f t="shared" si="6"/>
        <v>0</v>
      </c>
      <c r="Z66" s="1198"/>
      <c r="AA66" s="1199">
        <v>0</v>
      </c>
      <c r="AB66" s="1199">
        <v>0</v>
      </c>
      <c r="AC66" s="643">
        <v>0</v>
      </c>
      <c r="AD66" s="1200" t="s">
        <v>246</v>
      </c>
      <c r="AE66" s="1260"/>
    </row>
    <row r="67" spans="1:31" ht="24.75" customHeight="1">
      <c r="A67" s="1241" t="s">
        <v>247</v>
      </c>
      <c r="B67" s="827" t="s">
        <v>207</v>
      </c>
      <c r="C67" s="1211">
        <v>46171</v>
      </c>
      <c r="D67" s="1211"/>
      <c r="E67" s="1211"/>
      <c r="F67" s="1212"/>
      <c r="G67" s="1211"/>
      <c r="H67" s="1213">
        <v>30</v>
      </c>
      <c r="I67" s="825" t="s">
        <v>55</v>
      </c>
      <c r="J67" s="828" t="s">
        <v>63</v>
      </c>
      <c r="K67" s="1193" t="s">
        <v>76</v>
      </c>
      <c r="L67" s="1211"/>
      <c r="M67" s="825" t="s">
        <v>57</v>
      </c>
      <c r="N67" s="1224">
        <v>45160</v>
      </c>
      <c r="O67" s="825" t="s">
        <v>57</v>
      </c>
      <c r="P67" s="1226" t="s">
        <v>58</v>
      </c>
      <c r="Q67" s="1216"/>
      <c r="R67" s="1216"/>
      <c r="S67" s="1216"/>
      <c r="T67" s="1216"/>
      <c r="U67" s="1216"/>
      <c r="V67" s="1217">
        <v>3700</v>
      </c>
      <c r="W67" s="1197"/>
      <c r="X67" s="1197">
        <f t="shared" si="5"/>
        <v>3700</v>
      </c>
      <c r="Y67" s="660">
        <f t="shared" si="6"/>
        <v>0</v>
      </c>
      <c r="Z67" s="1198"/>
      <c r="AA67" s="1199">
        <v>0</v>
      </c>
      <c r="AB67" s="1199">
        <v>0</v>
      </c>
      <c r="AC67" s="643">
        <v>0</v>
      </c>
      <c r="AD67" s="1200" t="s">
        <v>248</v>
      </c>
      <c r="AE67" s="1260"/>
    </row>
    <row r="68" spans="1:31" ht="24.75" customHeight="1">
      <c r="A68" s="1241" t="s">
        <v>249</v>
      </c>
      <c r="B68" s="827" t="s">
        <v>207</v>
      </c>
      <c r="C68" s="1211">
        <v>46171</v>
      </c>
      <c r="D68" s="1211"/>
      <c r="E68" s="1211"/>
      <c r="F68" s="1212"/>
      <c r="G68" s="1211"/>
      <c r="H68" s="828">
        <v>48</v>
      </c>
      <c r="I68" s="825" t="s">
        <v>55</v>
      </c>
      <c r="J68" s="828" t="s">
        <v>63</v>
      </c>
      <c r="K68" s="1193" t="s">
        <v>76</v>
      </c>
      <c r="L68" s="1211"/>
      <c r="M68" s="825" t="s">
        <v>57</v>
      </c>
      <c r="N68" s="829">
        <v>54814</v>
      </c>
      <c r="O68" s="825" t="s">
        <v>57</v>
      </c>
      <c r="P68" s="1226" t="s">
        <v>58</v>
      </c>
      <c r="Q68" s="1216"/>
      <c r="R68" s="1216"/>
      <c r="S68" s="1216"/>
      <c r="T68" s="1216"/>
      <c r="U68" s="1216"/>
      <c r="V68" s="977">
        <v>4515</v>
      </c>
      <c r="W68" s="784"/>
      <c r="X68" s="1197">
        <f t="shared" si="5"/>
        <v>4515</v>
      </c>
      <c r="Y68" s="660">
        <f t="shared" si="6"/>
        <v>0</v>
      </c>
      <c r="Z68" s="1198"/>
      <c r="AA68" s="1199">
        <v>0</v>
      </c>
      <c r="AB68" s="1199">
        <v>0</v>
      </c>
      <c r="AC68" s="643">
        <v>0</v>
      </c>
      <c r="AD68" s="1200" t="s">
        <v>250</v>
      </c>
      <c r="AE68" s="1260"/>
    </row>
    <row r="69" spans="1:31" ht="24.75" customHeight="1">
      <c r="A69" s="1241" t="s">
        <v>251</v>
      </c>
      <c r="B69" s="827" t="s">
        <v>207</v>
      </c>
      <c r="C69" s="1211">
        <v>46171</v>
      </c>
      <c r="D69" s="1211"/>
      <c r="E69" s="1211"/>
      <c r="F69" s="1212"/>
      <c r="G69" s="1211" t="s">
        <v>252</v>
      </c>
      <c r="H69" s="828">
        <v>60</v>
      </c>
      <c r="I69" s="825" t="s">
        <v>55</v>
      </c>
      <c r="J69" s="828" t="s">
        <v>63</v>
      </c>
      <c r="K69" s="1193" t="s">
        <v>76</v>
      </c>
      <c r="L69" s="1211"/>
      <c r="M69" s="825" t="s">
        <v>57</v>
      </c>
      <c r="N69" s="829">
        <v>76865.5</v>
      </c>
      <c r="O69" s="825" t="s">
        <v>57</v>
      </c>
      <c r="P69" s="1226" t="s">
        <v>58</v>
      </c>
      <c r="Q69" s="1216"/>
      <c r="R69" s="1216"/>
      <c r="S69" s="1216"/>
      <c r="T69" s="1216"/>
      <c r="U69" s="1216"/>
      <c r="V69" s="977">
        <v>5795</v>
      </c>
      <c r="W69" s="784"/>
      <c r="X69" s="1197">
        <f t="shared" si="5"/>
        <v>5795</v>
      </c>
      <c r="Y69" s="660">
        <f t="shared" si="6"/>
        <v>0</v>
      </c>
      <c r="Z69" s="1198"/>
      <c r="AA69" s="1199">
        <v>0</v>
      </c>
      <c r="AB69" s="1199">
        <v>0</v>
      </c>
      <c r="AC69" s="643">
        <v>0</v>
      </c>
      <c r="AD69" s="1200" t="s">
        <v>250</v>
      </c>
      <c r="AE69" s="1260"/>
    </row>
    <row r="70" spans="1:31" ht="24.75" customHeight="1">
      <c r="A70" s="1241" t="s">
        <v>253</v>
      </c>
      <c r="B70" s="827" t="s">
        <v>207</v>
      </c>
      <c r="C70" s="1211">
        <v>46171</v>
      </c>
      <c r="D70" s="1211"/>
      <c r="E70" s="1211"/>
      <c r="F70" s="1212"/>
      <c r="G70" s="1211" t="s">
        <v>254</v>
      </c>
      <c r="H70" s="828">
        <v>72</v>
      </c>
      <c r="I70" s="825" t="s">
        <v>55</v>
      </c>
      <c r="J70" s="828" t="s">
        <v>63</v>
      </c>
      <c r="K70" s="1193" t="s">
        <v>76</v>
      </c>
      <c r="L70" s="1211"/>
      <c r="M70" s="825" t="s">
        <v>57</v>
      </c>
      <c r="N70" s="829">
        <v>85035</v>
      </c>
      <c r="O70" s="825" t="s">
        <v>57</v>
      </c>
      <c r="P70" s="1226" t="s">
        <v>58</v>
      </c>
      <c r="Q70" s="1216"/>
      <c r="R70" s="1216"/>
      <c r="S70" s="1216"/>
      <c r="T70" s="1216"/>
      <c r="U70" s="1216"/>
      <c r="V70" s="977">
        <v>7140</v>
      </c>
      <c r="W70" s="784"/>
      <c r="X70" s="1197">
        <f t="shared" si="5"/>
        <v>7140</v>
      </c>
      <c r="Y70" s="660">
        <f t="shared" si="6"/>
        <v>0</v>
      </c>
      <c r="Z70" s="1198"/>
      <c r="AA70" s="1199">
        <v>0</v>
      </c>
      <c r="AB70" s="1199">
        <v>0</v>
      </c>
      <c r="AC70" s="643">
        <v>0</v>
      </c>
      <c r="AD70" s="1200" t="s">
        <v>250</v>
      </c>
      <c r="AE70" s="1260"/>
    </row>
    <row r="71" spans="1:31" ht="24.75" customHeight="1">
      <c r="A71" s="1241" t="s">
        <v>255</v>
      </c>
      <c r="B71" s="827" t="s">
        <v>207</v>
      </c>
      <c r="C71" s="1191">
        <v>45997</v>
      </c>
      <c r="D71" s="1211"/>
      <c r="E71" s="1211"/>
      <c r="F71" s="1212"/>
      <c r="G71" s="1211"/>
      <c r="H71" s="1213">
        <v>20</v>
      </c>
      <c r="I71" s="825" t="s">
        <v>55</v>
      </c>
      <c r="J71" s="828" t="s">
        <v>63</v>
      </c>
      <c r="K71" s="1193" t="s">
        <v>76</v>
      </c>
      <c r="L71" s="1211"/>
      <c r="M71" s="825" t="s">
        <v>57</v>
      </c>
      <c r="N71" s="1224">
        <v>23501</v>
      </c>
      <c r="O71" s="825" t="s">
        <v>57</v>
      </c>
      <c r="P71" s="1226" t="s">
        <v>58</v>
      </c>
      <c r="Q71" s="1216"/>
      <c r="R71" s="1216"/>
      <c r="S71" s="1216"/>
      <c r="T71" s="1216"/>
      <c r="U71" s="1216"/>
      <c r="V71" s="1217">
        <v>1831</v>
      </c>
      <c r="W71" s="1197"/>
      <c r="X71" s="1197">
        <f t="shared" si="5"/>
        <v>1831</v>
      </c>
      <c r="Y71" s="660">
        <f t="shared" si="6"/>
        <v>0</v>
      </c>
      <c r="Z71" s="1198"/>
      <c r="AA71" s="1199">
        <v>0</v>
      </c>
      <c r="AB71" s="1199">
        <v>0</v>
      </c>
      <c r="AC71" s="643">
        <v>0</v>
      </c>
      <c r="AD71" s="1200" t="s">
        <v>243</v>
      </c>
      <c r="AE71" s="1260"/>
    </row>
    <row r="72" spans="1:31" ht="24.75" customHeight="1">
      <c r="A72" s="1331" t="s">
        <v>256</v>
      </c>
      <c r="B72" s="827" t="s">
        <v>207</v>
      </c>
      <c r="C72" s="1332">
        <v>46052</v>
      </c>
      <c r="D72" s="1334"/>
      <c r="E72" s="1334"/>
      <c r="F72" s="1333"/>
      <c r="G72" s="1211"/>
      <c r="H72" s="1496"/>
      <c r="I72" s="825" t="s">
        <v>55</v>
      </c>
      <c r="J72" s="828" t="s">
        <v>63</v>
      </c>
      <c r="K72" s="1487"/>
      <c r="L72" s="1334"/>
      <c r="M72" s="825" t="s">
        <v>57</v>
      </c>
      <c r="N72" s="1493">
        <v>36998.550000000003</v>
      </c>
      <c r="O72" s="825" t="s">
        <v>57</v>
      </c>
      <c r="P72" s="1226" t="s">
        <v>58</v>
      </c>
      <c r="Q72" s="1494"/>
      <c r="R72" s="1494"/>
      <c r="S72" s="1494"/>
      <c r="T72" s="1494"/>
      <c r="U72" s="1494"/>
      <c r="V72" s="1495">
        <v>2944</v>
      </c>
      <c r="W72" s="1491"/>
      <c r="X72" s="1491">
        <f>SUM(V72-W72)</f>
        <v>2944</v>
      </c>
      <c r="Y72" s="660">
        <f>IFERROR($W72/$V72, 0)</f>
        <v>0</v>
      </c>
      <c r="Z72" s="1497"/>
      <c r="AA72" s="1199">
        <v>0</v>
      </c>
      <c r="AB72" s="1199">
        <v>0</v>
      </c>
      <c r="AC72" s="643">
        <v>0</v>
      </c>
      <c r="AD72" s="1200"/>
      <c r="AE72" s="1260"/>
    </row>
    <row r="73" spans="1:31" ht="24.75" customHeight="1">
      <c r="A73" s="1241" t="s">
        <v>257</v>
      </c>
      <c r="B73" s="827" t="s">
        <v>207</v>
      </c>
      <c r="C73" s="1191">
        <v>46112</v>
      </c>
      <c r="D73" s="1211"/>
      <c r="E73" s="1211"/>
      <c r="F73" s="1212"/>
      <c r="G73" s="1211" t="s">
        <v>258</v>
      </c>
      <c r="H73" s="1213">
        <v>0</v>
      </c>
      <c r="I73" s="1193" t="s">
        <v>55</v>
      </c>
      <c r="J73" s="1193" t="s">
        <v>91</v>
      </c>
      <c r="K73" s="1193" t="s">
        <v>115</v>
      </c>
      <c r="L73" s="1211"/>
      <c r="M73" s="1213" t="s">
        <v>57</v>
      </c>
      <c r="N73" s="1224">
        <v>11518.95</v>
      </c>
      <c r="O73" s="1213" t="s">
        <v>57</v>
      </c>
      <c r="P73" s="1226" t="s">
        <v>58</v>
      </c>
      <c r="Q73" s="1216"/>
      <c r="R73" s="1216"/>
      <c r="S73" s="1216"/>
      <c r="T73" s="1216"/>
      <c r="U73" s="1216"/>
      <c r="V73" s="1261">
        <v>881</v>
      </c>
      <c r="W73" s="1197"/>
      <c r="X73" s="1197">
        <f t="shared" si="5"/>
        <v>881</v>
      </c>
      <c r="Y73" s="660">
        <f t="shared" si="6"/>
        <v>0</v>
      </c>
      <c r="Z73" s="1198"/>
      <c r="AA73" s="1199">
        <v>0</v>
      </c>
      <c r="AB73" s="1199">
        <v>0</v>
      </c>
      <c r="AC73" s="643">
        <v>0</v>
      </c>
      <c r="AD73" s="1200" t="s">
        <v>259</v>
      </c>
      <c r="AE73" s="1260"/>
    </row>
    <row r="74" spans="1:31" ht="24.75" customHeight="1">
      <c r="A74" s="1190" t="s">
        <v>260</v>
      </c>
      <c r="B74" s="827" t="s">
        <v>207</v>
      </c>
      <c r="C74" s="1191">
        <v>46112</v>
      </c>
      <c r="D74" s="1211"/>
      <c r="E74" s="1211"/>
      <c r="F74" s="1212"/>
      <c r="G74" s="1211" t="s">
        <v>261</v>
      </c>
      <c r="H74" s="1213">
        <v>20</v>
      </c>
      <c r="I74" s="825" t="s">
        <v>55</v>
      </c>
      <c r="J74" s="828" t="s">
        <v>63</v>
      </c>
      <c r="K74" s="1193"/>
      <c r="L74" s="1211"/>
      <c r="M74" s="1213" t="s">
        <v>57</v>
      </c>
      <c r="N74" s="1224">
        <v>1733.25</v>
      </c>
      <c r="O74" s="1213" t="s">
        <v>57</v>
      </c>
      <c r="P74" s="1226" t="s">
        <v>101</v>
      </c>
      <c r="Q74" s="1216">
        <v>45979</v>
      </c>
      <c r="R74" s="1216"/>
      <c r="S74" s="1216"/>
      <c r="T74" s="1216"/>
      <c r="U74" s="1216"/>
      <c r="V74" s="1217">
        <v>255</v>
      </c>
      <c r="W74" s="1197"/>
      <c r="X74" s="1197">
        <f>SUM(V74-W74)</f>
        <v>255</v>
      </c>
      <c r="Y74" s="660">
        <f>IFERROR($W74/$V74, 0)</f>
        <v>0</v>
      </c>
      <c r="Z74" s="1198"/>
      <c r="AA74" s="1199">
        <v>0</v>
      </c>
      <c r="AB74" s="1199">
        <v>0</v>
      </c>
      <c r="AC74" s="643">
        <v>0</v>
      </c>
      <c r="AD74" s="1262" t="s">
        <v>262</v>
      </c>
      <c r="AE74" s="1260"/>
    </row>
    <row r="75" spans="1:31" ht="24.75" customHeight="1">
      <c r="A75" s="1190" t="s">
        <v>263</v>
      </c>
      <c r="B75" s="827" t="s">
        <v>207</v>
      </c>
      <c r="C75" s="1191">
        <v>46099</v>
      </c>
      <c r="D75" s="1211"/>
      <c r="E75" s="1211"/>
      <c r="F75" s="1212"/>
      <c r="G75" s="1211"/>
      <c r="H75" s="1213">
        <v>0</v>
      </c>
      <c r="I75" s="825" t="s">
        <v>55</v>
      </c>
      <c r="J75" s="828" t="s">
        <v>63</v>
      </c>
      <c r="K75" s="1193"/>
      <c r="L75" s="1211"/>
      <c r="M75" s="825" t="s">
        <v>57</v>
      </c>
      <c r="N75" s="1224">
        <v>18270.8</v>
      </c>
      <c r="O75" s="825" t="s">
        <v>57</v>
      </c>
      <c r="P75" s="1226" t="s">
        <v>58</v>
      </c>
      <c r="Q75" s="1216"/>
      <c r="R75" s="1216"/>
      <c r="S75" s="1216"/>
      <c r="T75" s="1216"/>
      <c r="U75" s="1216"/>
      <c r="V75" s="1217">
        <v>1388</v>
      </c>
      <c r="W75" s="1197"/>
      <c r="X75" s="1197">
        <f>SUM(V75-W75)</f>
        <v>1388</v>
      </c>
      <c r="Y75" s="660">
        <f>IFERROR($W75/$V75, 0)</f>
        <v>0</v>
      </c>
      <c r="Z75" s="1198"/>
      <c r="AA75" s="1199">
        <v>0</v>
      </c>
      <c r="AB75" s="1199">
        <v>0</v>
      </c>
      <c r="AC75" s="1217">
        <v>0</v>
      </c>
      <c r="AD75" s="1200" t="s">
        <v>264</v>
      </c>
      <c r="AE75" s="1260"/>
    </row>
    <row r="76" spans="1:31" ht="24.75" customHeight="1">
      <c r="A76" s="1190" t="s">
        <v>265</v>
      </c>
      <c r="B76" s="827" t="s">
        <v>207</v>
      </c>
      <c r="C76" s="1191">
        <v>46040</v>
      </c>
      <c r="D76" s="1212" t="s">
        <v>266</v>
      </c>
      <c r="E76" s="1211">
        <v>45867</v>
      </c>
      <c r="F76" s="1212" t="s">
        <v>234</v>
      </c>
      <c r="G76" s="1212" t="s">
        <v>267</v>
      </c>
      <c r="H76" s="1213">
        <v>0</v>
      </c>
      <c r="I76" s="825" t="s">
        <v>55</v>
      </c>
      <c r="J76" s="1213" t="s">
        <v>63</v>
      </c>
      <c r="K76" s="1193"/>
      <c r="L76" s="1211"/>
      <c r="M76" s="1213" t="s">
        <v>57</v>
      </c>
      <c r="N76" s="1224">
        <v>144972.5</v>
      </c>
      <c r="O76" s="1213" t="s">
        <v>57</v>
      </c>
      <c r="P76" s="1195" t="s">
        <v>64</v>
      </c>
      <c r="Q76" s="1216">
        <v>45867</v>
      </c>
      <c r="R76" s="1216"/>
      <c r="S76" s="1216"/>
      <c r="T76" s="1216"/>
      <c r="U76" s="1216"/>
      <c r="V76" s="977">
        <v>8622</v>
      </c>
      <c r="W76" s="1438">
        <v>6793</v>
      </c>
      <c r="X76" s="1197">
        <f>SUM(V76-W76)</f>
        <v>1829</v>
      </c>
      <c r="Y76" s="660">
        <f>IFERROR($W76/$V76, 0)</f>
        <v>0.78786824402690792</v>
      </c>
      <c r="Z76" s="1216">
        <v>45884</v>
      </c>
      <c r="AA76" s="1199">
        <v>0</v>
      </c>
      <c r="AB76" s="1199">
        <v>0</v>
      </c>
      <c r="AC76" s="1217">
        <v>0</v>
      </c>
      <c r="AD76" s="1200" t="s">
        <v>268</v>
      </c>
      <c r="AE76" s="1260"/>
    </row>
    <row r="77" spans="1:31" ht="24.75" customHeight="1">
      <c r="A77" s="1259" t="s">
        <v>269</v>
      </c>
      <c r="B77" s="827" t="s">
        <v>207</v>
      </c>
      <c r="C77" s="1211">
        <v>46011</v>
      </c>
      <c r="D77" s="1212" t="s">
        <v>233</v>
      </c>
      <c r="E77" s="1211">
        <v>45923</v>
      </c>
      <c r="F77" s="1212" t="s">
        <v>234</v>
      </c>
      <c r="G77" s="1212" t="s">
        <v>270</v>
      </c>
      <c r="H77" s="1213">
        <v>0</v>
      </c>
      <c r="I77" s="825" t="s">
        <v>55</v>
      </c>
      <c r="J77" s="1213" t="s">
        <v>63</v>
      </c>
      <c r="K77" s="1193"/>
      <c r="L77" s="1211"/>
      <c r="M77" s="1213" t="s">
        <v>57</v>
      </c>
      <c r="N77" s="1224">
        <v>139581.6</v>
      </c>
      <c r="O77" s="1213" t="s">
        <v>57</v>
      </c>
      <c r="P77" s="1226" t="s">
        <v>101</v>
      </c>
      <c r="Q77" s="1216">
        <v>45918</v>
      </c>
      <c r="R77" s="1216"/>
      <c r="S77" s="1216"/>
      <c r="T77" s="1216"/>
      <c r="U77" s="1216"/>
      <c r="V77" s="977">
        <v>11150</v>
      </c>
      <c r="W77" s="1437">
        <v>10774</v>
      </c>
      <c r="X77" s="1197">
        <f>SUM(V77-W77)</f>
        <v>376</v>
      </c>
      <c r="Y77" s="660">
        <f>IFERROR($W77/$V77, 0)</f>
        <v>0.96627802690582965</v>
      </c>
      <c r="Z77" s="1216">
        <v>46027</v>
      </c>
      <c r="AA77" s="1199">
        <v>0</v>
      </c>
      <c r="AB77" s="1199">
        <v>0</v>
      </c>
      <c r="AC77" s="1217">
        <v>0</v>
      </c>
      <c r="AD77" s="1231" t="s">
        <v>271</v>
      </c>
      <c r="AE77" s="1260"/>
    </row>
    <row r="78" spans="1:31" ht="24.75" customHeight="1">
      <c r="A78" s="1190" t="s">
        <v>272</v>
      </c>
      <c r="B78" s="827" t="s">
        <v>207</v>
      </c>
      <c r="C78" s="1191">
        <v>46112</v>
      </c>
      <c r="D78" s="1212"/>
      <c r="E78" s="1211"/>
      <c r="F78" s="1212"/>
      <c r="G78" s="1212" t="s">
        <v>273</v>
      </c>
      <c r="H78" s="1213">
        <v>0</v>
      </c>
      <c r="I78" s="825" t="s">
        <v>55</v>
      </c>
      <c r="J78" s="1213" t="s">
        <v>63</v>
      </c>
      <c r="K78" s="1193"/>
      <c r="L78" s="1211"/>
      <c r="M78" s="1213" t="s">
        <v>57</v>
      </c>
      <c r="N78" s="1224">
        <v>3995.4</v>
      </c>
      <c r="O78" s="1213" t="s">
        <v>57</v>
      </c>
      <c r="P78" s="1226" t="s">
        <v>101</v>
      </c>
      <c r="Q78" s="1216">
        <v>45979</v>
      </c>
      <c r="R78" s="1216"/>
      <c r="S78" s="1216"/>
      <c r="T78" s="1216"/>
      <c r="U78" s="1216"/>
      <c r="V78" s="1217">
        <v>294</v>
      </c>
      <c r="W78" s="1197"/>
      <c r="X78" s="1197">
        <f t="shared" si="5"/>
        <v>294</v>
      </c>
      <c r="Y78" s="660">
        <f t="shared" si="6"/>
        <v>0</v>
      </c>
      <c r="Z78" s="1198"/>
      <c r="AA78" s="1199">
        <v>0</v>
      </c>
      <c r="AB78" s="1199">
        <v>0</v>
      </c>
      <c r="AC78" s="1217">
        <v>0</v>
      </c>
      <c r="AD78" s="1200" t="s">
        <v>274</v>
      </c>
      <c r="AE78" s="1260"/>
    </row>
    <row r="79" spans="1:31" ht="24.75" customHeight="1">
      <c r="A79" s="1190" t="s">
        <v>275</v>
      </c>
      <c r="B79" s="827" t="s">
        <v>207</v>
      </c>
      <c r="C79" s="1191">
        <v>46040</v>
      </c>
      <c r="D79" s="1212"/>
      <c r="E79" s="1211"/>
      <c r="F79" s="1212"/>
      <c r="G79" s="1212" t="s">
        <v>276</v>
      </c>
      <c r="H79" s="1213">
        <v>0</v>
      </c>
      <c r="I79" s="825" t="s">
        <v>55</v>
      </c>
      <c r="J79" s="1213" t="s">
        <v>63</v>
      </c>
      <c r="K79" s="1193"/>
      <c r="L79" s="1211"/>
      <c r="M79" s="1213" t="s">
        <v>57</v>
      </c>
      <c r="N79" s="1224">
        <v>18171.599999999999</v>
      </c>
      <c r="O79" s="1213" t="s">
        <v>57</v>
      </c>
      <c r="P79" s="1226" t="s">
        <v>101</v>
      </c>
      <c r="Q79" s="1216">
        <v>45979</v>
      </c>
      <c r="R79" s="1216"/>
      <c r="S79" s="1216"/>
      <c r="T79" s="1216"/>
      <c r="U79" s="1216"/>
      <c r="V79" s="1217">
        <v>1514</v>
      </c>
      <c r="W79" s="1197"/>
      <c r="X79" s="1197">
        <f>SUM(V79-W79)</f>
        <v>1514</v>
      </c>
      <c r="Y79" s="660">
        <f>IFERROR($W79/$V79, 0)</f>
        <v>0</v>
      </c>
      <c r="Z79" s="1198"/>
      <c r="AA79" s="1199">
        <v>0</v>
      </c>
      <c r="AB79" s="1199">
        <v>0</v>
      </c>
      <c r="AC79" s="1217">
        <v>0</v>
      </c>
      <c r="AD79" s="1200" t="s">
        <v>277</v>
      </c>
      <c r="AE79" s="1260"/>
    </row>
    <row r="80" spans="1:31" ht="24.75" customHeight="1">
      <c r="A80" s="1190" t="s">
        <v>278</v>
      </c>
      <c r="B80" s="827" t="s">
        <v>207</v>
      </c>
      <c r="C80" s="1191">
        <v>46040</v>
      </c>
      <c r="D80" s="1212"/>
      <c r="E80" s="1211"/>
      <c r="F80" s="1212"/>
      <c r="G80" s="1212" t="s">
        <v>279</v>
      </c>
      <c r="H80" s="1213">
        <v>0</v>
      </c>
      <c r="I80" s="825" t="s">
        <v>55</v>
      </c>
      <c r="J80" s="1213" t="s">
        <v>63</v>
      </c>
      <c r="K80" s="1193"/>
      <c r="L80" s="1211"/>
      <c r="M80" s="1213" t="s">
        <v>57</v>
      </c>
      <c r="N80" s="1224">
        <v>1675.2</v>
      </c>
      <c r="O80" s="1213" t="s">
        <v>57</v>
      </c>
      <c r="P80" s="1226" t="s">
        <v>101</v>
      </c>
      <c r="Q80" s="1216">
        <v>45979</v>
      </c>
      <c r="R80" s="1216"/>
      <c r="S80" s="1216"/>
      <c r="T80" s="1216"/>
      <c r="U80" s="1216"/>
      <c r="V80" s="1217">
        <v>123</v>
      </c>
      <c r="W80" s="1197"/>
      <c r="X80" s="1197">
        <f t="shared" si="5"/>
        <v>123</v>
      </c>
      <c r="Y80" s="660">
        <f t="shared" si="6"/>
        <v>0</v>
      </c>
      <c r="Z80" s="1198"/>
      <c r="AA80" s="1199">
        <v>0</v>
      </c>
      <c r="AB80" s="1199">
        <v>0</v>
      </c>
      <c r="AC80" s="1217">
        <v>0</v>
      </c>
      <c r="AD80" s="1200" t="s">
        <v>280</v>
      </c>
      <c r="AE80" s="1260"/>
    </row>
    <row r="81" spans="1:31" ht="24.75" customHeight="1">
      <c r="A81" s="1190" t="s">
        <v>281</v>
      </c>
      <c r="B81" s="827" t="s">
        <v>207</v>
      </c>
      <c r="C81" s="1191">
        <v>46040</v>
      </c>
      <c r="D81" s="1212"/>
      <c r="E81" s="1211"/>
      <c r="F81" s="1212"/>
      <c r="G81" s="1212"/>
      <c r="H81" s="1213">
        <v>0</v>
      </c>
      <c r="I81" s="825" t="s">
        <v>55</v>
      </c>
      <c r="J81" s="1213" t="s">
        <v>63</v>
      </c>
      <c r="K81" s="1193"/>
      <c r="L81" s="1211"/>
      <c r="M81" s="1213" t="s">
        <v>57</v>
      </c>
      <c r="N81" s="1224">
        <v>45312.55</v>
      </c>
      <c r="O81" s="1213" t="s">
        <v>57</v>
      </c>
      <c r="P81" s="1195" t="s">
        <v>58</v>
      </c>
      <c r="Q81" s="1216"/>
      <c r="R81" s="1216"/>
      <c r="S81" s="1216"/>
      <c r="T81" s="1216"/>
      <c r="U81" s="1216"/>
      <c r="V81" s="1217">
        <v>3683</v>
      </c>
      <c r="W81" s="1197"/>
      <c r="X81" s="1197">
        <f>SUM(V81-W81)</f>
        <v>3683</v>
      </c>
      <c r="Y81" s="660">
        <f>IFERROR($W81/$V81, 0)</f>
        <v>0</v>
      </c>
      <c r="Z81" s="1216"/>
      <c r="AA81" s="1199">
        <v>0</v>
      </c>
      <c r="AB81" s="1199">
        <v>0</v>
      </c>
      <c r="AC81" s="1217">
        <v>0</v>
      </c>
      <c r="AD81" s="1200" t="s">
        <v>282</v>
      </c>
      <c r="AE81" s="1260"/>
    </row>
    <row r="82" spans="1:31" ht="24.75" customHeight="1">
      <c r="A82" s="1190" t="s">
        <v>283</v>
      </c>
      <c r="B82" s="827" t="s">
        <v>207</v>
      </c>
      <c r="C82" s="1191">
        <v>46053</v>
      </c>
      <c r="D82" s="1333"/>
      <c r="E82" s="1334"/>
      <c r="F82" s="1333"/>
      <c r="G82" s="1212"/>
      <c r="H82" s="1213">
        <v>0</v>
      </c>
      <c r="I82" s="825" t="s">
        <v>55</v>
      </c>
      <c r="J82" s="1213" t="s">
        <v>63</v>
      </c>
      <c r="K82" s="1487"/>
      <c r="L82" s="1334"/>
      <c r="M82" s="1213" t="s">
        <v>57</v>
      </c>
      <c r="N82" s="1493">
        <v>118710.8</v>
      </c>
      <c r="O82" s="1213" t="s">
        <v>57</v>
      </c>
      <c r="P82" s="1195" t="s">
        <v>58</v>
      </c>
      <c r="Q82" s="1494"/>
      <c r="R82" s="1494"/>
      <c r="S82" s="1494"/>
      <c r="T82" s="1494"/>
      <c r="U82" s="1494"/>
      <c r="V82" s="1495">
        <v>9628</v>
      </c>
      <c r="W82" s="1491"/>
      <c r="X82" s="1491">
        <f>SUM(V82-W82)</f>
        <v>9628</v>
      </c>
      <c r="Y82" s="660">
        <f>IFERROR($W82/$V82, 0)</f>
        <v>0</v>
      </c>
      <c r="Z82" s="1494"/>
      <c r="AA82" s="1199">
        <v>0</v>
      </c>
      <c r="AB82" s="1199">
        <v>0</v>
      </c>
      <c r="AC82" s="1217">
        <v>0</v>
      </c>
      <c r="AD82" s="1200"/>
      <c r="AE82" s="1260"/>
    </row>
    <row r="83" spans="1:31" ht="24.75" customHeight="1">
      <c r="A83" s="1190" t="s">
        <v>284</v>
      </c>
      <c r="B83" s="827" t="s">
        <v>207</v>
      </c>
      <c r="C83" s="1191">
        <v>46045</v>
      </c>
      <c r="D83" s="1212"/>
      <c r="E83" s="1211"/>
      <c r="F83" s="1212"/>
      <c r="G83" s="1212" t="s">
        <v>285</v>
      </c>
      <c r="H83" s="1213">
        <v>0</v>
      </c>
      <c r="I83" s="825" t="s">
        <v>55</v>
      </c>
      <c r="J83" s="1213" t="s">
        <v>63</v>
      </c>
      <c r="K83" s="1193"/>
      <c r="L83" s="1211"/>
      <c r="M83" s="1213" t="s">
        <v>57</v>
      </c>
      <c r="N83" s="1224">
        <v>105558.2</v>
      </c>
      <c r="O83" s="1213" t="s">
        <v>57</v>
      </c>
      <c r="P83" s="1226" t="s">
        <v>101</v>
      </c>
      <c r="Q83" s="1216">
        <v>45978</v>
      </c>
      <c r="R83" s="1216"/>
      <c r="S83" s="1216"/>
      <c r="T83" s="1216"/>
      <c r="U83" s="1216"/>
      <c r="V83" s="1217">
        <v>7753</v>
      </c>
      <c r="W83" s="1197"/>
      <c r="X83" s="1197">
        <f>SUM(V83-W83)</f>
        <v>7753</v>
      </c>
      <c r="Y83" s="660">
        <f>IFERROR($W83/$V83, 0)</f>
        <v>0</v>
      </c>
      <c r="Z83" s="1198"/>
      <c r="AA83" s="1199">
        <v>0</v>
      </c>
      <c r="AB83" s="1199">
        <v>0</v>
      </c>
      <c r="AC83" s="1217">
        <v>0</v>
      </c>
      <c r="AD83" s="1200" t="s">
        <v>286</v>
      </c>
      <c r="AE83" s="1260"/>
    </row>
    <row r="84" spans="1:31" ht="24.75" customHeight="1">
      <c r="A84" s="1241" t="s">
        <v>287</v>
      </c>
      <c r="B84" s="827" t="s">
        <v>207</v>
      </c>
      <c r="C84" s="1191">
        <v>46096</v>
      </c>
      <c r="D84" s="1212"/>
      <c r="E84" s="1211"/>
      <c r="F84" s="1212"/>
      <c r="G84" s="1212"/>
      <c r="H84" s="1213">
        <v>0</v>
      </c>
      <c r="I84" s="825" t="s">
        <v>55</v>
      </c>
      <c r="J84" s="1213" t="s">
        <v>63</v>
      </c>
      <c r="K84" s="1193"/>
      <c r="L84" s="1211"/>
      <c r="M84" s="1213" t="s">
        <v>57</v>
      </c>
      <c r="N84" s="1224">
        <v>73653.899999999994</v>
      </c>
      <c r="O84" s="1213" t="s">
        <v>57</v>
      </c>
      <c r="P84" s="1226" t="s">
        <v>58</v>
      </c>
      <c r="Q84" s="1216"/>
      <c r="R84" s="1216"/>
      <c r="S84" s="1216"/>
      <c r="T84" s="1216"/>
      <c r="U84" s="1216"/>
      <c r="V84" s="977">
        <v>5394</v>
      </c>
      <c r="W84" s="1197"/>
      <c r="X84" s="1197">
        <f t="shared" si="5"/>
        <v>5394</v>
      </c>
      <c r="Y84" s="660">
        <f t="shared" si="6"/>
        <v>0</v>
      </c>
      <c r="Z84" s="1198"/>
      <c r="AA84" s="1199">
        <v>0</v>
      </c>
      <c r="AB84" s="1199">
        <v>0</v>
      </c>
      <c r="AC84" s="1217">
        <v>0</v>
      </c>
      <c r="AD84" s="1231"/>
      <c r="AE84" s="1260"/>
    </row>
    <row r="85" spans="1:31" ht="24.75" customHeight="1">
      <c r="A85" s="1241" t="s">
        <v>288</v>
      </c>
      <c r="B85" s="827" t="s">
        <v>207</v>
      </c>
      <c r="C85" s="1191">
        <v>46112</v>
      </c>
      <c r="D85" s="1212"/>
      <c r="E85" s="1211"/>
      <c r="F85" s="1212"/>
      <c r="G85" s="1212"/>
      <c r="H85" s="1213">
        <v>0</v>
      </c>
      <c r="I85" s="825" t="s">
        <v>55</v>
      </c>
      <c r="J85" s="1213" t="s">
        <v>63</v>
      </c>
      <c r="K85" s="1193"/>
      <c r="L85" s="1211"/>
      <c r="M85" s="1213" t="s">
        <v>57</v>
      </c>
      <c r="N85" s="1224">
        <v>6526.35</v>
      </c>
      <c r="O85" s="1213" t="s">
        <v>57</v>
      </c>
      <c r="P85" s="1226" t="s">
        <v>58</v>
      </c>
      <c r="Q85" s="1216"/>
      <c r="R85" s="1216"/>
      <c r="S85" s="1216"/>
      <c r="T85" s="1216"/>
      <c r="U85" s="1216"/>
      <c r="V85" s="1217">
        <v>411</v>
      </c>
      <c r="W85" s="1197"/>
      <c r="X85" s="1197">
        <f t="shared" si="5"/>
        <v>411</v>
      </c>
      <c r="Y85" s="660">
        <f t="shared" si="6"/>
        <v>0</v>
      </c>
      <c r="Z85" s="1198"/>
      <c r="AA85" s="1199">
        <v>0</v>
      </c>
      <c r="AB85" s="1199">
        <v>0</v>
      </c>
      <c r="AC85" s="1217">
        <v>0</v>
      </c>
      <c r="AD85" s="1200" t="s">
        <v>241</v>
      </c>
      <c r="AE85" s="1260"/>
    </row>
    <row r="86" spans="1:31" ht="24.75" customHeight="1">
      <c r="A86" s="1241" t="s">
        <v>289</v>
      </c>
      <c r="B86" s="827" t="s">
        <v>207</v>
      </c>
      <c r="C86" s="1211">
        <v>46030</v>
      </c>
      <c r="D86" s="1212"/>
      <c r="E86" s="1211"/>
      <c r="F86" s="1212"/>
      <c r="G86" s="1212" t="s">
        <v>290</v>
      </c>
      <c r="H86" s="1213">
        <v>0</v>
      </c>
      <c r="I86" s="825" t="s">
        <v>55</v>
      </c>
      <c r="J86" s="828" t="s">
        <v>63</v>
      </c>
      <c r="K86" s="1193" t="s">
        <v>76</v>
      </c>
      <c r="L86" s="1211"/>
      <c r="M86" s="1213" t="s">
        <v>57</v>
      </c>
      <c r="N86" s="1224">
        <v>170309.8</v>
      </c>
      <c r="O86" s="1213" t="s">
        <v>57</v>
      </c>
      <c r="P86" s="1226" t="s">
        <v>58</v>
      </c>
      <c r="Q86" s="1216"/>
      <c r="R86" s="1216"/>
      <c r="S86" s="1216"/>
      <c r="T86" s="1216"/>
      <c r="U86" s="1216"/>
      <c r="V86" s="1217">
        <v>13379</v>
      </c>
      <c r="W86" s="1197"/>
      <c r="X86" s="1197">
        <f>SUM(V86-W86)</f>
        <v>13379</v>
      </c>
      <c r="Y86" s="660">
        <f>IFERROR($W86/$V86, 0)</f>
        <v>0</v>
      </c>
      <c r="Z86" s="1198"/>
      <c r="AA86" s="1199">
        <v>0</v>
      </c>
      <c r="AB86" s="1199">
        <v>0</v>
      </c>
      <c r="AC86" s="1217">
        <v>0</v>
      </c>
      <c r="AD86" s="1200" t="s">
        <v>291</v>
      </c>
      <c r="AE86" s="1260"/>
    </row>
    <row r="87" spans="1:31" ht="24.75" customHeight="1">
      <c r="A87" s="1190" t="s">
        <v>292</v>
      </c>
      <c r="B87" s="827" t="s">
        <v>207</v>
      </c>
      <c r="C87" s="1191">
        <v>46040</v>
      </c>
      <c r="D87" s="1212"/>
      <c r="E87" s="1211"/>
      <c r="F87" s="1212"/>
      <c r="G87" s="1212"/>
      <c r="H87" s="1213">
        <v>76</v>
      </c>
      <c r="I87" s="825" t="s">
        <v>55</v>
      </c>
      <c r="J87" s="828" t="s">
        <v>63</v>
      </c>
      <c r="K87" s="1193"/>
      <c r="L87" s="1211"/>
      <c r="M87" s="1213" t="s">
        <v>57</v>
      </c>
      <c r="N87" s="1224">
        <v>64325</v>
      </c>
      <c r="O87" s="1213" t="s">
        <v>57</v>
      </c>
      <c r="P87" s="1226" t="s">
        <v>58</v>
      </c>
      <c r="Q87" s="1216"/>
      <c r="R87" s="1216"/>
      <c r="S87" s="1216"/>
      <c r="T87" s="1216"/>
      <c r="U87" s="1216"/>
      <c r="V87" s="1217">
        <v>6160</v>
      </c>
      <c r="W87" s="1197"/>
      <c r="X87" s="1197">
        <f>SUM(V87-W87)</f>
        <v>6160</v>
      </c>
      <c r="Y87" s="660">
        <f>IFERROR($W87/$V87, 0)</f>
        <v>0</v>
      </c>
      <c r="Z87" s="1198"/>
      <c r="AA87" s="1199">
        <v>0</v>
      </c>
      <c r="AB87" s="1199">
        <v>0</v>
      </c>
      <c r="AC87" s="1217">
        <v>0</v>
      </c>
      <c r="AD87" s="1200"/>
      <c r="AE87" s="1260"/>
    </row>
    <row r="88" spans="1:31" ht="24.75" customHeight="1">
      <c r="A88" s="1331" t="s">
        <v>293</v>
      </c>
      <c r="B88" s="827" t="s">
        <v>207</v>
      </c>
      <c r="C88" s="1191">
        <v>46040</v>
      </c>
      <c r="D88" s="1333" t="s">
        <v>60</v>
      </c>
      <c r="E88" s="1334">
        <v>46027</v>
      </c>
      <c r="F88" s="1333" t="s">
        <v>234</v>
      </c>
      <c r="G88" s="1212"/>
      <c r="H88" s="1496">
        <v>109</v>
      </c>
      <c r="I88" s="825" t="s">
        <v>55</v>
      </c>
      <c r="J88" s="828" t="s">
        <v>63</v>
      </c>
      <c r="K88" s="1487"/>
      <c r="L88" s="1334">
        <v>45663</v>
      </c>
      <c r="M88" s="1496" t="s">
        <v>92</v>
      </c>
      <c r="N88" s="1493"/>
      <c r="O88" s="1496" t="s">
        <v>57</v>
      </c>
      <c r="P88" s="1498" t="s">
        <v>64</v>
      </c>
      <c r="Q88" s="1494">
        <v>46008</v>
      </c>
      <c r="R88" s="1494"/>
      <c r="S88" s="1494"/>
      <c r="T88" s="1494"/>
      <c r="U88" s="1494"/>
      <c r="V88" s="1495">
        <v>6825</v>
      </c>
      <c r="W88" s="1499">
        <v>2831</v>
      </c>
      <c r="X88" s="1491">
        <f>SUM(V88-W88)</f>
        <v>3994</v>
      </c>
      <c r="Y88" s="660">
        <f>IFERROR($W88/$V88, 0)</f>
        <v>0.41479853479853479</v>
      </c>
      <c r="Z88" s="1494">
        <v>46034</v>
      </c>
      <c r="AA88" s="1199">
        <v>0</v>
      </c>
      <c r="AB88" s="1199">
        <v>0</v>
      </c>
      <c r="AC88" s="1217">
        <v>0</v>
      </c>
      <c r="AD88" s="1200" t="s">
        <v>294</v>
      </c>
      <c r="AE88" s="1260"/>
    </row>
    <row r="89" spans="1:31" ht="24.75" customHeight="1">
      <c r="A89" s="1190" t="s">
        <v>295</v>
      </c>
      <c r="B89" s="827" t="s">
        <v>296</v>
      </c>
      <c r="C89" s="1191">
        <v>46040</v>
      </c>
      <c r="D89" s="1212" t="s">
        <v>233</v>
      </c>
      <c r="E89" s="1211"/>
      <c r="F89" s="1212" t="s">
        <v>223</v>
      </c>
      <c r="G89" s="1212" t="s">
        <v>297</v>
      </c>
      <c r="H89" s="1213">
        <v>73</v>
      </c>
      <c r="I89" s="825" t="s">
        <v>55</v>
      </c>
      <c r="J89" s="828" t="s">
        <v>63</v>
      </c>
      <c r="K89" s="1193"/>
      <c r="L89" s="1211"/>
      <c r="M89" s="1213" t="s">
        <v>57</v>
      </c>
      <c r="N89" s="1224">
        <v>77814</v>
      </c>
      <c r="O89" s="1213" t="s">
        <v>57</v>
      </c>
      <c r="P89" s="1226" t="s">
        <v>64</v>
      </c>
      <c r="Q89" s="1216">
        <v>46015</v>
      </c>
      <c r="R89" s="1216"/>
      <c r="S89" s="1216"/>
      <c r="T89" s="1216"/>
      <c r="U89" s="1216"/>
      <c r="V89" s="1217">
        <v>6263</v>
      </c>
      <c r="W89" s="1440">
        <v>6221</v>
      </c>
      <c r="X89" s="1197">
        <f t="shared" si="5"/>
        <v>42</v>
      </c>
      <c r="Y89" s="660">
        <f t="shared" si="6"/>
        <v>0.9932939485869392</v>
      </c>
      <c r="Z89" s="1216">
        <v>46024</v>
      </c>
      <c r="AA89" s="1199">
        <v>0</v>
      </c>
      <c r="AB89" s="1199">
        <v>0</v>
      </c>
      <c r="AC89" s="1217">
        <v>0</v>
      </c>
      <c r="AD89" s="1200" t="s">
        <v>298</v>
      </c>
      <c r="AE89" s="1260"/>
    </row>
    <row r="90" spans="1:31" ht="24.75" customHeight="1">
      <c r="A90" s="1190" t="s">
        <v>299</v>
      </c>
      <c r="B90" s="827" t="s">
        <v>296</v>
      </c>
      <c r="C90" s="1191">
        <v>46040</v>
      </c>
      <c r="D90" s="1212" t="s">
        <v>84</v>
      </c>
      <c r="E90" s="1211">
        <v>46001</v>
      </c>
      <c r="F90" s="1212" t="s">
        <v>223</v>
      </c>
      <c r="G90" s="1212" t="s">
        <v>300</v>
      </c>
      <c r="H90" s="1213">
        <v>80</v>
      </c>
      <c r="I90" s="825" t="s">
        <v>55</v>
      </c>
      <c r="J90" s="828" t="s">
        <v>63</v>
      </c>
      <c r="K90" s="1193"/>
      <c r="L90" s="1211"/>
      <c r="M90" s="1213" t="s">
        <v>57</v>
      </c>
      <c r="N90" s="1224">
        <v>65843.5</v>
      </c>
      <c r="O90" s="1213" t="s">
        <v>57</v>
      </c>
      <c r="P90" s="1226" t="s">
        <v>64</v>
      </c>
      <c r="Q90" s="1216">
        <v>45995</v>
      </c>
      <c r="R90" s="1216"/>
      <c r="S90" s="1216"/>
      <c r="T90" s="1216"/>
      <c r="U90" s="1216"/>
      <c r="V90" s="1217">
        <v>5052</v>
      </c>
      <c r="W90" s="1197">
        <v>4889</v>
      </c>
      <c r="X90" s="1197">
        <f t="shared" si="5"/>
        <v>163</v>
      </c>
      <c r="Y90" s="660">
        <f t="shared" si="6"/>
        <v>0.967735550277118</v>
      </c>
      <c r="Z90" s="1216">
        <v>46001</v>
      </c>
      <c r="AA90" s="1199">
        <v>0</v>
      </c>
      <c r="AB90" s="1199">
        <v>0</v>
      </c>
      <c r="AC90" s="1217">
        <v>0</v>
      </c>
      <c r="AD90" s="1200" t="s">
        <v>301</v>
      </c>
      <c r="AE90" s="1260"/>
    </row>
    <row r="91" spans="1:31" ht="24.75" customHeight="1">
      <c r="A91" s="1190" t="s">
        <v>302</v>
      </c>
      <c r="B91" s="827" t="s">
        <v>296</v>
      </c>
      <c r="C91" s="1191">
        <v>46040</v>
      </c>
      <c r="D91" s="1212" t="s">
        <v>233</v>
      </c>
      <c r="E91" s="1211"/>
      <c r="F91" s="1212" t="s">
        <v>223</v>
      </c>
      <c r="G91" s="1212" t="s">
        <v>303</v>
      </c>
      <c r="H91" s="1213">
        <v>88</v>
      </c>
      <c r="I91" s="825" t="s">
        <v>55</v>
      </c>
      <c r="J91" s="828" t="s">
        <v>63</v>
      </c>
      <c r="K91" s="1193"/>
      <c r="L91" s="1211"/>
      <c r="M91" s="1213" t="s">
        <v>57</v>
      </c>
      <c r="N91" s="1224">
        <v>79638</v>
      </c>
      <c r="O91" s="1213" t="s">
        <v>57</v>
      </c>
      <c r="P91" s="1226" t="s">
        <v>58</v>
      </c>
      <c r="Q91" s="1216"/>
      <c r="R91" s="1216"/>
      <c r="S91" s="1216"/>
      <c r="T91" s="1216"/>
      <c r="U91" s="1216"/>
      <c r="V91" s="1217">
        <v>6613</v>
      </c>
      <c r="W91" s="1197"/>
      <c r="X91" s="1197">
        <f t="shared" si="5"/>
        <v>6613</v>
      </c>
      <c r="Y91" s="660">
        <f t="shared" si="6"/>
        <v>0</v>
      </c>
      <c r="Z91" s="1198"/>
      <c r="AA91" s="1199">
        <v>0</v>
      </c>
      <c r="AB91" s="1199">
        <v>0</v>
      </c>
      <c r="AC91" s="1217">
        <v>0</v>
      </c>
      <c r="AD91" s="1200" t="s">
        <v>304</v>
      </c>
      <c r="AE91" s="1260"/>
    </row>
    <row r="92" spans="1:31" ht="24.75" customHeight="1">
      <c r="A92" s="1190" t="s">
        <v>305</v>
      </c>
      <c r="B92" s="827" t="s">
        <v>296</v>
      </c>
      <c r="C92" s="1191">
        <v>46040</v>
      </c>
      <c r="D92" s="1212"/>
      <c r="E92" s="1211"/>
      <c r="F92" s="1212"/>
      <c r="G92" s="1212" t="s">
        <v>306</v>
      </c>
      <c r="H92" s="1213">
        <v>61</v>
      </c>
      <c r="I92" s="825" t="s">
        <v>55</v>
      </c>
      <c r="J92" s="1213" t="s">
        <v>63</v>
      </c>
      <c r="K92" s="1193"/>
      <c r="L92" s="1211"/>
      <c r="M92" s="1213" t="s">
        <v>57</v>
      </c>
      <c r="N92" s="1224">
        <v>56650</v>
      </c>
      <c r="O92" s="1213" t="s">
        <v>57</v>
      </c>
      <c r="P92" s="1226" t="s">
        <v>58</v>
      </c>
      <c r="Q92" s="1216"/>
      <c r="R92" s="1216"/>
      <c r="S92" s="1216"/>
      <c r="T92" s="1216"/>
      <c r="U92" s="1216"/>
      <c r="V92" s="1217">
        <v>4641</v>
      </c>
      <c r="W92" s="1197"/>
      <c r="X92" s="1197">
        <f t="shared" si="5"/>
        <v>4641</v>
      </c>
      <c r="Y92" s="660">
        <f t="shared" si="6"/>
        <v>0</v>
      </c>
      <c r="Z92" s="1198"/>
      <c r="AA92" s="1199">
        <v>0</v>
      </c>
      <c r="AB92" s="1199">
        <v>0</v>
      </c>
      <c r="AC92" s="1217">
        <v>0</v>
      </c>
      <c r="AD92" s="1200" t="s">
        <v>307</v>
      </c>
      <c r="AE92" s="1260"/>
    </row>
    <row r="93" spans="1:31" ht="24.75" customHeight="1">
      <c r="A93" s="1404" t="s">
        <v>308</v>
      </c>
      <c r="B93" s="1010" t="s">
        <v>296</v>
      </c>
      <c r="C93" s="1406">
        <v>46053</v>
      </c>
      <c r="D93" s="1212"/>
      <c r="E93" s="1211"/>
      <c r="F93" s="1212"/>
      <c r="G93" s="1212"/>
      <c r="H93" s="1213">
        <v>86</v>
      </c>
      <c r="I93" s="825" t="s">
        <v>55</v>
      </c>
      <c r="J93" s="828" t="s">
        <v>63</v>
      </c>
      <c r="K93" s="1193" t="s">
        <v>76</v>
      </c>
      <c r="L93" s="1211"/>
      <c r="M93" s="1213" t="s">
        <v>92</v>
      </c>
      <c r="N93" s="1224"/>
      <c r="O93" s="1213" t="s">
        <v>92</v>
      </c>
      <c r="P93" s="1226" t="s">
        <v>58</v>
      </c>
      <c r="Q93" s="1216"/>
      <c r="R93" s="1216"/>
      <c r="S93" s="1216"/>
      <c r="T93" s="1216"/>
      <c r="U93" s="1216"/>
      <c r="V93" s="1217">
        <v>8265</v>
      </c>
      <c r="W93" s="1197"/>
      <c r="X93" s="1197">
        <f t="shared" si="5"/>
        <v>8265</v>
      </c>
      <c r="Y93" s="660">
        <f t="shared" si="6"/>
        <v>0</v>
      </c>
      <c r="Z93" s="1198"/>
      <c r="AA93" s="1199">
        <v>0</v>
      </c>
      <c r="AB93" s="1199">
        <v>0</v>
      </c>
      <c r="AC93" s="1217">
        <v>0</v>
      </c>
      <c r="AD93" s="1200"/>
      <c r="AE93" s="1260"/>
    </row>
    <row r="94" spans="1:31" ht="24.75" customHeight="1">
      <c r="A94" s="1282" t="s">
        <v>309</v>
      </c>
      <c r="B94" s="1010" t="s">
        <v>296</v>
      </c>
      <c r="C94" s="1406">
        <v>46171</v>
      </c>
      <c r="D94" s="1266" t="s">
        <v>84</v>
      </c>
      <c r="E94" s="1267"/>
      <c r="F94" s="1266" t="s">
        <v>223</v>
      </c>
      <c r="G94" s="1266" t="s">
        <v>310</v>
      </c>
      <c r="H94" s="1268">
        <v>26</v>
      </c>
      <c r="I94" s="970" t="s">
        <v>55</v>
      </c>
      <c r="J94" s="1268" t="s">
        <v>63</v>
      </c>
      <c r="K94" s="1269"/>
      <c r="L94" s="1267"/>
      <c r="M94" s="1268" t="s">
        <v>57</v>
      </c>
      <c r="N94" s="1270">
        <v>35576</v>
      </c>
      <c r="O94" s="1268" t="s">
        <v>57</v>
      </c>
      <c r="P94" s="1271" t="s">
        <v>58</v>
      </c>
      <c r="Q94" s="1272"/>
      <c r="R94" s="1272"/>
      <c r="S94" s="1272"/>
      <c r="T94" s="1272"/>
      <c r="U94" s="1272"/>
      <c r="V94" s="1273">
        <v>3150</v>
      </c>
      <c r="W94" s="1254"/>
      <c r="X94" s="1254">
        <f t="shared" si="5"/>
        <v>3150</v>
      </c>
      <c r="Y94" s="655">
        <f t="shared" si="6"/>
        <v>0</v>
      </c>
      <c r="Z94" s="1403"/>
      <c r="AA94" s="1274">
        <v>0</v>
      </c>
      <c r="AB94" s="1274">
        <v>0</v>
      </c>
      <c r="AC94" s="1273">
        <v>0</v>
      </c>
      <c r="AD94" s="1275" t="s">
        <v>307</v>
      </c>
      <c r="AE94" s="1260"/>
    </row>
    <row r="95" spans="1:31" ht="24.75" customHeight="1">
      <c r="A95" s="1421" t="s">
        <v>311</v>
      </c>
      <c r="B95" s="1010" t="s">
        <v>296</v>
      </c>
      <c r="C95" s="1407">
        <v>46051</v>
      </c>
      <c r="D95" s="1333"/>
      <c r="E95" s="1334"/>
      <c r="F95" s="1333"/>
      <c r="G95" s="1212"/>
      <c r="H95" s="1496">
        <v>0</v>
      </c>
      <c r="I95" s="825" t="s">
        <v>55</v>
      </c>
      <c r="J95" s="1193" t="s">
        <v>91</v>
      </c>
      <c r="K95" s="1193" t="s">
        <v>76</v>
      </c>
      <c r="L95" s="1334"/>
      <c r="M95" s="1213" t="s">
        <v>92</v>
      </c>
      <c r="N95" s="1224"/>
      <c r="O95" s="1213" t="s">
        <v>92</v>
      </c>
      <c r="P95" s="1226" t="s">
        <v>58</v>
      </c>
      <c r="Q95" s="1494"/>
      <c r="R95" s="1494"/>
      <c r="S95" s="1494"/>
      <c r="T95" s="1494"/>
      <c r="U95" s="1494"/>
      <c r="V95" s="1495">
        <v>6202</v>
      </c>
      <c r="W95" s="1491"/>
      <c r="X95" s="1491">
        <f>SUM(V95-W95)</f>
        <v>6202</v>
      </c>
      <c r="Y95" s="660">
        <f>IFERROR($W95/$V95, 0)</f>
        <v>0</v>
      </c>
      <c r="Z95" s="1497"/>
      <c r="AA95" s="1274">
        <v>0</v>
      </c>
      <c r="AB95" s="1274">
        <v>0</v>
      </c>
      <c r="AC95" s="1273">
        <v>0</v>
      </c>
      <c r="AD95" s="1200" t="s">
        <v>312</v>
      </c>
      <c r="AE95" s="1260"/>
    </row>
    <row r="96" spans="1:31" ht="24.75" customHeight="1">
      <c r="A96" s="1422" t="s">
        <v>313</v>
      </c>
      <c r="B96" s="1010" t="s">
        <v>296</v>
      </c>
      <c r="C96" s="1407">
        <v>46051</v>
      </c>
      <c r="D96" s="1333"/>
      <c r="E96" s="1334"/>
      <c r="F96" s="1333"/>
      <c r="G96" s="1212"/>
      <c r="H96" s="1496">
        <v>0</v>
      </c>
      <c r="I96" s="825" t="s">
        <v>55</v>
      </c>
      <c r="J96" s="1193" t="s">
        <v>91</v>
      </c>
      <c r="K96" s="1193" t="s">
        <v>76</v>
      </c>
      <c r="L96" s="1334"/>
      <c r="M96" s="1213" t="s">
        <v>92</v>
      </c>
      <c r="N96" s="1224"/>
      <c r="O96" s="1213" t="s">
        <v>92</v>
      </c>
      <c r="P96" s="1226" t="s">
        <v>58</v>
      </c>
      <c r="Q96" s="1494"/>
      <c r="R96" s="1494"/>
      <c r="S96" s="1494"/>
      <c r="T96" s="1494"/>
      <c r="U96" s="1494"/>
      <c r="V96" s="1500">
        <v>545</v>
      </c>
      <c r="W96" s="1501"/>
      <c r="X96" s="1501">
        <f>SUM(V96-W96)</f>
        <v>545</v>
      </c>
      <c r="Y96" s="655">
        <f>IFERROR($W96/$V96, 0)</f>
        <v>0</v>
      </c>
      <c r="Z96" s="1502"/>
      <c r="AA96" s="1274">
        <v>0</v>
      </c>
      <c r="AB96" s="1274">
        <v>0</v>
      </c>
      <c r="AC96" s="1273">
        <v>0</v>
      </c>
      <c r="AD96" s="1200" t="s">
        <v>312</v>
      </c>
      <c r="AE96" s="1260"/>
    </row>
    <row r="97" spans="1:31" ht="24.75" customHeight="1">
      <c r="A97" s="1422" t="s">
        <v>314</v>
      </c>
      <c r="B97" s="1010" t="s">
        <v>296</v>
      </c>
      <c r="C97" s="1407">
        <v>46051</v>
      </c>
      <c r="D97" s="1333"/>
      <c r="E97" s="1334"/>
      <c r="F97" s="1333"/>
      <c r="G97" s="1212"/>
      <c r="H97" s="1496">
        <v>0</v>
      </c>
      <c r="I97" s="825" t="s">
        <v>55</v>
      </c>
      <c r="J97" s="1193" t="s">
        <v>91</v>
      </c>
      <c r="K97" s="1193" t="s">
        <v>76</v>
      </c>
      <c r="L97" s="1334"/>
      <c r="M97" s="1213" t="s">
        <v>92</v>
      </c>
      <c r="N97" s="1224"/>
      <c r="O97" s="1213" t="s">
        <v>92</v>
      </c>
      <c r="P97" s="1226" t="s">
        <v>58</v>
      </c>
      <c r="Q97" s="1494"/>
      <c r="R97" s="1494"/>
      <c r="S97" s="1494"/>
      <c r="T97" s="1494"/>
      <c r="U97" s="1494"/>
      <c r="V97" s="1500">
        <v>1172</v>
      </c>
      <c r="W97" s="1501"/>
      <c r="X97" s="1501">
        <f>SUM(V97-W97)</f>
        <v>1172</v>
      </c>
      <c r="Y97" s="655">
        <f>IFERROR($W97/$V97, 0)</f>
        <v>0</v>
      </c>
      <c r="Z97" s="1502"/>
      <c r="AA97" s="1274">
        <v>0</v>
      </c>
      <c r="AB97" s="1274">
        <v>0</v>
      </c>
      <c r="AC97" s="1273">
        <v>0</v>
      </c>
      <c r="AD97" s="1200" t="s">
        <v>312</v>
      </c>
      <c r="AE97" s="1260"/>
    </row>
    <row r="98" spans="1:31" ht="24.75" customHeight="1">
      <c r="A98" s="1422" t="s">
        <v>315</v>
      </c>
      <c r="B98" s="1010" t="s">
        <v>296</v>
      </c>
      <c r="C98" s="1407">
        <v>46051</v>
      </c>
      <c r="D98" s="1333"/>
      <c r="E98" s="1334"/>
      <c r="F98" s="1333"/>
      <c r="G98" s="1212"/>
      <c r="H98" s="1496">
        <v>0</v>
      </c>
      <c r="I98" s="825" t="s">
        <v>55</v>
      </c>
      <c r="J98" s="1193" t="s">
        <v>91</v>
      </c>
      <c r="K98" s="1193" t="s">
        <v>76</v>
      </c>
      <c r="L98" s="1334"/>
      <c r="M98" s="1213" t="s">
        <v>92</v>
      </c>
      <c r="N98" s="1224"/>
      <c r="O98" s="1213" t="s">
        <v>92</v>
      </c>
      <c r="P98" s="1226" t="s">
        <v>58</v>
      </c>
      <c r="Q98" s="1494"/>
      <c r="R98" s="1494"/>
      <c r="S98" s="1494"/>
      <c r="T98" s="1494"/>
      <c r="U98" s="1494"/>
      <c r="V98" s="1500">
        <v>4184</v>
      </c>
      <c r="W98" s="1501"/>
      <c r="X98" s="1501">
        <f>SUM(V98-W98)</f>
        <v>4184</v>
      </c>
      <c r="Y98" s="655">
        <f>IFERROR($W98/$V98, 0)</f>
        <v>0</v>
      </c>
      <c r="Z98" s="1502"/>
      <c r="AA98" s="1274">
        <v>0</v>
      </c>
      <c r="AB98" s="1274">
        <v>0</v>
      </c>
      <c r="AC98" s="1273">
        <v>0</v>
      </c>
      <c r="AD98" s="1200" t="s">
        <v>312</v>
      </c>
      <c r="AE98" s="1260"/>
    </row>
    <row r="99" spans="1:31" ht="24.75" customHeight="1">
      <c r="A99" s="1363"/>
      <c r="B99" s="1408"/>
      <c r="C99" s="1191"/>
      <c r="D99" s="1212"/>
      <c r="E99" s="1211"/>
      <c r="F99" s="1212"/>
      <c r="G99" s="1212"/>
      <c r="H99" s="1213"/>
      <c r="I99" s="825"/>
      <c r="J99" s="1213"/>
      <c r="K99" s="1193"/>
      <c r="L99" s="1211"/>
      <c r="M99" s="1213"/>
      <c r="N99" s="1224"/>
      <c r="O99" s="1213"/>
      <c r="P99" s="1276"/>
      <c r="Q99" s="1216"/>
      <c r="R99" s="1216"/>
      <c r="S99" s="1216"/>
      <c r="T99" s="1216"/>
      <c r="U99" s="1216"/>
      <c r="V99" s="1409"/>
      <c r="W99" s="1353"/>
      <c r="X99" s="1277"/>
      <c r="Y99" s="976"/>
      <c r="Z99" s="1276"/>
      <c r="AA99" s="1199"/>
      <c r="AB99" s="1199"/>
      <c r="AC99" s="1217"/>
      <c r="AD99" s="1200"/>
      <c r="AE99" s="1260"/>
    </row>
    <row r="100" spans="1:31" ht="24.75" customHeight="1">
      <c r="A100" s="1278"/>
      <c r="B100" s="1279"/>
      <c r="C100" s="1280"/>
      <c r="D100" s="647"/>
      <c r="E100" s="1281"/>
      <c r="F100" s="1282"/>
      <c r="G100" s="1282"/>
      <c r="H100" s="1282"/>
      <c r="I100" s="665"/>
      <c r="J100" s="1283"/>
      <c r="K100" s="1284"/>
      <c r="L100" s="1285"/>
      <c r="M100" s="1282"/>
      <c r="N100" s="1286"/>
      <c r="O100" s="1287"/>
      <c r="P100" s="1260"/>
      <c r="Q100" s="1288"/>
      <c r="R100" s="1289"/>
      <c r="S100" s="1289"/>
      <c r="T100" s="1289"/>
      <c r="U100" s="1289"/>
      <c r="V100" s="1290"/>
      <c r="W100" s="1290"/>
      <c r="X100" s="1291"/>
      <c r="Y100" s="1142"/>
      <c r="Z100" s="1189"/>
      <c r="AA100" s="1292"/>
      <c r="AB100" s="1292"/>
      <c r="AC100" s="1290"/>
      <c r="AD100" s="1245"/>
      <c r="AE100" s="1255"/>
    </row>
    <row r="101" spans="1:31" ht="24.75" customHeight="1">
      <c r="A101" s="1293" t="s">
        <v>316</v>
      </c>
      <c r="B101" s="1294" t="s">
        <v>20</v>
      </c>
      <c r="C101" s="1294" t="s">
        <v>21</v>
      </c>
      <c r="D101" s="1295" t="s">
        <v>22</v>
      </c>
      <c r="E101" s="1296" t="s">
        <v>23</v>
      </c>
      <c r="F101" s="1296" t="s">
        <v>24</v>
      </c>
      <c r="G101" s="1296" t="s">
        <v>25</v>
      </c>
      <c r="H101" s="1296" t="s">
        <v>26</v>
      </c>
      <c r="I101" s="1296" t="s">
        <v>27</v>
      </c>
      <c r="J101" s="1296" t="s">
        <v>28</v>
      </c>
      <c r="K101" s="1296" t="s">
        <v>29</v>
      </c>
      <c r="L101" s="1296" t="s">
        <v>30</v>
      </c>
      <c r="M101" s="1296" t="s">
        <v>31</v>
      </c>
      <c r="N101" s="1297" t="s">
        <v>32</v>
      </c>
      <c r="O101" s="1183" t="s">
        <v>33</v>
      </c>
      <c r="P101" s="1298" t="s">
        <v>34</v>
      </c>
      <c r="Q101" s="1186" t="s">
        <v>35</v>
      </c>
      <c r="R101" s="1299" t="s">
        <v>36</v>
      </c>
      <c r="S101" s="1299" t="s">
        <v>37</v>
      </c>
      <c r="T101" s="1299" t="s">
        <v>38</v>
      </c>
      <c r="U101" s="1299" t="s">
        <v>39</v>
      </c>
      <c r="V101" s="1299" t="s">
        <v>40</v>
      </c>
      <c r="W101" s="1299" t="s">
        <v>41</v>
      </c>
      <c r="X101" s="1300" t="s">
        <v>42</v>
      </c>
      <c r="Y101" s="1300" t="s">
        <v>43</v>
      </c>
      <c r="Z101" s="1301" t="s">
        <v>44</v>
      </c>
      <c r="AA101" s="1302" t="s">
        <v>45</v>
      </c>
      <c r="AB101" s="1299" t="s">
        <v>46</v>
      </c>
      <c r="AC101" s="1299" t="s">
        <v>47</v>
      </c>
      <c r="AD101" s="1303" t="s">
        <v>48</v>
      </c>
      <c r="AE101" s="1255"/>
    </row>
    <row r="102" spans="1:31" ht="24.75" customHeight="1">
      <c r="A102" s="1304" t="s">
        <v>317</v>
      </c>
      <c r="B102" s="1141" t="s">
        <v>318</v>
      </c>
      <c r="C102" s="1376">
        <v>46052</v>
      </c>
      <c r="D102" s="969" t="s">
        <v>129</v>
      </c>
      <c r="E102" s="1281">
        <v>45959</v>
      </c>
      <c r="F102" s="1282" t="s">
        <v>319</v>
      </c>
      <c r="G102" s="1282" t="s">
        <v>320</v>
      </c>
      <c r="H102" s="1305">
        <v>83</v>
      </c>
      <c r="I102" s="970" t="s">
        <v>55</v>
      </c>
      <c r="J102" s="1268" t="s">
        <v>63</v>
      </c>
      <c r="K102" s="1306"/>
      <c r="L102" s="1281"/>
      <c r="M102" s="1268" t="s">
        <v>57</v>
      </c>
      <c r="N102" s="1307">
        <v>45545.15</v>
      </c>
      <c r="O102" s="1287" t="s">
        <v>57</v>
      </c>
      <c r="P102" s="1308" t="s">
        <v>64</v>
      </c>
      <c r="Q102" s="1243"/>
      <c r="R102" s="1289"/>
      <c r="S102" s="1289"/>
      <c r="T102" s="1289"/>
      <c r="U102" s="1289"/>
      <c r="V102" s="1309">
        <v>5827</v>
      </c>
      <c r="W102" s="1254">
        <v>5468</v>
      </c>
      <c r="X102" s="1309">
        <f>SUM(V102-W102)</f>
        <v>359</v>
      </c>
      <c r="Y102" s="1142">
        <f t="shared" ref="Y102" si="7">IFERROR($W102/$V102, 0)</f>
        <v>0.93839025227389739</v>
      </c>
      <c r="Z102" s="1243">
        <v>45965</v>
      </c>
      <c r="AA102" s="1274">
        <v>1</v>
      </c>
      <c r="AB102" s="1274">
        <v>0</v>
      </c>
      <c r="AC102" s="1273">
        <v>0</v>
      </c>
      <c r="AD102" s="1245" t="s">
        <v>321</v>
      </c>
      <c r="AE102" s="1255"/>
    </row>
    <row r="103" spans="1:31" ht="24.75" customHeight="1">
      <c r="A103" s="1304" t="s">
        <v>322</v>
      </c>
      <c r="B103" s="1141" t="s">
        <v>318</v>
      </c>
      <c r="C103" s="1376">
        <v>46052</v>
      </c>
      <c r="D103" s="969" t="s">
        <v>129</v>
      </c>
      <c r="E103" s="1281">
        <v>45993</v>
      </c>
      <c r="F103" s="1282" t="s">
        <v>163</v>
      </c>
      <c r="G103" s="1282" t="s">
        <v>323</v>
      </c>
      <c r="H103" s="1305">
        <v>89</v>
      </c>
      <c r="I103" s="970" t="s">
        <v>55</v>
      </c>
      <c r="J103" s="1268" t="s">
        <v>63</v>
      </c>
      <c r="K103" s="1306"/>
      <c r="L103" s="1281">
        <v>45993</v>
      </c>
      <c r="M103" s="1268" t="s">
        <v>57</v>
      </c>
      <c r="N103" s="1307">
        <v>93349.5</v>
      </c>
      <c r="O103" s="1287" t="s">
        <v>57</v>
      </c>
      <c r="P103" s="1260" t="s">
        <v>64</v>
      </c>
      <c r="Q103" s="1243">
        <v>45993</v>
      </c>
      <c r="R103" s="1289"/>
      <c r="S103" s="1289"/>
      <c r="T103" s="1289"/>
      <c r="U103" s="1289"/>
      <c r="V103" s="1309">
        <v>7828</v>
      </c>
      <c r="W103" s="1427">
        <v>8469</v>
      </c>
      <c r="X103" s="1309">
        <f>SUM(V103-W103)</f>
        <v>-641</v>
      </c>
      <c r="Y103" s="1142">
        <f>IFERROR($W103/$V103, 0)</f>
        <v>1.0818855390904445</v>
      </c>
      <c r="Z103" s="1243">
        <v>45994</v>
      </c>
      <c r="AA103" s="1274">
        <v>0</v>
      </c>
      <c r="AB103" s="1274">
        <v>1</v>
      </c>
      <c r="AC103" s="1273">
        <v>0</v>
      </c>
      <c r="AD103" s="1245" t="s">
        <v>324</v>
      </c>
      <c r="AE103" s="1255"/>
    </row>
    <row r="104" spans="1:31" ht="24.75" customHeight="1">
      <c r="A104" s="1316" t="s">
        <v>325</v>
      </c>
      <c r="B104" s="1141" t="s">
        <v>318</v>
      </c>
      <c r="C104" s="1376">
        <v>46052</v>
      </c>
      <c r="D104" s="969" t="s">
        <v>129</v>
      </c>
      <c r="E104" s="1281">
        <v>45959</v>
      </c>
      <c r="F104" s="1282" t="s">
        <v>163</v>
      </c>
      <c r="G104" s="1282" t="s">
        <v>326</v>
      </c>
      <c r="H104" s="1283">
        <v>87</v>
      </c>
      <c r="I104" s="970" t="s">
        <v>55</v>
      </c>
      <c r="J104" s="1268" t="s">
        <v>63</v>
      </c>
      <c r="K104" s="1284"/>
      <c r="L104" s="1285">
        <v>45964</v>
      </c>
      <c r="M104" s="1268" t="s">
        <v>57</v>
      </c>
      <c r="N104" s="1311">
        <v>79552</v>
      </c>
      <c r="O104" s="1287" t="s">
        <v>57</v>
      </c>
      <c r="P104" s="1308" t="s">
        <v>64</v>
      </c>
      <c r="Q104" s="1313">
        <v>45964</v>
      </c>
      <c r="R104" s="1314"/>
      <c r="S104" s="1289"/>
      <c r="T104" s="1289"/>
      <c r="U104" s="1289"/>
      <c r="V104" s="1254">
        <v>6577</v>
      </c>
      <c r="W104" s="1254">
        <v>6013</v>
      </c>
      <c r="X104" s="1197">
        <f>SUM(V104-W104)</f>
        <v>564</v>
      </c>
      <c r="Y104" s="1142">
        <f t="shared" ref="Y104" si="8">IFERROR($W104/$V104, 0)</f>
        <v>0.91424661699863163</v>
      </c>
      <c r="Z104" s="1243">
        <v>46000</v>
      </c>
      <c r="AA104" s="1274">
        <v>1</v>
      </c>
      <c r="AB104" s="1274">
        <v>1</v>
      </c>
      <c r="AC104" s="1273">
        <v>2562</v>
      </c>
      <c r="AD104" s="1245" t="s">
        <v>327</v>
      </c>
      <c r="AE104" s="1255"/>
    </row>
    <row r="105" spans="1:31" ht="24.75" customHeight="1">
      <c r="A105" s="1316" t="s">
        <v>328</v>
      </c>
      <c r="B105" s="1141" t="s">
        <v>318</v>
      </c>
      <c r="C105" s="1376">
        <v>46052</v>
      </c>
      <c r="D105" s="969" t="s">
        <v>129</v>
      </c>
      <c r="E105" s="1281">
        <v>45987</v>
      </c>
      <c r="F105" s="1282" t="s">
        <v>163</v>
      </c>
      <c r="G105" s="1282" t="s">
        <v>329</v>
      </c>
      <c r="H105" s="1283">
        <v>85</v>
      </c>
      <c r="I105" s="970" t="s">
        <v>55</v>
      </c>
      <c r="J105" s="1268" t="s">
        <v>63</v>
      </c>
      <c r="K105" s="1284"/>
      <c r="L105" s="1285">
        <v>45987</v>
      </c>
      <c r="M105" s="1268" t="s">
        <v>57</v>
      </c>
      <c r="N105" s="1311">
        <v>84092.5</v>
      </c>
      <c r="O105" s="1287" t="s">
        <v>57</v>
      </c>
      <c r="P105" s="1260" t="s">
        <v>64</v>
      </c>
      <c r="Q105" s="1313">
        <v>45987</v>
      </c>
      <c r="R105" s="1289"/>
      <c r="S105" s="1289"/>
      <c r="T105" s="1289"/>
      <c r="U105" s="1289"/>
      <c r="V105" s="1254">
        <v>6897</v>
      </c>
      <c r="W105" s="1254">
        <v>6370</v>
      </c>
      <c r="X105" s="1254">
        <f>SUM(V105-W105)</f>
        <v>527</v>
      </c>
      <c r="Y105" s="1142">
        <f t="shared" ref="Y105:Y109" si="9">IFERROR($W105/$V105, 0)</f>
        <v>0.92358996665216764</v>
      </c>
      <c r="Z105" s="1243">
        <v>46009</v>
      </c>
      <c r="AA105" s="1274">
        <v>0</v>
      </c>
      <c r="AB105" s="1274">
        <v>0</v>
      </c>
      <c r="AC105" s="1273">
        <v>0</v>
      </c>
      <c r="AD105" s="1245" t="s">
        <v>330</v>
      </c>
      <c r="AE105" s="1255"/>
    </row>
    <row r="106" spans="1:31" ht="24.75" customHeight="1">
      <c r="A106" s="1316" t="s">
        <v>331</v>
      </c>
      <c r="B106" s="1141" t="s">
        <v>318</v>
      </c>
      <c r="C106" s="1376">
        <v>46052</v>
      </c>
      <c r="D106" s="969" t="s">
        <v>129</v>
      </c>
      <c r="E106" s="1281">
        <v>45987</v>
      </c>
      <c r="F106" s="1282" t="s">
        <v>163</v>
      </c>
      <c r="G106" s="1282" t="s">
        <v>332</v>
      </c>
      <c r="H106" s="1283">
        <v>76</v>
      </c>
      <c r="I106" s="970" t="s">
        <v>55</v>
      </c>
      <c r="J106" s="1268" t="s">
        <v>63</v>
      </c>
      <c r="K106" s="1284"/>
      <c r="L106" s="1285">
        <v>45987</v>
      </c>
      <c r="M106" s="1268" t="s">
        <v>57</v>
      </c>
      <c r="N106" s="1311">
        <v>74892.5</v>
      </c>
      <c r="O106" s="1287" t="s">
        <v>57</v>
      </c>
      <c r="P106" s="1260" t="s">
        <v>86</v>
      </c>
      <c r="Q106" s="1313">
        <v>45987</v>
      </c>
      <c r="R106" s="1289"/>
      <c r="S106" s="1289"/>
      <c r="T106" s="1289"/>
      <c r="U106" s="1289"/>
      <c r="V106" s="1254">
        <v>6218</v>
      </c>
      <c r="W106" s="1426">
        <v>6250</v>
      </c>
      <c r="X106" s="1254">
        <f>SUM(V106-W106)</f>
        <v>-32</v>
      </c>
      <c r="Y106" s="1142">
        <f t="shared" si="9"/>
        <v>1.0051463493084594</v>
      </c>
      <c r="Z106" s="1289">
        <v>46386</v>
      </c>
      <c r="AA106" s="1274">
        <v>0</v>
      </c>
      <c r="AB106" s="1274">
        <v>0</v>
      </c>
      <c r="AC106" s="1273">
        <v>0</v>
      </c>
      <c r="AD106" s="1245" t="s">
        <v>333</v>
      </c>
      <c r="AE106" s="1255"/>
    </row>
    <row r="107" spans="1:31" ht="24.75" customHeight="1">
      <c r="A107" s="1316" t="s">
        <v>334</v>
      </c>
      <c r="B107" s="1141" t="s">
        <v>318</v>
      </c>
      <c r="C107" s="1376">
        <v>46052</v>
      </c>
      <c r="D107" s="969" t="s">
        <v>129</v>
      </c>
      <c r="E107" s="1281">
        <v>45987</v>
      </c>
      <c r="F107" s="1282" t="s">
        <v>163</v>
      </c>
      <c r="G107" s="1366" t="s">
        <v>335</v>
      </c>
      <c r="H107" s="1367">
        <v>86</v>
      </c>
      <c r="I107" s="825" t="s">
        <v>55</v>
      </c>
      <c r="J107" s="1213" t="s">
        <v>63</v>
      </c>
      <c r="K107" s="1284"/>
      <c r="L107" s="1285">
        <v>45987</v>
      </c>
      <c r="M107" s="1268" t="s">
        <v>57</v>
      </c>
      <c r="N107" s="1311">
        <v>90841</v>
      </c>
      <c r="O107" s="1287" t="s">
        <v>57</v>
      </c>
      <c r="P107" s="1260" t="s">
        <v>64</v>
      </c>
      <c r="Q107" s="1313">
        <v>45987</v>
      </c>
      <c r="R107" s="1289"/>
      <c r="S107" s="1289"/>
      <c r="T107" s="1289"/>
      <c r="U107" s="1289"/>
      <c r="V107" s="1254">
        <v>7491</v>
      </c>
      <c r="W107" s="1254">
        <v>6883</v>
      </c>
      <c r="X107" s="1254">
        <f>SUM(V107-W107)</f>
        <v>608</v>
      </c>
      <c r="Y107" s="1142">
        <f t="shared" si="9"/>
        <v>0.91883593645708184</v>
      </c>
      <c r="Z107" s="1243">
        <v>46009</v>
      </c>
      <c r="AA107" s="1274">
        <v>0</v>
      </c>
      <c r="AB107" s="1274">
        <v>0</v>
      </c>
      <c r="AC107" s="1273">
        <v>0</v>
      </c>
      <c r="AD107" s="1245" t="s">
        <v>336</v>
      </c>
      <c r="AE107" s="1255"/>
    </row>
    <row r="108" spans="1:31" ht="24.75" customHeight="1">
      <c r="A108" s="1316" t="s">
        <v>337</v>
      </c>
      <c r="B108" s="1141" t="s">
        <v>318</v>
      </c>
      <c r="C108" s="1376">
        <v>46052</v>
      </c>
      <c r="D108" s="969" t="s">
        <v>129</v>
      </c>
      <c r="E108" s="1281">
        <v>45987</v>
      </c>
      <c r="F108" s="1386" t="s">
        <v>163</v>
      </c>
      <c r="G108" s="1282" t="s">
        <v>338</v>
      </c>
      <c r="H108" s="1283">
        <v>78</v>
      </c>
      <c r="I108" s="658" t="s">
        <v>55</v>
      </c>
      <c r="J108" s="1287" t="s">
        <v>63</v>
      </c>
      <c r="K108" s="1388"/>
      <c r="L108" s="1285">
        <v>45987</v>
      </c>
      <c r="M108" s="1268" t="s">
        <v>57</v>
      </c>
      <c r="N108" s="1311">
        <v>68606.5</v>
      </c>
      <c r="O108" s="1287" t="s">
        <v>57</v>
      </c>
      <c r="P108" s="1260" t="s">
        <v>101</v>
      </c>
      <c r="Q108" s="1313">
        <v>45987</v>
      </c>
      <c r="R108" s="1289"/>
      <c r="S108" s="1289"/>
      <c r="T108" s="1289"/>
      <c r="U108" s="1399"/>
      <c r="V108" s="1358">
        <v>5456</v>
      </c>
      <c r="W108" s="1429">
        <v>5441</v>
      </c>
      <c r="X108" s="1254">
        <f>SUM(V108-W108)</f>
        <v>15</v>
      </c>
      <c r="Y108" s="1142">
        <f t="shared" si="9"/>
        <v>0.99725073313782986</v>
      </c>
      <c r="Z108" s="1289">
        <v>46028</v>
      </c>
      <c r="AA108" s="1274">
        <v>0</v>
      </c>
      <c r="AB108" s="1274">
        <v>0</v>
      </c>
      <c r="AC108" s="1273">
        <v>0</v>
      </c>
      <c r="AD108" s="1245" t="s">
        <v>339</v>
      </c>
      <c r="AE108" s="1255"/>
    </row>
    <row r="109" spans="1:31" ht="24.75" customHeight="1">
      <c r="A109" s="1364" t="s">
        <v>340</v>
      </c>
      <c r="B109" s="1279" t="s">
        <v>318</v>
      </c>
      <c r="C109" s="1376">
        <v>46052</v>
      </c>
      <c r="D109" s="1365" t="s">
        <v>129</v>
      </c>
      <c r="E109" s="1280">
        <v>45987</v>
      </c>
      <c r="F109" s="1192" t="s">
        <v>163</v>
      </c>
      <c r="G109" s="1282" t="s">
        <v>341</v>
      </c>
      <c r="H109" s="1283">
        <v>73</v>
      </c>
      <c r="I109" s="658" t="s">
        <v>55</v>
      </c>
      <c r="J109" s="1287" t="s">
        <v>63</v>
      </c>
      <c r="K109" s="1389"/>
      <c r="L109" s="1368">
        <v>45987</v>
      </c>
      <c r="M109" s="1213" t="s">
        <v>57</v>
      </c>
      <c r="N109" s="1194">
        <v>71371</v>
      </c>
      <c r="O109" s="1369" t="s">
        <v>57</v>
      </c>
      <c r="P109" s="1260" t="s">
        <v>101</v>
      </c>
      <c r="Q109" s="1313">
        <v>45987</v>
      </c>
      <c r="R109" s="1289"/>
      <c r="S109" s="1289"/>
      <c r="T109" s="1394"/>
      <c r="U109" s="1289"/>
      <c r="V109" s="1254">
        <v>5810</v>
      </c>
      <c r="W109" s="1426">
        <v>3672</v>
      </c>
      <c r="X109" s="1397">
        <f>SUM(V109-W109)</f>
        <v>2138</v>
      </c>
      <c r="Y109" s="1142">
        <f t="shared" si="9"/>
        <v>0.632013769363167</v>
      </c>
      <c r="Z109" s="1289">
        <v>46030</v>
      </c>
      <c r="AA109" s="1274">
        <v>0</v>
      </c>
      <c r="AB109" s="1274">
        <v>0</v>
      </c>
      <c r="AC109" s="1273">
        <v>0</v>
      </c>
      <c r="AD109" s="1245" t="s">
        <v>342</v>
      </c>
      <c r="AE109" s="1255"/>
    </row>
    <row r="110" spans="1:31" ht="24.75" customHeight="1">
      <c r="A110" s="1381" t="s">
        <v>343</v>
      </c>
      <c r="B110" s="1279" t="s">
        <v>318</v>
      </c>
      <c r="C110" s="1376">
        <v>46052</v>
      </c>
      <c r="D110" s="1365" t="s">
        <v>129</v>
      </c>
      <c r="E110" s="1280">
        <v>46027</v>
      </c>
      <c r="F110" s="1387" t="s">
        <v>344</v>
      </c>
      <c r="G110" s="1282"/>
      <c r="H110" s="52">
        <v>68</v>
      </c>
      <c r="I110" s="658" t="s">
        <v>55</v>
      </c>
      <c r="J110" s="1287" t="s">
        <v>63</v>
      </c>
      <c r="K110" s="1390"/>
      <c r="L110" s="1280">
        <v>46027</v>
      </c>
      <c r="M110" s="1213" t="s">
        <v>57</v>
      </c>
      <c r="N110" s="1311">
        <v>68608</v>
      </c>
      <c r="O110" s="1369" t="s">
        <v>57</v>
      </c>
      <c r="P110" s="1260" t="s">
        <v>64</v>
      </c>
      <c r="Q110" s="1280">
        <v>46027</v>
      </c>
      <c r="R110" s="1354"/>
      <c r="S110" s="1354"/>
      <c r="T110" s="1395"/>
      <c r="U110" s="1354"/>
      <c r="V110" s="31">
        <v>5699</v>
      </c>
      <c r="W110" s="1503">
        <v>3893</v>
      </c>
      <c r="X110" s="1397">
        <f t="shared" ref="X110:X116" si="10">SUM(V110-W110)</f>
        <v>1806</v>
      </c>
      <c r="Y110" s="1142">
        <f t="shared" ref="Y110:Y116" si="11">IFERROR($W110/$V110, 0)</f>
        <v>0.68310229864888572</v>
      </c>
      <c r="Z110" s="1354">
        <v>46034</v>
      </c>
      <c r="AA110" s="1274">
        <v>0</v>
      </c>
      <c r="AB110" s="1274">
        <v>0</v>
      </c>
      <c r="AC110" s="1273">
        <v>0</v>
      </c>
      <c r="AD110" s="1245" t="s">
        <v>345</v>
      </c>
      <c r="AE110" s="1255"/>
    </row>
    <row r="111" spans="1:31" ht="24.75" customHeight="1">
      <c r="A111" s="1381" t="s">
        <v>346</v>
      </c>
      <c r="B111" s="1279" t="s">
        <v>318</v>
      </c>
      <c r="C111" s="1376">
        <v>46052</v>
      </c>
      <c r="D111" s="1365" t="s">
        <v>129</v>
      </c>
      <c r="E111" s="1280">
        <v>46027</v>
      </c>
      <c r="F111" s="1387" t="s">
        <v>344</v>
      </c>
      <c r="G111" s="1282"/>
      <c r="H111" s="52">
        <v>85</v>
      </c>
      <c r="I111" s="658" t="s">
        <v>55</v>
      </c>
      <c r="J111" s="1287" t="s">
        <v>63</v>
      </c>
      <c r="K111" s="1390"/>
      <c r="L111" s="1280">
        <v>46027</v>
      </c>
      <c r="M111" s="1213" t="s">
        <v>57</v>
      </c>
      <c r="N111" s="1311">
        <v>73334</v>
      </c>
      <c r="O111" s="1369" t="s">
        <v>57</v>
      </c>
      <c r="P111" s="1260" t="s">
        <v>64</v>
      </c>
      <c r="Q111" s="1280">
        <v>46027</v>
      </c>
      <c r="R111" s="1354"/>
      <c r="S111" s="1354"/>
      <c r="T111" s="1395"/>
      <c r="U111" s="1354"/>
      <c r="V111" s="31">
        <v>5860</v>
      </c>
      <c r="W111" s="1504">
        <v>5829</v>
      </c>
      <c r="X111" s="1397">
        <f t="shared" si="10"/>
        <v>31</v>
      </c>
      <c r="Y111" s="1142">
        <f t="shared" si="11"/>
        <v>0.99470989761092155</v>
      </c>
      <c r="Z111" s="1354">
        <v>46034</v>
      </c>
      <c r="AA111" s="1274">
        <v>0</v>
      </c>
      <c r="AB111" s="1274">
        <v>0</v>
      </c>
      <c r="AC111" s="1273">
        <v>0</v>
      </c>
      <c r="AD111" s="1245" t="s">
        <v>347</v>
      </c>
      <c r="AE111" s="1255"/>
    </row>
    <row r="112" spans="1:31" ht="24.75" customHeight="1">
      <c r="A112" s="1381" t="s">
        <v>348</v>
      </c>
      <c r="B112" s="1279" t="s">
        <v>318</v>
      </c>
      <c r="C112" s="1376">
        <v>46052</v>
      </c>
      <c r="D112" s="1365" t="s">
        <v>129</v>
      </c>
      <c r="E112" s="1280">
        <v>46027</v>
      </c>
      <c r="F112" s="1387" t="s">
        <v>344</v>
      </c>
      <c r="G112" s="1282"/>
      <c r="H112" s="52">
        <v>81</v>
      </c>
      <c r="I112" s="658" t="s">
        <v>55</v>
      </c>
      <c r="J112" s="1287" t="s">
        <v>63</v>
      </c>
      <c r="K112" s="1390"/>
      <c r="L112" s="1280">
        <v>46027</v>
      </c>
      <c r="M112" s="1213" t="s">
        <v>57</v>
      </c>
      <c r="N112" s="1311">
        <v>73885</v>
      </c>
      <c r="O112" s="1369" t="s">
        <v>57</v>
      </c>
      <c r="P112" s="1260" t="s">
        <v>86</v>
      </c>
      <c r="Q112" s="1280">
        <v>46027</v>
      </c>
      <c r="R112" s="1354"/>
      <c r="S112" s="1354"/>
      <c r="T112" s="1395"/>
      <c r="U112" s="1354"/>
      <c r="V112" s="31">
        <v>6021</v>
      </c>
      <c r="W112" s="1504">
        <v>6080</v>
      </c>
      <c r="X112" s="1397">
        <f t="shared" si="10"/>
        <v>-59</v>
      </c>
      <c r="Y112" s="1142">
        <f t="shared" si="11"/>
        <v>1.0097990367048664</v>
      </c>
      <c r="Z112" s="1354">
        <v>46035</v>
      </c>
      <c r="AA112" s="1274">
        <v>0</v>
      </c>
      <c r="AB112" s="1274">
        <v>0</v>
      </c>
      <c r="AC112" s="1273">
        <v>0</v>
      </c>
      <c r="AD112" s="1245" t="s">
        <v>349</v>
      </c>
      <c r="AE112" s="1255"/>
    </row>
    <row r="113" spans="1:31" ht="24.75" customHeight="1">
      <c r="A113" s="1381" t="s">
        <v>350</v>
      </c>
      <c r="B113" s="1279" t="s">
        <v>318</v>
      </c>
      <c r="C113" s="1376">
        <v>46052</v>
      </c>
      <c r="D113" s="1365" t="s">
        <v>129</v>
      </c>
      <c r="E113" s="1280">
        <v>46027</v>
      </c>
      <c r="F113" s="1387" t="s">
        <v>344</v>
      </c>
      <c r="G113" s="1282"/>
      <c r="H113" s="52">
        <v>87</v>
      </c>
      <c r="I113" s="658" t="s">
        <v>55</v>
      </c>
      <c r="J113" s="1287" t="s">
        <v>63</v>
      </c>
      <c r="K113" s="1390"/>
      <c r="L113" s="1280">
        <v>46027</v>
      </c>
      <c r="M113" s="1213" t="s">
        <v>57</v>
      </c>
      <c r="N113" s="1311">
        <v>78025</v>
      </c>
      <c r="O113" s="1369" t="s">
        <v>57</v>
      </c>
      <c r="P113" s="1260" t="s">
        <v>64</v>
      </c>
      <c r="Q113" s="1280">
        <v>46027</v>
      </c>
      <c r="R113" s="1354"/>
      <c r="S113" s="1354"/>
      <c r="T113" s="1395"/>
      <c r="U113" s="1354"/>
      <c r="V113" s="31">
        <v>6432</v>
      </c>
      <c r="W113" s="1504">
        <v>3433</v>
      </c>
      <c r="X113" s="1397">
        <f t="shared" si="10"/>
        <v>2999</v>
      </c>
      <c r="Y113" s="1142">
        <f t="shared" si="11"/>
        <v>0.53373756218905477</v>
      </c>
      <c r="Z113" s="1354">
        <v>46035</v>
      </c>
      <c r="AA113" s="1274">
        <v>0</v>
      </c>
      <c r="AB113" s="1274">
        <v>0</v>
      </c>
      <c r="AC113" s="1273">
        <v>0</v>
      </c>
      <c r="AD113" s="1245" t="s">
        <v>351</v>
      </c>
      <c r="AE113" s="1255"/>
    </row>
    <row r="114" spans="1:31" ht="24.75" customHeight="1">
      <c r="A114" s="1381" t="s">
        <v>352</v>
      </c>
      <c r="B114" s="1279" t="s">
        <v>318</v>
      </c>
      <c r="C114" s="1376">
        <v>46052</v>
      </c>
      <c r="D114" s="1365" t="s">
        <v>129</v>
      </c>
      <c r="E114" s="1280">
        <v>46027</v>
      </c>
      <c r="F114" s="1387" t="s">
        <v>344</v>
      </c>
      <c r="G114" s="1282"/>
      <c r="H114" s="52">
        <v>68</v>
      </c>
      <c r="I114" s="658" t="s">
        <v>55</v>
      </c>
      <c r="J114" s="1287" t="s">
        <v>63</v>
      </c>
      <c r="K114" s="1390"/>
      <c r="L114" s="1280">
        <v>46027</v>
      </c>
      <c r="M114" s="1213" t="s">
        <v>57</v>
      </c>
      <c r="N114" s="1311">
        <v>59114.5</v>
      </c>
      <c r="O114" s="1369" t="s">
        <v>57</v>
      </c>
      <c r="P114" s="1260" t="s">
        <v>64</v>
      </c>
      <c r="Q114" s="1280">
        <v>46027</v>
      </c>
      <c r="R114" s="1354"/>
      <c r="S114" s="1354"/>
      <c r="T114" s="1395"/>
      <c r="U114" s="1354"/>
      <c r="V114" s="31">
        <v>4836</v>
      </c>
      <c r="W114" s="1505">
        <v>4810</v>
      </c>
      <c r="X114" s="1397">
        <f t="shared" si="10"/>
        <v>26</v>
      </c>
      <c r="Y114" s="1142">
        <f t="shared" si="11"/>
        <v>0.9946236559139785</v>
      </c>
      <c r="Z114" s="1354">
        <v>46036</v>
      </c>
      <c r="AA114" s="1274">
        <v>0</v>
      </c>
      <c r="AB114" s="1274">
        <v>0</v>
      </c>
      <c r="AC114" s="1273">
        <v>0</v>
      </c>
      <c r="AD114" s="1245" t="s">
        <v>353</v>
      </c>
      <c r="AE114" s="1255"/>
    </row>
    <row r="115" spans="1:31" ht="24.75" customHeight="1">
      <c r="A115" s="1381" t="s">
        <v>354</v>
      </c>
      <c r="B115" s="1279" t="s">
        <v>318</v>
      </c>
      <c r="C115" s="1376">
        <v>46052</v>
      </c>
      <c r="D115" s="1365" t="s">
        <v>129</v>
      </c>
      <c r="E115" s="1280">
        <v>46027</v>
      </c>
      <c r="F115" s="1387" t="s">
        <v>344</v>
      </c>
      <c r="G115" s="1282"/>
      <c r="H115" s="52">
        <v>90</v>
      </c>
      <c r="I115" s="658" t="s">
        <v>55</v>
      </c>
      <c r="J115" s="1287" t="s">
        <v>63</v>
      </c>
      <c r="K115" s="1390"/>
      <c r="L115" s="1280">
        <v>46027</v>
      </c>
      <c r="M115" s="1213" t="s">
        <v>57</v>
      </c>
      <c r="N115" s="1311">
        <v>88362</v>
      </c>
      <c r="O115" s="1369" t="s">
        <v>57</v>
      </c>
      <c r="P115" s="1260" t="s">
        <v>64</v>
      </c>
      <c r="Q115" s="1280">
        <v>46027</v>
      </c>
      <c r="R115" s="1354"/>
      <c r="S115" s="1354"/>
      <c r="T115" s="1395"/>
      <c r="U115" s="1354"/>
      <c r="V115" s="31">
        <v>7145</v>
      </c>
      <c r="W115" s="1506">
        <v>3833</v>
      </c>
      <c r="X115" s="1397">
        <f t="shared" si="10"/>
        <v>3312</v>
      </c>
      <c r="Y115" s="1142">
        <f t="shared" si="11"/>
        <v>0.53645906228131557</v>
      </c>
      <c r="Z115" s="1354">
        <v>46036</v>
      </c>
      <c r="AA115" s="1274">
        <v>0</v>
      </c>
      <c r="AB115" s="1274">
        <v>0</v>
      </c>
      <c r="AC115" s="1273">
        <v>0</v>
      </c>
      <c r="AD115" s="1245" t="s">
        <v>355</v>
      </c>
      <c r="AE115" s="1255"/>
    </row>
    <row r="116" spans="1:31" ht="24.75" customHeight="1">
      <c r="A116" s="1382" t="s">
        <v>356</v>
      </c>
      <c r="B116" s="1279" t="s">
        <v>318</v>
      </c>
      <c r="C116" s="1376">
        <v>46052</v>
      </c>
      <c r="D116" s="1365" t="s">
        <v>129</v>
      </c>
      <c r="E116" s="1383">
        <v>46027</v>
      </c>
      <c r="F116" s="1386" t="s">
        <v>344</v>
      </c>
      <c r="G116" s="1282"/>
      <c r="H116" s="52">
        <v>90</v>
      </c>
      <c r="I116" s="658" t="s">
        <v>55</v>
      </c>
      <c r="J116" s="1287" t="s">
        <v>63</v>
      </c>
      <c r="K116" s="1391"/>
      <c r="L116" s="1280">
        <v>46027</v>
      </c>
      <c r="M116" s="1213" t="s">
        <v>57</v>
      </c>
      <c r="N116" s="1194">
        <v>86984</v>
      </c>
      <c r="O116" s="1369" t="s">
        <v>57</v>
      </c>
      <c r="P116" s="1260" t="s">
        <v>64</v>
      </c>
      <c r="Q116" s="1280">
        <v>46027</v>
      </c>
      <c r="R116" s="1356"/>
      <c r="S116" s="1356"/>
      <c r="T116" s="1396"/>
      <c r="U116" s="1354"/>
      <c r="V116" s="31">
        <v>7341</v>
      </c>
      <c r="W116" s="1506">
        <v>3360</v>
      </c>
      <c r="X116" s="1398">
        <f t="shared" si="10"/>
        <v>3981</v>
      </c>
      <c r="Y116" s="1384">
        <f t="shared" si="11"/>
        <v>0.45770331017572535</v>
      </c>
      <c r="Z116" s="1356">
        <v>46037</v>
      </c>
      <c r="AA116" s="1274">
        <v>0</v>
      </c>
      <c r="AB116" s="1274">
        <v>0</v>
      </c>
      <c r="AC116" s="1273">
        <v>0</v>
      </c>
      <c r="AD116" s="1245" t="s">
        <v>357</v>
      </c>
      <c r="AE116" s="1255"/>
    </row>
    <row r="117" spans="1:31" ht="24.75" customHeight="1">
      <c r="A117" s="1381" t="s">
        <v>358</v>
      </c>
      <c r="B117" s="1279" t="s">
        <v>318</v>
      </c>
      <c r="C117" s="1376">
        <v>46052</v>
      </c>
      <c r="D117" s="1365" t="s">
        <v>129</v>
      </c>
      <c r="E117" s="1280">
        <v>46027</v>
      </c>
      <c r="F117" s="1192" t="s">
        <v>163</v>
      </c>
      <c r="G117" s="1282"/>
      <c r="H117" s="1283">
        <v>0</v>
      </c>
      <c r="I117" s="658" t="s">
        <v>55</v>
      </c>
      <c r="J117" s="1287" t="s">
        <v>63</v>
      </c>
      <c r="K117" s="1390"/>
      <c r="L117" s="1280">
        <v>46027</v>
      </c>
      <c r="M117" s="1213" t="s">
        <v>57</v>
      </c>
      <c r="N117" s="1311">
        <v>18078.28</v>
      </c>
      <c r="O117" s="1369" t="s">
        <v>57</v>
      </c>
      <c r="P117" s="1260" t="s">
        <v>58</v>
      </c>
      <c r="Q117" s="1280">
        <v>46027</v>
      </c>
      <c r="R117" s="1354"/>
      <c r="S117" s="1354"/>
      <c r="T117" s="1395"/>
      <c r="U117" s="1354"/>
      <c r="V117" s="31">
        <v>1284</v>
      </c>
      <c r="W117" s="1501"/>
      <c r="X117" s="1397">
        <f t="shared" ref="X117:X118" si="12">SUM(V117-W117)</f>
        <v>1284</v>
      </c>
      <c r="Y117" s="1142">
        <f t="shared" ref="Y117:Y118" si="13">IFERROR($W117/$V117, 0)</f>
        <v>0</v>
      </c>
      <c r="Z117" s="1355"/>
      <c r="AA117" s="1274">
        <v>0</v>
      </c>
      <c r="AB117" s="1274">
        <v>0</v>
      </c>
      <c r="AC117" s="1273">
        <v>0</v>
      </c>
      <c r="AD117" s="1245" t="s">
        <v>359</v>
      </c>
      <c r="AE117" s="1255"/>
    </row>
    <row r="118" spans="1:31" ht="24.75" customHeight="1">
      <c r="A118" s="1382" t="s">
        <v>360</v>
      </c>
      <c r="B118" s="1279" t="s">
        <v>318</v>
      </c>
      <c r="C118" s="1376">
        <v>46052</v>
      </c>
      <c r="D118" s="1365" t="s">
        <v>129</v>
      </c>
      <c r="E118" s="1383">
        <v>46027</v>
      </c>
      <c r="F118" s="1192" t="s">
        <v>163</v>
      </c>
      <c r="G118" s="1282"/>
      <c r="H118" s="1283">
        <v>0</v>
      </c>
      <c r="I118" s="658" t="s">
        <v>55</v>
      </c>
      <c r="J118" s="1287" t="s">
        <v>63</v>
      </c>
      <c r="K118" s="1391"/>
      <c r="L118" s="1383">
        <v>46027</v>
      </c>
      <c r="M118" s="1213" t="s">
        <v>57</v>
      </c>
      <c r="N118" s="1194">
        <v>54261.05</v>
      </c>
      <c r="O118" s="1369" t="s">
        <v>57</v>
      </c>
      <c r="P118" s="1260" t="s">
        <v>64</v>
      </c>
      <c r="Q118" s="1280">
        <v>46027</v>
      </c>
      <c r="R118" s="1356"/>
      <c r="S118" s="1356"/>
      <c r="T118" s="1396"/>
      <c r="U118" s="1354"/>
      <c r="V118" s="31">
        <v>4022</v>
      </c>
      <c r="W118" s="1506">
        <v>2626</v>
      </c>
      <c r="X118" s="1398">
        <f t="shared" si="12"/>
        <v>1396</v>
      </c>
      <c r="Y118" s="879">
        <f t="shared" si="13"/>
        <v>0.65290900049726508</v>
      </c>
      <c r="Z118" s="1356">
        <v>46037</v>
      </c>
      <c r="AA118" s="1274">
        <v>0</v>
      </c>
      <c r="AB118" s="1274">
        <v>0</v>
      </c>
      <c r="AC118" s="1273">
        <v>0</v>
      </c>
      <c r="AD118" s="1245" t="s">
        <v>361</v>
      </c>
    </row>
    <row r="119" spans="1:31" ht="24.75" customHeight="1">
      <c r="A119" s="1282"/>
      <c r="B119" s="1284"/>
      <c r="C119" s="1284"/>
      <c r="D119" s="1284"/>
      <c r="E119" s="1284"/>
      <c r="F119" s="1282"/>
      <c r="G119" s="1392"/>
      <c r="H119" s="1393"/>
      <c r="I119" s="1393"/>
      <c r="J119" s="1393"/>
      <c r="K119" s="1284"/>
      <c r="L119" s="1282"/>
      <c r="M119" s="1284"/>
      <c r="N119" s="1371"/>
      <c r="O119" s="1284"/>
      <c r="P119" s="1378"/>
      <c r="Q119" s="1385"/>
      <c r="R119" s="1240"/>
      <c r="S119" s="1240"/>
      <c r="T119" s="1240"/>
      <c r="U119" s="1385"/>
      <c r="V119" s="1400"/>
      <c r="W119" s="1385"/>
      <c r="X119" s="1240"/>
      <c r="Y119" s="1240"/>
      <c r="Z119" s="1240"/>
      <c r="AA119" s="1240"/>
      <c r="AB119" s="1240"/>
      <c r="AC119" s="1240"/>
      <c r="AD119" s="1342"/>
    </row>
    <row r="120" spans="1:31" ht="24.75" customHeight="1">
      <c r="A120" s="1282"/>
      <c r="B120" s="1284"/>
      <c r="C120" s="1284"/>
      <c r="D120" s="1284"/>
      <c r="E120" s="1284"/>
      <c r="F120" s="1282"/>
      <c r="G120" s="1282"/>
      <c r="H120" s="1284"/>
      <c r="I120" s="1284"/>
      <c r="J120" s="1284"/>
      <c r="K120" s="1284"/>
      <c r="L120" s="1282"/>
      <c r="M120" s="1284"/>
      <c r="N120" s="1371"/>
      <c r="O120" s="1284"/>
      <c r="P120" s="1378"/>
      <c r="Q120" s="1240"/>
      <c r="R120" s="1240"/>
      <c r="S120" s="1240"/>
      <c r="T120" s="1240"/>
      <c r="U120" s="1240"/>
      <c r="V120" s="1341"/>
      <c r="W120" s="1240"/>
      <c r="X120" s="1240"/>
      <c r="Y120" s="1240"/>
      <c r="Z120" s="1240"/>
      <c r="AA120" s="1240"/>
      <c r="AB120" s="1240"/>
      <c r="AC120" s="1240"/>
      <c r="AD120" s="1342"/>
    </row>
    <row r="121" spans="1:31" ht="24.75" customHeight="1">
      <c r="A121" s="1294" t="s">
        <v>362</v>
      </c>
      <c r="B121" s="1294" t="s">
        <v>20</v>
      </c>
      <c r="C121" s="1294" t="s">
        <v>21</v>
      </c>
      <c r="D121" s="1294" t="s">
        <v>22</v>
      </c>
      <c r="E121" s="1294" t="s">
        <v>23</v>
      </c>
      <c r="F121" s="1294" t="s">
        <v>24</v>
      </c>
      <c r="G121" s="1294" t="s">
        <v>25</v>
      </c>
      <c r="H121" s="1294" t="s">
        <v>26</v>
      </c>
      <c r="I121" s="1294" t="s">
        <v>27</v>
      </c>
      <c r="J121" s="1294" t="s">
        <v>28</v>
      </c>
      <c r="K121" s="1294" t="s">
        <v>29</v>
      </c>
      <c r="L121" s="1294" t="s">
        <v>30</v>
      </c>
      <c r="M121" s="1294" t="s">
        <v>31</v>
      </c>
      <c r="N121" s="1372" t="s">
        <v>32</v>
      </c>
      <c r="O121" s="1294" t="s">
        <v>33</v>
      </c>
      <c r="P121" s="1379" t="s">
        <v>34</v>
      </c>
      <c r="Q121" s="1300" t="s">
        <v>35</v>
      </c>
      <c r="R121" s="1300" t="s">
        <v>36</v>
      </c>
      <c r="S121" s="1300" t="s">
        <v>37</v>
      </c>
      <c r="T121" s="1300" t="s">
        <v>38</v>
      </c>
      <c r="U121" s="1300" t="s">
        <v>39</v>
      </c>
      <c r="V121" s="1300" t="s">
        <v>40</v>
      </c>
      <c r="W121" s="1300" t="s">
        <v>41</v>
      </c>
      <c r="X121" s="1300" t="s">
        <v>42</v>
      </c>
      <c r="Y121" s="1300" t="s">
        <v>43</v>
      </c>
      <c r="Z121" s="1300" t="s">
        <v>44</v>
      </c>
      <c r="AA121" s="1346" t="s">
        <v>45</v>
      </c>
      <c r="AB121" s="1300" t="s">
        <v>46</v>
      </c>
      <c r="AC121" s="1300" t="s">
        <v>47</v>
      </c>
      <c r="AD121" s="1347" t="s">
        <v>48</v>
      </c>
      <c r="AE121" s="1255"/>
    </row>
    <row r="122" spans="1:31" ht="24.75" customHeight="1">
      <c r="A122" s="1282" t="s">
        <v>363</v>
      </c>
      <c r="B122" s="1141" t="s">
        <v>364</v>
      </c>
      <c r="C122" s="1281">
        <v>46081</v>
      </c>
      <c r="D122" s="647" t="s">
        <v>365</v>
      </c>
      <c r="E122" s="1281">
        <v>46029</v>
      </c>
      <c r="F122" s="1282" t="s">
        <v>366</v>
      </c>
      <c r="G122" s="1282"/>
      <c r="H122" s="1305">
        <v>53</v>
      </c>
      <c r="I122" s="658" t="s">
        <v>55</v>
      </c>
      <c r="J122" s="1287" t="s">
        <v>63</v>
      </c>
      <c r="K122" s="1306"/>
      <c r="L122" s="1281"/>
      <c r="M122" s="1287" t="s">
        <v>57</v>
      </c>
      <c r="N122" s="1373">
        <v>51528.05</v>
      </c>
      <c r="O122" s="1287" t="s">
        <v>57</v>
      </c>
      <c r="P122" s="1260" t="s">
        <v>58</v>
      </c>
      <c r="Q122" s="1243">
        <v>45659</v>
      </c>
      <c r="R122" s="1289"/>
      <c r="S122" s="1289"/>
      <c r="T122" s="1289"/>
      <c r="U122" s="1289"/>
      <c r="V122" s="1309">
        <v>4005</v>
      </c>
      <c r="W122" s="1254"/>
      <c r="X122" s="1309">
        <v>4005</v>
      </c>
      <c r="Y122" s="1142">
        <f t="shared" ref="Y122:Y133" si="14">IFERROR($W122/$V122, 0)</f>
        <v>0</v>
      </c>
      <c r="Z122" s="1189"/>
      <c r="AA122" s="1274">
        <v>0</v>
      </c>
      <c r="AB122" s="1274">
        <v>0</v>
      </c>
      <c r="AC122" s="1273">
        <v>0</v>
      </c>
      <c r="AD122" s="1245" t="s">
        <v>367</v>
      </c>
      <c r="AE122" s="1255"/>
    </row>
    <row r="123" spans="1:31" ht="24.75" customHeight="1">
      <c r="A123" s="1282" t="s">
        <v>368</v>
      </c>
      <c r="B123" s="1141" t="s">
        <v>364</v>
      </c>
      <c r="C123" s="1281">
        <v>46081</v>
      </c>
      <c r="D123" s="647"/>
      <c r="E123" s="1281"/>
      <c r="F123" s="1282"/>
      <c r="G123" s="1282"/>
      <c r="H123" s="1305">
        <v>55</v>
      </c>
      <c r="I123" s="658" t="s">
        <v>55</v>
      </c>
      <c r="J123" s="1287" t="s">
        <v>63</v>
      </c>
      <c r="K123" s="1306"/>
      <c r="L123" s="1281"/>
      <c r="M123" s="1287" t="s">
        <v>57</v>
      </c>
      <c r="N123" s="1373">
        <v>55435.9</v>
      </c>
      <c r="O123" s="1287" t="s">
        <v>57</v>
      </c>
      <c r="P123" s="1260" t="s">
        <v>58</v>
      </c>
      <c r="Q123" s="1243"/>
      <c r="R123" s="1289"/>
      <c r="S123" s="1289"/>
      <c r="T123" s="1289"/>
      <c r="U123" s="1289"/>
      <c r="V123" s="1309">
        <v>4571</v>
      </c>
      <c r="W123" s="1348"/>
      <c r="X123" s="1309">
        <v>4571</v>
      </c>
      <c r="Y123" s="871">
        <f t="shared" si="14"/>
        <v>0</v>
      </c>
      <c r="Z123" s="1243"/>
      <c r="AA123" s="1274">
        <v>0</v>
      </c>
      <c r="AB123" s="1274">
        <v>0</v>
      </c>
      <c r="AC123" s="1273">
        <v>0</v>
      </c>
      <c r="AD123" s="1245" t="s">
        <v>369</v>
      </c>
      <c r="AE123" s="1255"/>
    </row>
    <row r="124" spans="1:31" ht="24.75" customHeight="1">
      <c r="A124" s="1282" t="s">
        <v>370</v>
      </c>
      <c r="B124" s="1141" t="s">
        <v>364</v>
      </c>
      <c r="C124" s="1281">
        <v>46081</v>
      </c>
      <c r="D124" s="647"/>
      <c r="E124" s="1281"/>
      <c r="F124" s="1282"/>
      <c r="G124" s="1282"/>
      <c r="H124" s="1283">
        <v>71</v>
      </c>
      <c r="I124" s="658" t="s">
        <v>55</v>
      </c>
      <c r="J124" s="1287" t="s">
        <v>63</v>
      </c>
      <c r="K124" s="1306"/>
      <c r="L124" s="1281"/>
      <c r="M124" s="1287" t="s">
        <v>57</v>
      </c>
      <c r="N124" s="1370">
        <v>74320.899999999994</v>
      </c>
      <c r="O124" s="1287" t="s">
        <v>57</v>
      </c>
      <c r="P124" s="1260" t="s">
        <v>58</v>
      </c>
      <c r="Q124" s="1313"/>
      <c r="R124" s="1289"/>
      <c r="S124" s="1289"/>
      <c r="T124" s="1289"/>
      <c r="U124" s="1289"/>
      <c r="V124" s="1254">
        <v>5990</v>
      </c>
      <c r="W124" s="1348"/>
      <c r="X124" s="1254">
        <v>5990</v>
      </c>
      <c r="Y124" s="871">
        <f t="shared" si="14"/>
        <v>0</v>
      </c>
      <c r="Z124" s="1243"/>
      <c r="AA124" s="1274">
        <v>0</v>
      </c>
      <c r="AB124" s="1274">
        <v>0</v>
      </c>
      <c r="AC124" s="1273">
        <v>0</v>
      </c>
      <c r="AD124" s="1245" t="s">
        <v>369</v>
      </c>
      <c r="AE124" s="1255"/>
    </row>
    <row r="125" spans="1:31" ht="24.75" customHeight="1">
      <c r="A125" s="1282" t="s">
        <v>371</v>
      </c>
      <c r="B125" s="1141" t="s">
        <v>364</v>
      </c>
      <c r="C125" s="1281">
        <v>46081</v>
      </c>
      <c r="D125" s="647"/>
      <c r="E125" s="1281"/>
      <c r="F125" s="1282"/>
      <c r="G125" s="1282"/>
      <c r="H125" s="1283">
        <v>88</v>
      </c>
      <c r="I125" s="658" t="s">
        <v>55</v>
      </c>
      <c r="J125" s="1287" t="s">
        <v>63</v>
      </c>
      <c r="K125" s="1306"/>
      <c r="L125" s="1281"/>
      <c r="M125" s="1287" t="s">
        <v>57</v>
      </c>
      <c r="N125" s="1370">
        <v>88069</v>
      </c>
      <c r="O125" s="1287" t="s">
        <v>57</v>
      </c>
      <c r="P125" s="1260" t="s">
        <v>58</v>
      </c>
      <c r="Q125" s="1313"/>
      <c r="R125" s="1289"/>
      <c r="S125" s="1289"/>
      <c r="T125" s="1289"/>
      <c r="U125" s="1289"/>
      <c r="V125" s="1254">
        <v>7242</v>
      </c>
      <c r="W125" s="1348"/>
      <c r="X125" s="1254">
        <v>7242</v>
      </c>
      <c r="Y125" s="871">
        <f t="shared" si="14"/>
        <v>0</v>
      </c>
      <c r="Z125" s="1243"/>
      <c r="AA125" s="1274">
        <v>0</v>
      </c>
      <c r="AB125" s="1274">
        <v>0</v>
      </c>
      <c r="AC125" s="1273">
        <v>0</v>
      </c>
      <c r="AD125" s="1245" t="s">
        <v>369</v>
      </c>
      <c r="AE125" s="1255"/>
    </row>
    <row r="126" spans="1:31" ht="24.75" customHeight="1">
      <c r="A126" s="1282" t="s">
        <v>372</v>
      </c>
      <c r="B126" s="1141" t="s">
        <v>364</v>
      </c>
      <c r="C126" s="1281">
        <v>46081</v>
      </c>
      <c r="D126" s="647" t="s">
        <v>365</v>
      </c>
      <c r="E126" s="1281">
        <v>46029</v>
      </c>
      <c r="F126" s="1282" t="s">
        <v>366</v>
      </c>
      <c r="G126" s="1282"/>
      <c r="H126" s="1283">
        <v>73</v>
      </c>
      <c r="I126" s="658" t="s">
        <v>55</v>
      </c>
      <c r="J126" s="1287" t="s">
        <v>63</v>
      </c>
      <c r="K126" s="1284"/>
      <c r="L126" s="1285"/>
      <c r="M126" s="1287" t="s">
        <v>92</v>
      </c>
      <c r="N126" s="1370"/>
      <c r="O126" s="1287" t="s">
        <v>57</v>
      </c>
      <c r="P126" s="1260" t="s">
        <v>58</v>
      </c>
      <c r="Q126" s="1243">
        <v>45659</v>
      </c>
      <c r="R126" s="1289"/>
      <c r="S126" s="1289"/>
      <c r="T126" s="1289"/>
      <c r="U126" s="1289"/>
      <c r="V126" s="1254">
        <v>7660</v>
      </c>
      <c r="W126" s="1348"/>
      <c r="X126" s="1254">
        <v>7660</v>
      </c>
      <c r="Y126" s="871">
        <f t="shared" si="14"/>
        <v>0</v>
      </c>
      <c r="Z126" s="1189"/>
      <c r="AA126" s="1274">
        <v>0</v>
      </c>
      <c r="AB126" s="1274">
        <v>0</v>
      </c>
      <c r="AC126" s="1273">
        <v>0</v>
      </c>
      <c r="AD126" s="1245" t="s">
        <v>367</v>
      </c>
      <c r="AE126" s="1255"/>
    </row>
    <row r="127" spans="1:31" ht="24.75" customHeight="1">
      <c r="A127" s="1282" t="s">
        <v>373</v>
      </c>
      <c r="B127" s="1141" t="s">
        <v>364</v>
      </c>
      <c r="C127" s="1281">
        <v>46081</v>
      </c>
      <c r="D127" s="647"/>
      <c r="E127" s="1281"/>
      <c r="F127" s="1282"/>
      <c r="G127" s="1282"/>
      <c r="H127" s="1283">
        <v>87</v>
      </c>
      <c r="I127" s="658" t="s">
        <v>55</v>
      </c>
      <c r="J127" s="1287" t="s">
        <v>63</v>
      </c>
      <c r="K127" s="1284"/>
      <c r="L127" s="1285"/>
      <c r="M127" s="1287" t="s">
        <v>57</v>
      </c>
      <c r="N127" s="1374">
        <v>105458.4</v>
      </c>
      <c r="O127" s="1287" t="s">
        <v>57</v>
      </c>
      <c r="P127" s="1260" t="s">
        <v>58</v>
      </c>
      <c r="Q127" s="1313"/>
      <c r="R127" s="1289"/>
      <c r="S127" s="1289"/>
      <c r="T127" s="1289"/>
      <c r="U127" s="1289"/>
      <c r="V127" s="1254">
        <v>8596</v>
      </c>
      <c r="W127" s="1348"/>
      <c r="X127" s="1254">
        <v>8596</v>
      </c>
      <c r="Y127" s="871">
        <f t="shared" si="14"/>
        <v>0</v>
      </c>
      <c r="Z127" s="1243"/>
      <c r="AA127" s="1274">
        <v>0</v>
      </c>
      <c r="AB127" s="1274">
        <v>0</v>
      </c>
      <c r="AC127" s="1273">
        <v>0</v>
      </c>
      <c r="AD127" s="1245" t="s">
        <v>374</v>
      </c>
      <c r="AE127" s="1255"/>
    </row>
    <row r="128" spans="1:31" ht="24.75" customHeight="1">
      <c r="A128" s="1282" t="s">
        <v>375</v>
      </c>
      <c r="B128" s="1141" t="s">
        <v>364</v>
      </c>
      <c r="C128" s="1281">
        <v>46081</v>
      </c>
      <c r="D128" s="647"/>
      <c r="E128" s="1281"/>
      <c r="F128" s="1282"/>
      <c r="G128" s="1282"/>
      <c r="H128" s="1283">
        <v>70</v>
      </c>
      <c r="I128" s="658" t="s">
        <v>55</v>
      </c>
      <c r="J128" s="1287" t="s">
        <v>63</v>
      </c>
      <c r="K128" s="1284"/>
      <c r="L128" s="1285"/>
      <c r="M128" s="1287" t="s">
        <v>57</v>
      </c>
      <c r="N128" s="1374">
        <v>70105.25</v>
      </c>
      <c r="O128" s="1287" t="s">
        <v>57</v>
      </c>
      <c r="P128" s="1260" t="s">
        <v>58</v>
      </c>
      <c r="Q128" s="1313"/>
      <c r="R128" s="1289"/>
      <c r="S128" s="1289"/>
      <c r="T128" s="1289"/>
      <c r="U128" s="1289"/>
      <c r="V128" s="1254">
        <v>5648</v>
      </c>
      <c r="W128" s="1348"/>
      <c r="X128" s="1254">
        <v>5648</v>
      </c>
      <c r="Y128" s="871">
        <f t="shared" si="14"/>
        <v>0</v>
      </c>
      <c r="Z128" s="1189"/>
      <c r="AA128" s="1274">
        <v>0</v>
      </c>
      <c r="AB128" s="1274">
        <v>0</v>
      </c>
      <c r="AC128" s="1273">
        <v>0</v>
      </c>
      <c r="AD128" s="1245" t="s">
        <v>376</v>
      </c>
      <c r="AE128" s="1255"/>
    </row>
    <row r="129" spans="1:31" ht="24.75" customHeight="1">
      <c r="A129" s="1282" t="s">
        <v>377</v>
      </c>
      <c r="B129" s="1141" t="s">
        <v>364</v>
      </c>
      <c r="C129" s="1281">
        <v>46081</v>
      </c>
      <c r="D129" s="647"/>
      <c r="E129" s="1281"/>
      <c r="F129" s="1282"/>
      <c r="G129" s="1282"/>
      <c r="H129" s="1283">
        <v>77</v>
      </c>
      <c r="I129" s="658" t="s">
        <v>55</v>
      </c>
      <c r="J129" s="1287" t="s">
        <v>63</v>
      </c>
      <c r="K129" s="1284"/>
      <c r="L129" s="1285"/>
      <c r="M129" s="1287" t="s">
        <v>57</v>
      </c>
      <c r="N129" s="1370">
        <v>78047.350000000006</v>
      </c>
      <c r="O129" s="1287" t="s">
        <v>57</v>
      </c>
      <c r="P129" s="1260" t="s">
        <v>58</v>
      </c>
      <c r="Q129" s="1313"/>
      <c r="R129" s="1289"/>
      <c r="S129" s="1289"/>
      <c r="T129" s="1289"/>
      <c r="U129" s="1289"/>
      <c r="V129" s="1254">
        <v>6238</v>
      </c>
      <c r="W129" s="1348"/>
      <c r="X129" s="1254">
        <v>6238</v>
      </c>
      <c r="Y129" s="871">
        <f t="shared" si="14"/>
        <v>0</v>
      </c>
      <c r="Z129" s="1189"/>
      <c r="AA129" s="1274">
        <v>0</v>
      </c>
      <c r="AB129" s="1274">
        <v>0</v>
      </c>
      <c r="AC129" s="1273">
        <v>0</v>
      </c>
      <c r="AD129" s="1245" t="s">
        <v>376</v>
      </c>
      <c r="AE129" s="1255"/>
    </row>
    <row r="130" spans="1:31" ht="24.75" customHeight="1">
      <c r="A130" s="1282" t="s">
        <v>378</v>
      </c>
      <c r="B130" s="1141" t="s">
        <v>364</v>
      </c>
      <c r="C130" s="1281">
        <v>46081</v>
      </c>
      <c r="D130" s="647"/>
      <c r="E130" s="1281"/>
      <c r="F130" s="1282"/>
      <c r="G130" s="1282"/>
      <c r="H130" s="1283">
        <v>52</v>
      </c>
      <c r="I130" s="658" t="s">
        <v>55</v>
      </c>
      <c r="J130" s="1287" t="s">
        <v>63</v>
      </c>
      <c r="K130" s="1284"/>
      <c r="L130" s="1285"/>
      <c r="M130" s="1287" t="s">
        <v>57</v>
      </c>
      <c r="N130" s="1370">
        <v>91411.65</v>
      </c>
      <c r="O130" s="1287" t="s">
        <v>57</v>
      </c>
      <c r="P130" s="1260" t="s">
        <v>58</v>
      </c>
      <c r="Q130" s="1313"/>
      <c r="R130" s="1289"/>
      <c r="S130" s="1289"/>
      <c r="T130" s="1289"/>
      <c r="U130" s="1289"/>
      <c r="V130" s="1254">
        <v>5926</v>
      </c>
      <c r="W130" s="1348"/>
      <c r="X130" s="1254">
        <v>5926</v>
      </c>
      <c r="Y130" s="871">
        <f t="shared" si="14"/>
        <v>0</v>
      </c>
      <c r="Z130" s="1243"/>
      <c r="AA130" s="1274">
        <v>0</v>
      </c>
      <c r="AB130" s="1274">
        <v>0</v>
      </c>
      <c r="AC130" s="1273">
        <v>0</v>
      </c>
      <c r="AD130" s="1245" t="s">
        <v>369</v>
      </c>
      <c r="AE130" s="1255"/>
    </row>
    <row r="131" spans="1:31" ht="24.75" customHeight="1">
      <c r="A131" s="1375" t="s">
        <v>379</v>
      </c>
      <c r="B131" s="1141" t="s">
        <v>364</v>
      </c>
      <c r="C131" s="1281">
        <v>46081</v>
      </c>
      <c r="D131" s="647"/>
      <c r="E131" s="1376"/>
      <c r="F131" s="1375"/>
      <c r="G131" s="1282"/>
      <c r="H131" s="1283">
        <v>81</v>
      </c>
      <c r="I131" s="658" t="s">
        <v>55</v>
      </c>
      <c r="J131" s="1287" t="s">
        <v>63</v>
      </c>
      <c r="K131" s="1377"/>
      <c r="L131" s="1376"/>
      <c r="M131" s="1287" t="s">
        <v>57</v>
      </c>
      <c r="N131" s="1370">
        <v>105892.05</v>
      </c>
      <c r="O131" s="1287" t="s">
        <v>57</v>
      </c>
      <c r="P131" s="1260" t="s">
        <v>58</v>
      </c>
      <c r="Q131" s="1507"/>
      <c r="R131" s="1354"/>
      <c r="S131" s="1354"/>
      <c r="T131" s="1354"/>
      <c r="U131" s="1354"/>
      <c r="V131" s="1254">
        <v>8641</v>
      </c>
      <c r="W131" s="1501"/>
      <c r="X131" s="1254">
        <v>8641</v>
      </c>
      <c r="Y131" s="871">
        <f t="shared" si="14"/>
        <v>0</v>
      </c>
      <c r="Z131" s="1355"/>
      <c r="AA131" s="1274">
        <v>0</v>
      </c>
      <c r="AB131" s="1274">
        <v>0</v>
      </c>
      <c r="AC131" s="1273">
        <v>0</v>
      </c>
      <c r="AD131" s="1245" t="s">
        <v>369</v>
      </c>
      <c r="AE131" s="1255"/>
    </row>
    <row r="132" spans="1:31" ht="24.75" customHeight="1">
      <c r="A132" s="1375" t="s">
        <v>380</v>
      </c>
      <c r="B132" s="1141" t="s">
        <v>364</v>
      </c>
      <c r="C132" s="1281">
        <v>46081</v>
      </c>
      <c r="D132" s="647"/>
      <c r="E132" s="1376"/>
      <c r="F132" s="1375"/>
      <c r="G132" s="1282"/>
      <c r="H132" s="1283">
        <v>79</v>
      </c>
      <c r="I132" s="658" t="s">
        <v>55</v>
      </c>
      <c r="J132" s="1287" t="s">
        <v>63</v>
      </c>
      <c r="K132" s="1377"/>
      <c r="L132" s="1376"/>
      <c r="M132" s="1287" t="s">
        <v>57</v>
      </c>
      <c r="N132" s="1370">
        <v>88420</v>
      </c>
      <c r="O132" s="1287" t="s">
        <v>57</v>
      </c>
      <c r="P132" s="1260" t="s">
        <v>58</v>
      </c>
      <c r="Q132" s="1508"/>
      <c r="R132" s="1356"/>
      <c r="S132" s="1356"/>
      <c r="T132" s="1356"/>
      <c r="U132" s="1356"/>
      <c r="V132" s="1358">
        <v>7502</v>
      </c>
      <c r="W132" s="1509"/>
      <c r="X132" s="1358">
        <v>7502</v>
      </c>
      <c r="Y132" s="879">
        <f t="shared" si="14"/>
        <v>0</v>
      </c>
      <c r="Z132" s="1357"/>
      <c r="AA132" s="1274">
        <v>0</v>
      </c>
      <c r="AB132" s="1274">
        <v>0</v>
      </c>
      <c r="AC132" s="1273">
        <v>0</v>
      </c>
      <c r="AD132" s="1245" t="s">
        <v>369</v>
      </c>
      <c r="AE132" s="1255"/>
    </row>
    <row r="133" spans="1:31" ht="24.75" customHeight="1">
      <c r="A133" s="1375" t="s">
        <v>381</v>
      </c>
      <c r="B133" s="1141" t="s">
        <v>364</v>
      </c>
      <c r="C133" s="1281">
        <v>46081</v>
      </c>
      <c r="D133" s="647" t="s">
        <v>365</v>
      </c>
      <c r="E133" s="1281">
        <v>46029</v>
      </c>
      <c r="F133" s="1375" t="s">
        <v>366</v>
      </c>
      <c r="G133" s="1282"/>
      <c r="H133" s="1283">
        <v>0</v>
      </c>
      <c r="I133" s="658" t="s">
        <v>55</v>
      </c>
      <c r="J133" s="1287" t="s">
        <v>63</v>
      </c>
      <c r="K133" s="1377"/>
      <c r="L133" s="1376"/>
      <c r="M133" s="1287" t="s">
        <v>92</v>
      </c>
      <c r="N133" s="1370"/>
      <c r="O133" s="1287" t="s">
        <v>57</v>
      </c>
      <c r="P133" s="1260" t="s">
        <v>58</v>
      </c>
      <c r="Q133" s="1243">
        <v>45659</v>
      </c>
      <c r="R133" s="1356"/>
      <c r="S133" s="1356"/>
      <c r="T133" s="1356"/>
      <c r="U133" s="1356"/>
      <c r="V133" s="1358">
        <v>3682</v>
      </c>
      <c r="W133" s="1509"/>
      <c r="X133" s="1358">
        <v>3682</v>
      </c>
      <c r="Y133" s="879">
        <f t="shared" si="14"/>
        <v>0</v>
      </c>
      <c r="Z133" s="1357"/>
      <c r="AA133" s="1274">
        <v>0</v>
      </c>
      <c r="AB133" s="1274">
        <v>0</v>
      </c>
      <c r="AC133" s="1273">
        <v>0</v>
      </c>
      <c r="AD133" s="1245" t="s">
        <v>382</v>
      </c>
      <c r="AE133" s="1255"/>
    </row>
    <row r="134" spans="1:31" ht="24.75" customHeight="1">
      <c r="A134" s="1282"/>
      <c r="B134" s="1284"/>
      <c r="C134" s="1284"/>
      <c r="D134" s="1284"/>
      <c r="E134" s="1284"/>
      <c r="F134" s="1282"/>
      <c r="G134" s="1282"/>
      <c r="H134" s="1284"/>
      <c r="I134" s="1284"/>
      <c r="J134" s="1284"/>
      <c r="K134" s="1284"/>
      <c r="L134" s="1282"/>
      <c r="M134" s="1284"/>
      <c r="N134" s="1371"/>
      <c r="O134" s="1284"/>
      <c r="P134" s="1255"/>
      <c r="AE134" s="1255"/>
    </row>
    <row r="135" spans="1:31" ht="24.75" customHeight="1">
      <c r="A135" s="1282"/>
      <c r="B135" s="1284"/>
      <c r="C135" s="1284"/>
      <c r="D135" s="1284"/>
      <c r="E135" s="1284"/>
      <c r="F135" s="1282"/>
      <c r="G135" s="1282"/>
      <c r="H135" s="1284"/>
      <c r="I135" s="1284"/>
      <c r="J135" s="1284"/>
      <c r="K135" s="1284"/>
      <c r="L135" s="1282"/>
      <c r="M135" s="1284"/>
      <c r="N135" s="1371"/>
      <c r="O135" s="1284"/>
      <c r="P135" s="1255"/>
      <c r="AE135" s="1255"/>
    </row>
    <row r="136" spans="1:31" ht="24.75" customHeight="1">
      <c r="A136" s="1282"/>
      <c r="B136" s="1284"/>
      <c r="C136" s="1284"/>
      <c r="D136" s="1284"/>
      <c r="E136" s="1284"/>
      <c r="F136" s="1282"/>
      <c r="G136" s="1282"/>
      <c r="H136" s="1284"/>
      <c r="I136" s="1284"/>
      <c r="J136" s="1284"/>
      <c r="K136" s="1284"/>
      <c r="L136" s="1282"/>
      <c r="M136" s="1284"/>
      <c r="N136" s="1371"/>
      <c r="O136" s="1284"/>
      <c r="P136" s="1255"/>
      <c r="AE136" s="1255"/>
    </row>
    <row r="137" spans="1:31" ht="24.75" customHeight="1">
      <c r="A137" s="1282"/>
      <c r="B137" s="1284"/>
      <c r="C137" s="1284"/>
      <c r="D137" s="1284"/>
      <c r="E137" s="1284"/>
      <c r="F137" s="1282"/>
      <c r="G137" s="1282"/>
      <c r="H137" s="1284"/>
      <c r="I137" s="1284"/>
      <c r="J137" s="1284"/>
      <c r="K137" s="1284"/>
      <c r="L137" s="1282"/>
      <c r="M137" s="1284"/>
      <c r="N137" s="1371"/>
      <c r="O137" s="1284"/>
      <c r="P137" s="1255"/>
      <c r="AE137" s="1255"/>
    </row>
    <row r="138" spans="1:31" ht="24.75" customHeight="1">
      <c r="A138" s="1282"/>
      <c r="B138" s="1284"/>
      <c r="C138" s="1284"/>
      <c r="D138" s="1284"/>
      <c r="E138" s="1284"/>
      <c r="F138" s="1282"/>
      <c r="G138" s="1282"/>
      <c r="H138" s="1284"/>
      <c r="I138" s="1284"/>
      <c r="J138" s="1284"/>
      <c r="K138" s="1284"/>
      <c r="L138" s="1282"/>
      <c r="M138" s="1284"/>
      <c r="N138" s="1371"/>
      <c r="O138" s="1284"/>
      <c r="P138" s="1255"/>
      <c r="AE138" s="1255"/>
    </row>
    <row r="139" spans="1:31" ht="24.75" customHeight="1">
      <c r="A139" s="1282"/>
      <c r="B139" s="1284"/>
      <c r="C139" s="1284"/>
      <c r="D139" s="1284"/>
      <c r="E139" s="1284"/>
      <c r="F139" s="1282"/>
      <c r="G139" s="1282"/>
      <c r="H139" s="1284"/>
      <c r="I139" s="1284"/>
      <c r="J139" s="1284"/>
      <c r="K139" s="1284"/>
      <c r="L139" s="1282"/>
      <c r="M139" s="1284"/>
      <c r="N139" s="1371"/>
      <c r="O139" s="1284"/>
      <c r="P139" s="1255"/>
      <c r="AE139" s="1255"/>
    </row>
    <row r="140" spans="1:31" ht="24.75" customHeight="1">
      <c r="A140" s="1282"/>
      <c r="B140" s="1284"/>
      <c r="C140" s="1284"/>
      <c r="D140" s="1284"/>
      <c r="E140" s="1284"/>
      <c r="F140" s="1282"/>
      <c r="G140" s="1282"/>
      <c r="H140" s="1284"/>
      <c r="I140" s="1284"/>
      <c r="J140" s="1284"/>
      <c r="K140" s="1284"/>
      <c r="L140" s="1282"/>
      <c r="M140" s="1284"/>
      <c r="N140" s="1371"/>
      <c r="O140" s="1284"/>
      <c r="P140" s="1380"/>
      <c r="Q140" s="1257"/>
      <c r="R140" s="1257"/>
      <c r="S140" s="1257"/>
      <c r="T140" s="1257"/>
      <c r="U140" s="1257"/>
      <c r="V140" s="1343"/>
      <c r="W140" s="1257"/>
      <c r="X140" s="1257"/>
      <c r="Y140" s="1257"/>
      <c r="Z140" s="1257"/>
      <c r="AA140" s="1257"/>
      <c r="AB140" s="1257"/>
      <c r="AC140" s="1257"/>
      <c r="AD140" s="1345"/>
    </row>
    <row r="141" spans="1:31" ht="24.75" customHeight="1">
      <c r="A141" s="1282"/>
      <c r="B141" s="1284"/>
      <c r="C141" s="1284"/>
      <c r="D141" s="1284"/>
      <c r="E141" s="1284"/>
      <c r="F141" s="1282"/>
      <c r="G141" s="1282"/>
      <c r="H141" s="1284"/>
      <c r="I141" s="1284"/>
      <c r="J141" s="1284"/>
      <c r="K141" s="1284"/>
      <c r="L141" s="1282"/>
      <c r="M141" s="1284"/>
      <c r="N141" s="1371"/>
      <c r="O141" s="1284"/>
      <c r="P141" s="1255"/>
    </row>
    <row r="142" spans="1:31" ht="24.75" customHeight="1">
      <c r="A142" s="1282"/>
      <c r="B142" s="1284"/>
      <c r="C142" s="1284"/>
      <c r="D142" s="1284"/>
      <c r="E142" s="1284"/>
      <c r="F142" s="1282"/>
      <c r="G142" s="1282"/>
      <c r="H142" s="1284"/>
      <c r="I142" s="1284"/>
      <c r="J142" s="1284"/>
      <c r="K142" s="1284"/>
      <c r="L142" s="1282"/>
      <c r="M142" s="1284"/>
      <c r="N142" s="1371"/>
      <c r="O142" s="1284"/>
      <c r="P142" s="1255"/>
    </row>
    <row r="143" spans="1:31" ht="24.75" customHeight="1">
      <c r="A143" s="1282"/>
      <c r="B143" s="1284"/>
      <c r="C143" s="1284"/>
      <c r="D143" s="1284"/>
      <c r="E143" s="1284"/>
      <c r="F143" s="1282"/>
      <c r="G143" s="1282"/>
      <c r="H143" s="1284"/>
      <c r="I143" s="1284"/>
      <c r="J143" s="1284"/>
      <c r="K143" s="1284"/>
      <c r="L143" s="1282"/>
      <c r="M143" s="1284"/>
      <c r="N143" s="1371"/>
      <c r="O143" s="1284"/>
      <c r="P143" s="1255"/>
    </row>
    <row r="144" spans="1:31" ht="24.75" customHeight="1">
      <c r="A144" s="1282"/>
      <c r="B144" s="1284"/>
      <c r="C144" s="1284"/>
      <c r="D144" s="1284"/>
      <c r="E144" s="1284"/>
      <c r="F144" s="1282"/>
      <c r="G144" s="1282"/>
      <c r="H144" s="1284"/>
      <c r="I144" s="1284"/>
      <c r="J144" s="1284"/>
      <c r="K144" s="1284"/>
      <c r="L144" s="1282"/>
      <c r="M144" s="1284"/>
      <c r="N144" s="1371"/>
      <c r="O144" s="1284"/>
      <c r="P144" s="1255"/>
    </row>
    <row r="145" spans="1:16" ht="24.75" customHeight="1">
      <c r="A145" s="1282"/>
      <c r="B145" s="1284"/>
      <c r="C145" s="1284"/>
      <c r="D145" s="1284"/>
      <c r="E145" s="1284"/>
      <c r="F145" s="1282"/>
      <c r="G145" s="1282"/>
      <c r="H145" s="1284"/>
      <c r="I145" s="1284"/>
      <c r="J145" s="1284"/>
      <c r="K145" s="1284"/>
      <c r="L145" s="1282"/>
      <c r="M145" s="1284"/>
      <c r="N145" s="1371"/>
      <c r="O145" s="1284"/>
      <c r="P145" s="1255"/>
    </row>
    <row r="146" spans="1:16" ht="24.75" customHeight="1">
      <c r="A146" s="1282"/>
      <c r="B146" s="1284"/>
      <c r="C146" s="1284"/>
      <c r="D146" s="1284"/>
      <c r="E146" s="1284"/>
      <c r="F146" s="1282"/>
      <c r="G146" s="1282"/>
      <c r="H146" s="1284"/>
      <c r="I146" s="1284"/>
      <c r="J146" s="1284"/>
      <c r="K146" s="1284"/>
      <c r="L146" s="1282"/>
      <c r="M146" s="1284"/>
      <c r="N146" s="1371"/>
      <c r="O146" s="1284"/>
      <c r="P146" s="1255"/>
    </row>
    <row r="147" spans="1:16" ht="24.75" customHeight="1">
      <c r="A147" s="1282"/>
      <c r="B147" s="1284"/>
      <c r="C147" s="1284"/>
      <c r="D147" s="1284"/>
      <c r="E147" s="1284"/>
      <c r="F147" s="1282"/>
      <c r="G147" s="1282"/>
      <c r="H147" s="1284"/>
      <c r="I147" s="1284"/>
      <c r="J147" s="1284"/>
      <c r="K147" s="1284"/>
      <c r="L147" s="1282"/>
      <c r="M147" s="1284"/>
      <c r="N147" s="1371"/>
      <c r="O147" s="1284"/>
      <c r="P147" s="1255"/>
    </row>
    <row r="148" spans="1:16" ht="24.75" customHeight="1">
      <c r="A148" s="1282"/>
      <c r="B148" s="1284"/>
      <c r="C148" s="1284"/>
      <c r="D148" s="1284"/>
      <c r="E148" s="1284"/>
      <c r="F148" s="1282"/>
      <c r="G148" s="1282"/>
      <c r="H148" s="1284"/>
      <c r="I148" s="1284"/>
      <c r="J148" s="1284"/>
      <c r="K148" s="1284"/>
      <c r="L148" s="1282"/>
      <c r="M148" s="1284"/>
      <c r="N148" s="1371"/>
      <c r="O148" s="1284"/>
      <c r="P148" s="1255"/>
    </row>
    <row r="149" spans="1:16" ht="24.75" customHeight="1">
      <c r="A149" s="1282"/>
      <c r="B149" s="1284"/>
      <c r="C149" s="1284"/>
      <c r="D149" s="1284"/>
      <c r="E149" s="1284"/>
      <c r="F149" s="1282"/>
      <c r="G149" s="1282"/>
      <c r="H149" s="1284"/>
      <c r="I149" s="1284"/>
      <c r="J149" s="1284"/>
      <c r="K149" s="1284"/>
      <c r="L149" s="1282"/>
      <c r="M149" s="1284"/>
      <c r="N149" s="1371"/>
      <c r="O149" s="1284"/>
      <c r="P149" s="1255"/>
    </row>
    <row r="150" spans="1:16" ht="24.75" customHeight="1">
      <c r="A150" s="1282"/>
      <c r="B150" s="1284"/>
      <c r="C150" s="1284"/>
      <c r="D150" s="1284"/>
      <c r="E150" s="1284"/>
      <c r="F150" s="1282"/>
      <c r="G150" s="1282"/>
      <c r="H150" s="1284"/>
      <c r="I150" s="1284"/>
      <c r="J150" s="1284"/>
      <c r="K150" s="1284"/>
      <c r="L150" s="1282"/>
      <c r="M150" s="1284"/>
      <c r="N150" s="1371"/>
      <c r="O150" s="1284"/>
      <c r="P150" s="1255"/>
    </row>
    <row r="151" spans="1:16" ht="24.75" customHeight="1">
      <c r="A151" s="1282"/>
      <c r="B151" s="1284"/>
      <c r="C151" s="1284"/>
      <c r="D151" s="1284"/>
      <c r="E151" s="1284"/>
      <c r="F151" s="1282"/>
      <c r="G151" s="1282"/>
      <c r="H151" s="1284"/>
      <c r="I151" s="1284"/>
      <c r="J151" s="1284"/>
      <c r="K151" s="1284"/>
      <c r="L151" s="1282"/>
      <c r="M151" s="1284"/>
      <c r="N151" s="1371"/>
      <c r="O151" s="1284"/>
      <c r="P151" s="1255"/>
    </row>
    <row r="152" spans="1:16" ht="24.75" customHeight="1">
      <c r="A152" s="1282"/>
      <c r="B152" s="1284"/>
      <c r="C152" s="1284"/>
      <c r="D152" s="1284"/>
      <c r="E152" s="1284"/>
      <c r="F152" s="1282"/>
      <c r="G152" s="1282"/>
      <c r="H152" s="1284"/>
      <c r="I152" s="1284"/>
      <c r="J152" s="1284"/>
      <c r="K152" s="1284"/>
      <c r="L152" s="1282"/>
      <c r="M152" s="1284"/>
      <c r="N152" s="1371"/>
      <c r="O152" s="1284"/>
      <c r="P152" s="1255"/>
    </row>
    <row r="153" spans="1:16" ht="24.75" customHeight="1">
      <c r="A153" s="1282"/>
      <c r="B153" s="1284"/>
      <c r="C153" s="1284"/>
      <c r="D153" s="1284"/>
      <c r="E153" s="1284"/>
      <c r="F153" s="1282"/>
      <c r="G153" s="1282"/>
      <c r="H153" s="1284"/>
      <c r="I153" s="1284"/>
      <c r="J153" s="1284"/>
      <c r="K153" s="1284"/>
      <c r="L153" s="1282"/>
      <c r="M153" s="1284"/>
      <c r="N153" s="1371"/>
      <c r="O153" s="1284"/>
      <c r="P153" s="1255"/>
    </row>
    <row r="154" spans="1:16" ht="24.75" customHeight="1">
      <c r="A154" s="1282"/>
      <c r="B154" s="1284"/>
      <c r="C154" s="1284"/>
      <c r="D154" s="1284"/>
      <c r="E154" s="1284"/>
      <c r="F154" s="1282"/>
      <c r="G154" s="1282"/>
      <c r="H154" s="1284"/>
      <c r="I154" s="1284"/>
      <c r="J154" s="1284"/>
      <c r="K154" s="1284"/>
      <c r="L154" s="1282"/>
      <c r="M154" s="1284"/>
      <c r="N154" s="1371"/>
      <c r="O154" s="1284"/>
      <c r="P154" s="1255"/>
    </row>
    <row r="155" spans="1:16" ht="24.75" customHeight="1">
      <c r="A155" s="1282"/>
      <c r="B155" s="1284"/>
      <c r="C155" s="1284"/>
      <c r="D155" s="1284"/>
      <c r="E155" s="1284"/>
      <c r="F155" s="1282"/>
      <c r="G155" s="1282"/>
      <c r="H155" s="1284"/>
      <c r="I155" s="1284"/>
      <c r="J155" s="1284"/>
      <c r="K155" s="1284"/>
      <c r="L155" s="1282"/>
      <c r="M155" s="1284"/>
      <c r="N155" s="1371"/>
      <c r="O155" s="1284"/>
      <c r="P155" s="1255"/>
    </row>
    <row r="156" spans="1:16" ht="24.75" customHeight="1">
      <c r="A156" s="1282"/>
      <c r="B156" s="1284"/>
      <c r="C156" s="1284"/>
      <c r="D156" s="1284"/>
      <c r="E156" s="1284"/>
      <c r="F156" s="1282"/>
      <c r="G156" s="1282"/>
      <c r="H156" s="1284"/>
      <c r="I156" s="1284"/>
      <c r="J156" s="1284"/>
      <c r="K156" s="1284"/>
      <c r="L156" s="1282"/>
      <c r="M156" s="1284"/>
      <c r="N156" s="1371"/>
      <c r="O156" s="1284"/>
      <c r="P156" s="1255"/>
    </row>
    <row r="157" spans="1:16" ht="24.75" customHeight="1">
      <c r="A157" s="1282"/>
      <c r="B157" s="1284"/>
      <c r="C157" s="1284"/>
      <c r="D157" s="1284"/>
      <c r="E157" s="1284"/>
      <c r="F157" s="1282"/>
      <c r="G157" s="1282"/>
      <c r="H157" s="1284"/>
      <c r="I157" s="1284"/>
      <c r="J157" s="1284"/>
      <c r="K157" s="1284"/>
      <c r="L157" s="1282"/>
      <c r="M157" s="1284"/>
      <c r="N157" s="1371"/>
      <c r="O157" s="1284"/>
      <c r="P157" s="1255"/>
    </row>
    <row r="158" spans="1:16" ht="24.75" customHeight="1">
      <c r="A158" s="1282"/>
      <c r="B158" s="1284"/>
      <c r="C158" s="1284"/>
      <c r="D158" s="1284"/>
      <c r="E158" s="1284"/>
      <c r="F158" s="1282"/>
      <c r="G158" s="1282"/>
      <c r="H158" s="1284"/>
      <c r="I158" s="1284"/>
      <c r="J158" s="1284"/>
      <c r="K158" s="1284"/>
      <c r="L158" s="1282"/>
      <c r="M158" s="1284"/>
      <c r="N158" s="1371"/>
      <c r="O158" s="1284"/>
      <c r="P158" s="1255"/>
    </row>
    <row r="159" spans="1:16" ht="24.75" customHeight="1">
      <c r="A159" s="1282"/>
      <c r="B159" s="1284"/>
      <c r="C159" s="1284"/>
      <c r="D159" s="1284"/>
      <c r="E159" s="1284"/>
      <c r="F159" s="1282"/>
      <c r="G159" s="1282"/>
      <c r="H159" s="1284"/>
      <c r="I159" s="1284"/>
      <c r="J159" s="1284"/>
      <c r="K159" s="1284"/>
      <c r="L159" s="1282"/>
      <c r="M159" s="1284"/>
      <c r="N159" s="1371"/>
      <c r="O159" s="1284"/>
      <c r="P159" s="1255"/>
    </row>
    <row r="160" spans="1:16" ht="24.75" customHeight="1">
      <c r="A160" s="1282"/>
      <c r="B160" s="1284"/>
      <c r="C160" s="1284"/>
      <c r="D160" s="1284"/>
      <c r="E160" s="1284"/>
      <c r="F160" s="1282"/>
      <c r="G160" s="1282"/>
      <c r="H160" s="1284"/>
      <c r="I160" s="1284"/>
      <c r="J160" s="1284"/>
      <c r="K160" s="1284"/>
      <c r="L160" s="1282"/>
      <c r="M160" s="1284"/>
      <c r="N160" s="1371"/>
      <c r="O160" s="1284"/>
      <c r="P160" s="1255"/>
    </row>
    <row r="161" spans="1:16" ht="24.75" customHeight="1">
      <c r="A161" s="1282"/>
      <c r="B161" s="1284"/>
      <c r="C161" s="1284"/>
      <c r="D161" s="1284"/>
      <c r="E161" s="1284"/>
      <c r="F161" s="1282"/>
      <c r="G161" s="1282"/>
      <c r="H161" s="1284"/>
      <c r="I161" s="1284"/>
      <c r="J161" s="1284"/>
      <c r="K161" s="1284"/>
      <c r="L161" s="1282"/>
      <c r="M161" s="1284"/>
      <c r="N161" s="1371"/>
      <c r="O161" s="1284"/>
      <c r="P161" s="1255"/>
    </row>
    <row r="162" spans="1:16" ht="24.75" customHeight="1">
      <c r="A162" s="1282"/>
      <c r="B162" s="1284"/>
      <c r="C162" s="1284"/>
      <c r="D162" s="1284"/>
      <c r="E162" s="1284"/>
      <c r="F162" s="1282"/>
      <c r="G162" s="1282"/>
      <c r="H162" s="1284"/>
      <c r="I162" s="1284"/>
      <c r="J162" s="1284"/>
      <c r="K162" s="1284"/>
      <c r="L162" s="1282"/>
      <c r="M162" s="1284"/>
      <c r="N162" s="1371"/>
      <c r="O162" s="1284"/>
      <c r="P162" s="1255"/>
    </row>
    <row r="163" spans="1:16" ht="24.75" customHeight="1">
      <c r="A163" s="1282"/>
      <c r="B163" s="1284"/>
      <c r="C163" s="1284"/>
      <c r="D163" s="1284"/>
      <c r="E163" s="1284"/>
      <c r="F163" s="1282"/>
      <c r="G163" s="1282"/>
      <c r="H163" s="1284"/>
      <c r="I163" s="1284"/>
      <c r="J163" s="1284"/>
      <c r="K163" s="1284"/>
      <c r="L163" s="1282"/>
      <c r="M163" s="1284"/>
      <c r="N163" s="1371"/>
      <c r="O163" s="1284"/>
      <c r="P163" s="1255"/>
    </row>
    <row r="164" spans="1:16" ht="24.75" customHeight="1">
      <c r="A164" s="1282"/>
      <c r="B164" s="1284"/>
      <c r="C164" s="1284"/>
      <c r="D164" s="1284"/>
      <c r="E164" s="1284"/>
      <c r="F164" s="1282"/>
      <c r="G164" s="1282"/>
      <c r="H164" s="1284"/>
      <c r="I164" s="1284"/>
      <c r="J164" s="1284"/>
      <c r="K164" s="1284"/>
      <c r="L164" s="1282"/>
      <c r="M164" s="1284"/>
      <c r="N164" s="1371"/>
      <c r="O164" s="1284"/>
      <c r="P164" s="1255"/>
    </row>
    <row r="165" spans="1:16" ht="24.75" customHeight="1">
      <c r="A165" s="1282"/>
      <c r="B165" s="1284"/>
      <c r="C165" s="1284"/>
      <c r="D165" s="1284"/>
      <c r="E165" s="1284"/>
      <c r="F165" s="1282"/>
      <c r="G165" s="1282"/>
      <c r="H165" s="1284"/>
      <c r="I165" s="1284"/>
      <c r="J165" s="1284"/>
      <c r="K165" s="1284"/>
      <c r="L165" s="1282"/>
      <c r="M165" s="1284"/>
      <c r="N165" s="1371"/>
      <c r="O165" s="1284"/>
      <c r="P165" s="1255"/>
    </row>
    <row r="166" spans="1:16" ht="24.75" customHeight="1">
      <c r="A166" s="1282"/>
      <c r="B166" s="1284"/>
      <c r="C166" s="1284"/>
      <c r="D166" s="1284"/>
      <c r="E166" s="1284"/>
      <c r="F166" s="1282"/>
      <c r="G166" s="1282"/>
      <c r="H166" s="1284"/>
      <c r="I166" s="1284"/>
      <c r="J166" s="1284"/>
      <c r="K166" s="1284"/>
      <c r="L166" s="1282"/>
      <c r="M166" s="1284"/>
      <c r="N166" s="1371"/>
      <c r="O166" s="1284"/>
      <c r="P166" s="1255"/>
    </row>
    <row r="167" spans="1:16" ht="24.75" customHeight="1">
      <c r="A167" s="1282"/>
      <c r="B167" s="1284"/>
      <c r="C167" s="1284"/>
      <c r="D167" s="1284"/>
      <c r="E167" s="1284"/>
      <c r="F167" s="1282"/>
      <c r="G167" s="1282"/>
      <c r="H167" s="1284"/>
      <c r="I167" s="1284"/>
      <c r="J167" s="1284"/>
      <c r="K167" s="1284"/>
      <c r="L167" s="1282"/>
      <c r="M167" s="1284"/>
      <c r="N167" s="1371"/>
      <c r="O167" s="1284"/>
      <c r="P167" s="1255"/>
    </row>
    <row r="168" spans="1:16" ht="24.75" customHeight="1">
      <c r="A168" s="1282"/>
      <c r="B168" s="1284"/>
      <c r="C168" s="1284"/>
      <c r="D168" s="1284"/>
      <c r="E168" s="1284"/>
      <c r="F168" s="1282"/>
      <c r="G168" s="1282"/>
      <c r="H168" s="1284"/>
      <c r="I168" s="1284"/>
      <c r="J168" s="1284"/>
      <c r="K168" s="1284"/>
      <c r="L168" s="1282"/>
      <c r="M168" s="1284"/>
      <c r="N168" s="1371"/>
      <c r="O168" s="1284"/>
      <c r="P168" s="1255"/>
    </row>
    <row r="169" spans="1:16" ht="15" customHeight="1">
      <c r="A169" s="1343"/>
      <c r="B169" s="1257"/>
      <c r="C169" s="1257"/>
      <c r="D169" s="1257"/>
      <c r="E169" s="1257"/>
      <c r="F169" s="1343"/>
      <c r="G169" s="1343"/>
      <c r="H169" s="1257"/>
      <c r="I169" s="1257"/>
      <c r="J169" s="1257"/>
      <c r="K169" s="1257"/>
      <c r="L169" s="1343"/>
      <c r="M169" s="1257"/>
      <c r="N169" s="1344"/>
      <c r="O169" s="1257"/>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55:L100 Q55:U100" xr:uid="{1D31F93E-3D68-4310-94BF-578ADAD65882}"/>
    <dataValidation type="list" allowBlank="1" showInputMessage="1" showErrorMessage="1" sqref="J70 J92 J55:J62 J122:J133 J102:J118 J21:J53 J2:J19 J94:J100 J76:J85" xr:uid="{5598570D-D2DE-4A6E-ABB1-14F4B3480632}">
      <formula1>"Received, Pending, Not Required"</formula1>
    </dataValidation>
    <dataValidation type="list" allowBlank="1" showInputMessage="1" showErrorMessage="1" sqref="I70 I92 I73 I4:I8 I55:I62 I122:I1048576 I38:I53 I102:I120 I10:I19 I94 I99:I100 I76: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63:K100" xr:uid="{E79CFDF7-5B00-4092-B572-9E33744A1925}">
      <formula1>"Pending Locates,Permits, SOW Pending, NTP Pending, Materials, Reassigned, Door Tags"</formula1>
    </dataValidation>
    <dataValidation type="list" allowBlank="1" showInputMessage="1" showErrorMessage="1" sqref="P122:P1048576 P102:P120 P21:P53 P2:P19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T36" activePane="topRight" state="frozen"/>
      <selection pane="topRight" activeCell="U50" sqref="U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5"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6"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6"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6"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7">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1"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3" t="s">
        <v>418</v>
      </c>
      <c r="B16" s="827" t="s">
        <v>296</v>
      </c>
      <c r="C16" s="1191">
        <v>46006</v>
      </c>
      <c r="D16" s="1212" t="s">
        <v>233</v>
      </c>
      <c r="E16" s="1211">
        <v>45987</v>
      </c>
      <c r="F16" s="1212" t="s">
        <v>223</v>
      </c>
      <c r="G16" s="1212" t="s">
        <v>419</v>
      </c>
      <c r="H16" s="1213">
        <v>30</v>
      </c>
      <c r="I16" s="825" t="s">
        <v>219</v>
      </c>
      <c r="J16" s="828" t="s">
        <v>63</v>
      </c>
      <c r="K16" s="1193"/>
      <c r="L16" s="476" t="s">
        <v>52</v>
      </c>
      <c r="M16" s="1213" t="s">
        <v>57</v>
      </c>
      <c r="N16" s="1224">
        <v>31387.05</v>
      </c>
      <c r="O16" s="1213" t="s">
        <v>57</v>
      </c>
      <c r="P16" s="1264" t="s">
        <v>86</v>
      </c>
      <c r="Q16" s="1216">
        <v>45992</v>
      </c>
      <c r="R16" s="1328"/>
      <c r="S16" s="1328"/>
      <c r="T16" s="1328"/>
      <c r="U16" s="1328"/>
      <c r="V16" s="1217">
        <v>2580</v>
      </c>
      <c r="W16" s="1265">
        <v>2637</v>
      </c>
      <c r="X16" s="1197">
        <f t="shared" ref="X16" si="6">SUM(V16-W16)</f>
        <v>-57</v>
      </c>
      <c r="Y16" s="660">
        <f t="shared" ref="Y16" si="7">IFERROR($W16/$V16, 0)</f>
        <v>1.0220930232558139</v>
      </c>
      <c r="Z16" s="1216">
        <v>46001</v>
      </c>
      <c r="AA16" s="1199">
        <v>0</v>
      </c>
      <c r="AB16" s="1199">
        <v>0</v>
      </c>
      <c r="AC16" s="1217">
        <v>0</v>
      </c>
      <c r="AD16" s="1200"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5" t="s">
        <v>429</v>
      </c>
      <c r="B21" s="1010" t="s">
        <v>296</v>
      </c>
      <c r="C21" s="1191">
        <v>46040</v>
      </c>
      <c r="D21" s="1212" t="s">
        <v>233</v>
      </c>
      <c r="E21" s="1211">
        <v>45996</v>
      </c>
      <c r="F21" s="1212" t="s">
        <v>223</v>
      </c>
      <c r="G21" s="1212" t="s">
        <v>430</v>
      </c>
      <c r="H21" s="1213">
        <v>78</v>
      </c>
      <c r="I21" s="825" t="s">
        <v>219</v>
      </c>
      <c r="J21" s="1213" t="s">
        <v>63</v>
      </c>
      <c r="K21" s="1193"/>
      <c r="L21" s="476" t="s">
        <v>52</v>
      </c>
      <c r="M21" s="1213" t="s">
        <v>57</v>
      </c>
      <c r="N21" s="1224">
        <v>84477</v>
      </c>
      <c r="O21" s="1213" t="s">
        <v>57</v>
      </c>
      <c r="P21" s="1264" t="s">
        <v>86</v>
      </c>
      <c r="Q21" s="1216">
        <v>46000</v>
      </c>
      <c r="R21" s="1216"/>
      <c r="S21" s="1216"/>
      <c r="T21" s="1216"/>
      <c r="U21" s="1216"/>
      <c r="V21" s="1217">
        <v>6758</v>
      </c>
      <c r="W21" s="1315">
        <v>6565</v>
      </c>
      <c r="X21" s="1254">
        <f t="shared" ref="X21" si="8">SUM(V21-W21)</f>
        <v>193</v>
      </c>
      <c r="Y21" s="655">
        <f t="shared" ref="Y21" si="9">IFERROR($W21/$V21, 0)</f>
        <v>0.97144125480911514</v>
      </c>
      <c r="Z21" s="1402">
        <v>46006</v>
      </c>
      <c r="AA21" s="1199">
        <v>0</v>
      </c>
      <c r="AB21" s="1199">
        <v>0</v>
      </c>
      <c r="AC21" s="1217">
        <v>0</v>
      </c>
      <c r="AD21" s="1200"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4"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3"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106">
        <f t="shared" si="13"/>
        <v>0</v>
      </c>
      <c r="Y27" s="655">
        <f t="shared" si="12"/>
        <v>1</v>
      </c>
      <c r="Z27" s="676">
        <v>45944</v>
      </c>
      <c r="AA27" s="355">
        <v>1</v>
      </c>
      <c r="AB27" s="355">
        <v>1</v>
      </c>
      <c r="AC27" s="472">
        <v>0</v>
      </c>
      <c r="AD27" s="170" t="s">
        <v>447</v>
      </c>
    </row>
    <row r="28" spans="1:30" ht="39.75" customHeight="1">
      <c r="A28" s="1263" t="s">
        <v>448</v>
      </c>
      <c r="B28" s="679" t="s">
        <v>109</v>
      </c>
      <c r="C28" s="1191">
        <v>46020</v>
      </c>
      <c r="D28" s="1191" t="s">
        <v>449</v>
      </c>
      <c r="E28" s="1191">
        <v>45978</v>
      </c>
      <c r="F28" s="1192" t="s">
        <v>142</v>
      </c>
      <c r="G28" s="1192" t="s">
        <v>450</v>
      </c>
      <c r="H28" s="1193">
        <v>197</v>
      </c>
      <c r="I28" s="659" t="s">
        <v>219</v>
      </c>
      <c r="J28" s="1193" t="s">
        <v>56</v>
      </c>
      <c r="K28" s="469"/>
      <c r="L28" s="1191">
        <v>45978</v>
      </c>
      <c r="M28" s="1193" t="s">
        <v>57</v>
      </c>
      <c r="N28" s="1194">
        <v>87807.5</v>
      </c>
      <c r="O28" s="1193" t="s">
        <v>57</v>
      </c>
      <c r="P28" s="1264" t="s">
        <v>86</v>
      </c>
      <c r="Q28" s="1196">
        <v>45978</v>
      </c>
      <c r="R28" s="1196"/>
      <c r="S28" s="1196"/>
      <c r="T28" s="1196"/>
      <c r="U28" s="1196"/>
      <c r="V28" s="784">
        <v>10187</v>
      </c>
      <c r="W28" s="1007">
        <v>10172</v>
      </c>
      <c r="X28" s="1254">
        <f>SUM(V28-W28)</f>
        <v>15</v>
      </c>
      <c r="Y28" s="871">
        <f t="shared" si="12"/>
        <v>0.99852753509374692</v>
      </c>
      <c r="Z28" s="1402">
        <v>45985</v>
      </c>
      <c r="AA28" s="1199">
        <v>1</v>
      </c>
      <c r="AB28" s="1199">
        <v>0</v>
      </c>
      <c r="AC28" s="1197">
        <v>2112</v>
      </c>
      <c r="AD28" s="1200" t="s">
        <v>451</v>
      </c>
    </row>
    <row r="29" spans="1:30" ht="39.75" customHeight="1">
      <c r="A29" s="1140" t="s">
        <v>452</v>
      </c>
      <c r="B29" s="1141"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470">
        <v>8457</v>
      </c>
      <c r="X29" s="1003">
        <f>SUM(V29-W29)</f>
        <v>66</v>
      </c>
      <c r="Y29" s="871">
        <f>IFERROR($W29/$V29, 0)</f>
        <v>0.99225624780007038</v>
      </c>
      <c r="Z29" s="193">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03">
        <f t="shared" si="13"/>
        <v>0</v>
      </c>
      <c r="Y31" s="71">
        <f t="shared" si="12"/>
        <v>1</v>
      </c>
      <c r="Z31" s="650">
        <v>45964</v>
      </c>
      <c r="AA31" s="355">
        <v>1</v>
      </c>
      <c r="AB31" s="355">
        <v>1</v>
      </c>
      <c r="AC31" s="41">
        <v>0</v>
      </c>
      <c r="AD31" s="474" t="s">
        <v>459</v>
      </c>
    </row>
    <row r="32" spans="1:30" ht="39.75" customHeight="1">
      <c r="A32" s="1063" t="s">
        <v>460</v>
      </c>
      <c r="B32" s="450" t="s">
        <v>318</v>
      </c>
      <c r="C32" s="375">
        <v>46045</v>
      </c>
      <c r="D32" s="969" t="s">
        <v>129</v>
      </c>
      <c r="E32" s="375"/>
      <c r="F32" s="374"/>
      <c r="G32" s="635"/>
      <c r="H32" s="1059">
        <v>88</v>
      </c>
      <c r="I32" s="970" t="s">
        <v>219</v>
      </c>
      <c r="J32" s="971" t="s">
        <v>63</v>
      </c>
      <c r="K32" s="1001"/>
      <c r="L32" s="476" t="s">
        <v>52</v>
      </c>
      <c r="M32" s="971" t="s">
        <v>57</v>
      </c>
      <c r="N32" s="1060">
        <v>5668</v>
      </c>
      <c r="O32" s="52" t="s">
        <v>57</v>
      </c>
      <c r="P32" s="1062" t="s">
        <v>86</v>
      </c>
      <c r="Q32" s="471" t="s">
        <v>52</v>
      </c>
      <c r="R32" s="649"/>
      <c r="S32" s="649"/>
      <c r="T32" s="649"/>
      <c r="U32" s="471">
        <v>45999</v>
      </c>
      <c r="V32" s="1003">
        <v>6646</v>
      </c>
      <c r="W32" s="1004">
        <v>6623</v>
      </c>
      <c r="X32" s="1423">
        <f t="shared" si="13"/>
        <v>23</v>
      </c>
      <c r="Y32" s="866">
        <f t="shared" si="12"/>
        <v>0.99653927174240142</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30</v>
      </c>
      <c r="I33" s="970" t="s">
        <v>219</v>
      </c>
      <c r="J33" s="971" t="s">
        <v>63</v>
      </c>
      <c r="K33" s="1001"/>
      <c r="L33" s="476" t="s">
        <v>52</v>
      </c>
      <c r="M33" s="971" t="s">
        <v>57</v>
      </c>
      <c r="N33" s="1060">
        <v>170</v>
      </c>
      <c r="O33" s="52" t="s">
        <v>57</v>
      </c>
      <c r="P33" s="1062" t="s">
        <v>86</v>
      </c>
      <c r="Q33" s="471" t="s">
        <v>52</v>
      </c>
      <c r="R33" s="649"/>
      <c r="S33" s="649"/>
      <c r="T33" s="649"/>
      <c r="U33" s="124">
        <v>46002</v>
      </c>
      <c r="V33" s="1003">
        <v>2136</v>
      </c>
      <c r="W33" s="1004">
        <v>2136</v>
      </c>
      <c r="X33" s="1003">
        <f t="shared" si="13"/>
        <v>0</v>
      </c>
      <c r="Y33" s="866">
        <f t="shared" si="12"/>
        <v>1</v>
      </c>
      <c r="Z33" s="124">
        <v>45964</v>
      </c>
      <c r="AA33" s="355">
        <v>1</v>
      </c>
      <c r="AB33" s="355">
        <v>0</v>
      </c>
      <c r="AC33" s="41">
        <v>0</v>
      </c>
      <c r="AD33" s="436" t="s">
        <v>461</v>
      </c>
    </row>
    <row r="34" spans="1:30" ht="39.75" customHeight="1">
      <c r="A34" s="1063" t="s">
        <v>463</v>
      </c>
      <c r="B34" s="450" t="s">
        <v>318</v>
      </c>
      <c r="C34" s="375">
        <v>46045</v>
      </c>
      <c r="D34" s="969" t="s">
        <v>129</v>
      </c>
      <c r="E34" s="375">
        <v>45959</v>
      </c>
      <c r="F34" s="374" t="s">
        <v>163</v>
      </c>
      <c r="G34" s="635"/>
      <c r="H34" s="376">
        <v>89</v>
      </c>
      <c r="I34" s="970" t="s">
        <v>219</v>
      </c>
      <c r="J34" s="971" t="s">
        <v>63</v>
      </c>
      <c r="K34" s="648"/>
      <c r="L34" s="51">
        <v>45964</v>
      </c>
      <c r="M34" s="52" t="s">
        <v>57</v>
      </c>
      <c r="N34" s="835">
        <v>84750.5</v>
      </c>
      <c r="O34" s="52" t="s">
        <v>57</v>
      </c>
      <c r="P34" s="1062" t="s">
        <v>86</v>
      </c>
      <c r="Q34" s="54">
        <v>45964</v>
      </c>
      <c r="R34" s="649"/>
      <c r="S34" s="649"/>
      <c r="T34" s="649"/>
      <c r="U34" s="124">
        <v>46034</v>
      </c>
      <c r="V34" s="106">
        <v>6935</v>
      </c>
      <c r="W34" s="1004">
        <v>6942</v>
      </c>
      <c r="X34" s="106">
        <f t="shared" si="13"/>
        <v>-7</v>
      </c>
      <c r="Y34" s="976">
        <f t="shared" si="12"/>
        <v>1.0010093727469358</v>
      </c>
      <c r="Z34" s="124">
        <v>45973</v>
      </c>
      <c r="AA34" s="355">
        <v>1</v>
      </c>
      <c r="AB34" s="355">
        <v>1</v>
      </c>
      <c r="AC34" s="41">
        <v>0</v>
      </c>
      <c r="AD34" s="436" t="s">
        <v>464</v>
      </c>
    </row>
    <row r="35" spans="1:30" ht="39.75" customHeight="1">
      <c r="A35" s="1063" t="s">
        <v>465</v>
      </c>
      <c r="B35" s="450" t="s">
        <v>318</v>
      </c>
      <c r="C35" s="375">
        <v>45989</v>
      </c>
      <c r="D35" s="969" t="s">
        <v>129</v>
      </c>
      <c r="E35" s="375">
        <v>45959</v>
      </c>
      <c r="F35" s="374" t="s">
        <v>163</v>
      </c>
      <c r="G35" s="635" t="s">
        <v>466</v>
      </c>
      <c r="H35" s="376">
        <v>59</v>
      </c>
      <c r="I35" s="970" t="s">
        <v>219</v>
      </c>
      <c r="J35" s="971" t="s">
        <v>63</v>
      </c>
      <c r="K35" s="648"/>
      <c r="L35" s="51">
        <v>45964</v>
      </c>
      <c r="M35" s="971" t="s">
        <v>57</v>
      </c>
      <c r="N35" s="835">
        <v>65066.5</v>
      </c>
      <c r="O35" s="52" t="s">
        <v>57</v>
      </c>
      <c r="P35" s="1062" t="s">
        <v>86</v>
      </c>
      <c r="Q35" s="54">
        <v>45964</v>
      </c>
      <c r="R35" s="994"/>
      <c r="S35" s="649"/>
      <c r="T35" s="649"/>
      <c r="U35" s="124">
        <v>46034</v>
      </c>
      <c r="V35" s="106">
        <v>5421</v>
      </c>
      <c r="W35" s="1004">
        <v>5466</v>
      </c>
      <c r="X35" s="472">
        <f t="shared" si="13"/>
        <v>-45</v>
      </c>
      <c r="Y35" s="866">
        <f t="shared" si="12"/>
        <v>1.0083010514665192</v>
      </c>
      <c r="Z35" s="124">
        <v>45985</v>
      </c>
      <c r="AA35" s="355">
        <v>1</v>
      </c>
      <c r="AB35" s="355">
        <v>1</v>
      </c>
      <c r="AC35" s="972">
        <v>0</v>
      </c>
      <c r="AD35" s="436" t="s">
        <v>467</v>
      </c>
    </row>
    <row r="36" spans="1:30" ht="39.75" customHeight="1">
      <c r="A36" s="1063" t="s">
        <v>468</v>
      </c>
      <c r="B36" s="450" t="s">
        <v>318</v>
      </c>
      <c r="C36" s="375">
        <v>46010</v>
      </c>
      <c r="D36" s="969" t="s">
        <v>129</v>
      </c>
      <c r="E36" s="375">
        <v>45959</v>
      </c>
      <c r="F36" s="374" t="s">
        <v>163</v>
      </c>
      <c r="G36" s="635" t="s">
        <v>469</v>
      </c>
      <c r="H36" s="376">
        <v>89</v>
      </c>
      <c r="I36" s="970" t="s">
        <v>219</v>
      </c>
      <c r="J36" s="971" t="s">
        <v>63</v>
      </c>
      <c r="K36" s="648"/>
      <c r="L36" s="51">
        <v>45964</v>
      </c>
      <c r="M36" s="971" t="s">
        <v>57</v>
      </c>
      <c r="N36" s="835">
        <v>81602</v>
      </c>
      <c r="O36" s="52" t="s">
        <v>57</v>
      </c>
      <c r="P36" s="1062" t="s">
        <v>86</v>
      </c>
      <c r="Q36" s="54">
        <v>45964</v>
      </c>
      <c r="R36" s="994"/>
      <c r="S36" s="649"/>
      <c r="T36" s="649"/>
      <c r="U36" s="124">
        <v>46034</v>
      </c>
      <c r="V36" s="106">
        <v>6752</v>
      </c>
      <c r="W36" s="1004">
        <v>6737</v>
      </c>
      <c r="X36" s="472">
        <f t="shared" si="13"/>
        <v>15</v>
      </c>
      <c r="Y36" s="866">
        <f t="shared" si="12"/>
        <v>0.99777843601895733</v>
      </c>
      <c r="Z36" s="124">
        <v>45992</v>
      </c>
      <c r="AA36" s="355">
        <v>1</v>
      </c>
      <c r="AB36" s="355">
        <v>1</v>
      </c>
      <c r="AC36" s="972">
        <v>2728</v>
      </c>
      <c r="AD36" s="436" t="s">
        <v>470</v>
      </c>
    </row>
    <row r="37" spans="1:30" ht="39.75" customHeight="1">
      <c r="A37" s="1063" t="s">
        <v>471</v>
      </c>
      <c r="B37" s="450" t="s">
        <v>318</v>
      </c>
      <c r="C37" s="375">
        <v>46045</v>
      </c>
      <c r="D37" s="969" t="s">
        <v>129</v>
      </c>
      <c r="E37" s="375">
        <v>45959</v>
      </c>
      <c r="F37" s="374" t="s">
        <v>163</v>
      </c>
      <c r="G37" s="635"/>
      <c r="H37" s="376">
        <v>88</v>
      </c>
      <c r="I37" s="970" t="s">
        <v>219</v>
      </c>
      <c r="J37" s="971" t="s">
        <v>63</v>
      </c>
      <c r="K37" s="648"/>
      <c r="L37" s="51">
        <v>45961</v>
      </c>
      <c r="M37" s="52" t="s">
        <v>57</v>
      </c>
      <c r="N37" s="835">
        <v>88231.9</v>
      </c>
      <c r="O37" s="52" t="s">
        <v>57</v>
      </c>
      <c r="P37" s="1062" t="s">
        <v>86</v>
      </c>
      <c r="Q37" s="54">
        <v>45961</v>
      </c>
      <c r="R37" s="649"/>
      <c r="S37" s="649"/>
      <c r="T37" s="649"/>
      <c r="U37" s="124">
        <v>46024</v>
      </c>
      <c r="V37" s="106">
        <v>7274</v>
      </c>
      <c r="W37" s="1004">
        <v>7274</v>
      </c>
      <c r="X37" s="106">
        <f t="shared" si="13"/>
        <v>0</v>
      </c>
      <c r="Y37" s="866">
        <f t="shared" si="12"/>
        <v>1</v>
      </c>
      <c r="Z37" s="124">
        <v>45968</v>
      </c>
      <c r="AA37" s="355">
        <v>1</v>
      </c>
      <c r="AB37" s="355">
        <v>1</v>
      </c>
      <c r="AC37" s="41">
        <v>1231</v>
      </c>
      <c r="AD37" s="436" t="s">
        <v>472</v>
      </c>
    </row>
    <row r="38" spans="1:30" ht="39.75" customHeight="1">
      <c r="A38" s="1063" t="s">
        <v>473</v>
      </c>
      <c r="B38" s="450" t="s">
        <v>318</v>
      </c>
      <c r="C38" s="375">
        <v>45989</v>
      </c>
      <c r="D38" s="969" t="s">
        <v>129</v>
      </c>
      <c r="E38" s="375">
        <v>45959</v>
      </c>
      <c r="F38" s="374" t="s">
        <v>163</v>
      </c>
      <c r="G38" s="635" t="s">
        <v>474</v>
      </c>
      <c r="H38" s="376">
        <v>87</v>
      </c>
      <c r="I38" s="970" t="s">
        <v>219</v>
      </c>
      <c r="J38" s="971" t="s">
        <v>63</v>
      </c>
      <c r="K38" s="648"/>
      <c r="L38" s="51">
        <v>45964</v>
      </c>
      <c r="M38" s="971" t="s">
        <v>57</v>
      </c>
      <c r="N38" s="835">
        <v>93578</v>
      </c>
      <c r="O38" s="52" t="s">
        <v>57</v>
      </c>
      <c r="P38" s="1062" t="s">
        <v>86</v>
      </c>
      <c r="Q38" s="54">
        <v>45964</v>
      </c>
      <c r="R38" s="994"/>
      <c r="S38" s="649"/>
      <c r="T38" s="649"/>
      <c r="U38" s="124">
        <v>46024</v>
      </c>
      <c r="V38" s="106">
        <v>7782</v>
      </c>
      <c r="W38" s="1004">
        <v>7782</v>
      </c>
      <c r="X38" s="472">
        <f t="shared" si="13"/>
        <v>0</v>
      </c>
      <c r="Y38" s="866">
        <f t="shared" si="12"/>
        <v>1</v>
      </c>
      <c r="Z38" s="124">
        <v>45975</v>
      </c>
      <c r="AA38" s="599">
        <v>1</v>
      </c>
      <c r="AB38" s="599">
        <v>0</v>
      </c>
      <c r="AC38" s="972">
        <v>0</v>
      </c>
      <c r="AD38" s="436" t="s">
        <v>475</v>
      </c>
    </row>
    <row r="39" spans="1:30" ht="39.75" customHeight="1">
      <c r="A39" s="1063" t="s">
        <v>476</v>
      </c>
      <c r="B39" s="450" t="s">
        <v>318</v>
      </c>
      <c r="C39" s="375">
        <v>46045</v>
      </c>
      <c r="D39" s="969" t="s">
        <v>129</v>
      </c>
      <c r="E39" s="375">
        <v>45959</v>
      </c>
      <c r="F39" s="374" t="s">
        <v>163</v>
      </c>
      <c r="G39" s="635"/>
      <c r="H39" s="376">
        <v>90</v>
      </c>
      <c r="I39" s="970" t="s">
        <v>219</v>
      </c>
      <c r="J39" s="971" t="s">
        <v>63</v>
      </c>
      <c r="K39" s="648"/>
      <c r="L39" s="51">
        <v>45964</v>
      </c>
      <c r="M39" s="52" t="s">
        <v>57</v>
      </c>
      <c r="N39" s="835">
        <v>84896</v>
      </c>
      <c r="O39" s="52" t="s">
        <v>57</v>
      </c>
      <c r="P39" s="1062" t="s">
        <v>86</v>
      </c>
      <c r="Q39" s="54">
        <v>45964</v>
      </c>
      <c r="R39" s="649"/>
      <c r="S39" s="649"/>
      <c r="T39" s="649"/>
      <c r="U39" s="124">
        <v>46024</v>
      </c>
      <c r="V39" s="106">
        <v>7060</v>
      </c>
      <c r="W39" s="1004">
        <v>7060</v>
      </c>
      <c r="X39" s="106">
        <f t="shared" si="13"/>
        <v>0</v>
      </c>
      <c r="Y39" s="866">
        <f t="shared" si="12"/>
        <v>1</v>
      </c>
      <c r="Z39" s="124">
        <v>45973</v>
      </c>
      <c r="AA39" s="355">
        <v>0</v>
      </c>
      <c r="AB39" s="355">
        <v>0</v>
      </c>
      <c r="AC39" s="41">
        <v>0</v>
      </c>
      <c r="AD39" s="436" t="s">
        <v>477</v>
      </c>
    </row>
    <row r="40" spans="1:30" ht="39.75" customHeight="1">
      <c r="A40" s="1310" t="s">
        <v>478</v>
      </c>
      <c r="B40" s="1141" t="s">
        <v>318</v>
      </c>
      <c r="C40" s="1281">
        <v>46019</v>
      </c>
      <c r="D40" s="969" t="s">
        <v>129</v>
      </c>
      <c r="E40" s="1281">
        <v>45959</v>
      </c>
      <c r="F40" s="1282" t="s">
        <v>163</v>
      </c>
      <c r="G40" s="1282" t="s">
        <v>479</v>
      </c>
      <c r="H40" s="1283">
        <v>90</v>
      </c>
      <c r="I40" s="970" t="s">
        <v>219</v>
      </c>
      <c r="J40" s="1268" t="s">
        <v>63</v>
      </c>
      <c r="K40" s="648"/>
      <c r="L40" s="1285">
        <v>45961</v>
      </c>
      <c r="M40" s="1268" t="s">
        <v>57</v>
      </c>
      <c r="N40" s="1311">
        <v>91897</v>
      </c>
      <c r="O40" s="1287" t="s">
        <v>57</v>
      </c>
      <c r="P40" s="1312" t="s">
        <v>86</v>
      </c>
      <c r="Q40" s="1313">
        <v>45961</v>
      </c>
      <c r="R40" s="1314"/>
      <c r="S40" s="1289"/>
      <c r="T40" s="1289"/>
      <c r="U40" s="124">
        <v>46034</v>
      </c>
      <c r="V40" s="1254">
        <v>7457</v>
      </c>
      <c r="W40" s="1315">
        <v>7468</v>
      </c>
      <c r="X40" s="1197">
        <f>SUM(V40-W40)</f>
        <v>-11</v>
      </c>
      <c r="Y40" s="1142">
        <f>IFERROR($W40/$V40, 0)</f>
        <v>1.0014751240445219</v>
      </c>
      <c r="Z40" s="1243">
        <v>45974</v>
      </c>
      <c r="AA40" s="355">
        <v>1</v>
      </c>
      <c r="AB40" s="355">
        <v>1</v>
      </c>
      <c r="AC40" s="1273">
        <v>0</v>
      </c>
      <c r="AD40" s="1245" t="s">
        <v>480</v>
      </c>
    </row>
    <row r="41" spans="1:30" ht="39.75" customHeight="1">
      <c r="A41" s="1063" t="s">
        <v>481</v>
      </c>
      <c r="B41" s="450" t="s">
        <v>318</v>
      </c>
      <c r="C41" s="375">
        <v>45989</v>
      </c>
      <c r="D41" s="969" t="s">
        <v>129</v>
      </c>
      <c r="E41" s="375">
        <v>45959</v>
      </c>
      <c r="F41" s="374" t="s">
        <v>163</v>
      </c>
      <c r="G41" s="635" t="s">
        <v>482</v>
      </c>
      <c r="H41" s="376">
        <v>90</v>
      </c>
      <c r="I41" s="970" t="s">
        <v>219</v>
      </c>
      <c r="J41" s="971" t="s">
        <v>63</v>
      </c>
      <c r="K41" s="648"/>
      <c r="L41" s="51">
        <v>45964</v>
      </c>
      <c r="M41" s="971" t="s">
        <v>57</v>
      </c>
      <c r="N41" s="835">
        <v>96685</v>
      </c>
      <c r="O41" s="52" t="s">
        <v>57</v>
      </c>
      <c r="P41" s="1062" t="s">
        <v>86</v>
      </c>
      <c r="Q41" s="54">
        <v>45964</v>
      </c>
      <c r="R41" s="994"/>
      <c r="S41" s="649"/>
      <c r="T41" s="649"/>
      <c r="U41" s="124">
        <v>46024</v>
      </c>
      <c r="V41" s="106">
        <v>7926</v>
      </c>
      <c r="W41" s="1004">
        <v>7926</v>
      </c>
      <c r="X41" s="472">
        <f t="shared" si="13"/>
        <v>0</v>
      </c>
      <c r="Y41" s="866">
        <f t="shared" si="12"/>
        <v>1</v>
      </c>
      <c r="Z41" s="124">
        <v>45981</v>
      </c>
      <c r="AA41" s="599">
        <v>1</v>
      </c>
      <c r="AB41" s="599">
        <v>0</v>
      </c>
      <c r="AC41" s="972">
        <v>0</v>
      </c>
      <c r="AD41" s="436" t="s">
        <v>483</v>
      </c>
    </row>
    <row r="42" spans="1:30" ht="39.75" customHeight="1">
      <c r="A42" s="1310" t="s">
        <v>484</v>
      </c>
      <c r="B42" s="1141" t="s">
        <v>318</v>
      </c>
      <c r="C42" s="1281">
        <v>46019</v>
      </c>
      <c r="D42" s="969" t="s">
        <v>129</v>
      </c>
      <c r="E42" s="1281">
        <v>45959</v>
      </c>
      <c r="F42" s="1282" t="s">
        <v>163</v>
      </c>
      <c r="G42" s="1282" t="s">
        <v>485</v>
      </c>
      <c r="H42" s="1283">
        <v>90</v>
      </c>
      <c r="I42" s="970" t="s">
        <v>219</v>
      </c>
      <c r="J42" s="1268" t="s">
        <v>63</v>
      </c>
      <c r="K42" s="1284"/>
      <c r="L42" s="1285">
        <v>45964</v>
      </c>
      <c r="M42" s="1268" t="s">
        <v>57</v>
      </c>
      <c r="N42" s="1311">
        <v>85815</v>
      </c>
      <c r="O42" s="1287" t="s">
        <v>57</v>
      </c>
      <c r="P42" s="1312" t="s">
        <v>86</v>
      </c>
      <c r="Q42" s="1313">
        <v>45964</v>
      </c>
      <c r="R42" s="1314"/>
      <c r="S42" s="1289"/>
      <c r="T42" s="1289"/>
      <c r="U42" s="124">
        <v>46024</v>
      </c>
      <c r="V42" s="1254">
        <v>6981</v>
      </c>
      <c r="W42" s="1315">
        <v>6991</v>
      </c>
      <c r="X42" s="1197">
        <f>SUM(V42-W42)</f>
        <v>-10</v>
      </c>
      <c r="Y42" s="1142">
        <f t="shared" si="12"/>
        <v>1.0014324595330182</v>
      </c>
      <c r="Z42" s="1243">
        <v>45981</v>
      </c>
      <c r="AA42" s="1274">
        <v>1</v>
      </c>
      <c r="AB42" s="1274">
        <v>0</v>
      </c>
      <c r="AC42" s="1273">
        <v>0</v>
      </c>
      <c r="AD42" s="1245" t="s">
        <v>486</v>
      </c>
    </row>
    <row r="43" spans="1:30" ht="39.75" customHeight="1">
      <c r="A43" s="1063" t="s">
        <v>487</v>
      </c>
      <c r="B43" s="450" t="s">
        <v>318</v>
      </c>
      <c r="C43" s="375">
        <v>46021</v>
      </c>
      <c r="D43" s="969" t="s">
        <v>129</v>
      </c>
      <c r="E43" s="375">
        <v>45959</v>
      </c>
      <c r="F43" s="374" t="s">
        <v>163</v>
      </c>
      <c r="G43" s="635" t="s">
        <v>488</v>
      </c>
      <c r="H43" s="376">
        <v>89</v>
      </c>
      <c r="I43" s="970" t="s">
        <v>219</v>
      </c>
      <c r="J43" s="971" t="s">
        <v>63</v>
      </c>
      <c r="K43" s="648"/>
      <c r="L43" s="51">
        <v>45961</v>
      </c>
      <c r="M43" s="971" t="s">
        <v>57</v>
      </c>
      <c r="N43" s="835">
        <v>83615</v>
      </c>
      <c r="O43" s="52" t="s">
        <v>57</v>
      </c>
      <c r="P43" s="1062" t="s">
        <v>86</v>
      </c>
      <c r="Q43" s="54">
        <v>45961</v>
      </c>
      <c r="R43" s="994"/>
      <c r="S43" s="649"/>
      <c r="T43" s="649"/>
      <c r="U43" s="649"/>
      <c r="V43" s="106">
        <v>7010</v>
      </c>
      <c r="W43" s="1004">
        <v>7010</v>
      </c>
      <c r="X43" s="472">
        <f t="shared" si="13"/>
        <v>0</v>
      </c>
      <c r="Y43" s="866">
        <f t="shared" si="12"/>
        <v>1</v>
      </c>
      <c r="Z43" s="124">
        <v>45986</v>
      </c>
      <c r="AA43" s="599">
        <v>1</v>
      </c>
      <c r="AB43" s="599">
        <v>0</v>
      </c>
      <c r="AC43" s="972">
        <v>1090</v>
      </c>
      <c r="AD43" s="436" t="s">
        <v>489</v>
      </c>
    </row>
    <row r="44" spans="1:30" ht="39.75" customHeight="1">
      <c r="A44" s="1310" t="s">
        <v>490</v>
      </c>
      <c r="B44" s="1141" t="s">
        <v>318</v>
      </c>
      <c r="C44" s="1281">
        <v>46021</v>
      </c>
      <c r="D44" s="969" t="s">
        <v>129</v>
      </c>
      <c r="E44" s="1281">
        <v>45959</v>
      </c>
      <c r="F44" s="1282" t="s">
        <v>163</v>
      </c>
      <c r="G44" s="1282" t="s">
        <v>491</v>
      </c>
      <c r="H44" s="1283">
        <v>88</v>
      </c>
      <c r="I44" s="970" t="s">
        <v>219</v>
      </c>
      <c r="J44" s="1268" t="s">
        <v>63</v>
      </c>
      <c r="K44" s="648"/>
      <c r="L44" s="1285">
        <v>45964</v>
      </c>
      <c r="M44" s="1268" t="s">
        <v>57</v>
      </c>
      <c r="N44" s="1311">
        <v>78736.5</v>
      </c>
      <c r="O44" s="1287" t="s">
        <v>57</v>
      </c>
      <c r="P44" s="1312" t="s">
        <v>86</v>
      </c>
      <c r="Q44" s="1313">
        <v>45964</v>
      </c>
      <c r="R44" s="1314"/>
      <c r="S44" s="1289"/>
      <c r="T44" s="1289"/>
      <c r="U44" s="1289"/>
      <c r="V44" s="1254">
        <v>6403</v>
      </c>
      <c r="W44" s="1315">
        <v>6432</v>
      </c>
      <c r="X44" s="1197">
        <f>SUM(V44-W44)</f>
        <v>-29</v>
      </c>
      <c r="Y44" s="1142">
        <f>IFERROR($W44/$V44, 0)</f>
        <v>1.004529126971732</v>
      </c>
      <c r="Z44" s="1243">
        <v>46000</v>
      </c>
      <c r="AA44" s="355">
        <v>1</v>
      </c>
      <c r="AB44" s="355">
        <v>1</v>
      </c>
      <c r="AC44" s="1273">
        <v>0</v>
      </c>
      <c r="AD44" s="1245" t="s">
        <v>492</v>
      </c>
    </row>
    <row r="45" spans="1:30" ht="39.75" customHeight="1">
      <c r="A45" s="1310" t="s">
        <v>493</v>
      </c>
      <c r="B45" s="1141" t="s">
        <v>318</v>
      </c>
      <c r="C45" s="1281">
        <v>46021</v>
      </c>
      <c r="D45" s="969" t="s">
        <v>129</v>
      </c>
      <c r="E45" s="1281">
        <v>45959</v>
      </c>
      <c r="F45" s="1282" t="s">
        <v>163</v>
      </c>
      <c r="G45" s="1282" t="s">
        <v>494</v>
      </c>
      <c r="H45" s="1283">
        <v>86</v>
      </c>
      <c r="I45" s="970" t="s">
        <v>219</v>
      </c>
      <c r="J45" s="1268" t="s">
        <v>63</v>
      </c>
      <c r="K45" s="648"/>
      <c r="L45" s="1285">
        <v>45964</v>
      </c>
      <c r="M45" s="1268" t="s">
        <v>57</v>
      </c>
      <c r="N45" s="1311">
        <v>80698</v>
      </c>
      <c r="O45" s="1287" t="s">
        <v>57</v>
      </c>
      <c r="P45" s="1312" t="s">
        <v>86</v>
      </c>
      <c r="Q45" s="1313">
        <v>45964</v>
      </c>
      <c r="R45" s="1314"/>
      <c r="S45" s="1289"/>
      <c r="T45" s="1289"/>
      <c r="U45" s="1289"/>
      <c r="V45" s="1254">
        <v>6739</v>
      </c>
      <c r="W45" s="1315">
        <v>6773</v>
      </c>
      <c r="X45" s="1197">
        <f>SUM(V45-W45)</f>
        <v>-34</v>
      </c>
      <c r="Y45" s="1142">
        <f t="shared" ref="Y45" si="14">IFERROR($W45/$V45, 0)</f>
        <v>1.0050452589404957</v>
      </c>
      <c r="Z45" s="1243">
        <v>46008</v>
      </c>
      <c r="AA45" s="355">
        <v>1</v>
      </c>
      <c r="AB45" s="355">
        <v>1</v>
      </c>
      <c r="AC45" s="1273">
        <v>0</v>
      </c>
      <c r="AD45" s="1245" t="s">
        <v>495</v>
      </c>
    </row>
    <row r="46" spans="1:30" ht="39.75" customHeight="1">
      <c r="A46" s="1310" t="s">
        <v>496</v>
      </c>
      <c r="B46" s="1141" t="s">
        <v>318</v>
      </c>
      <c r="C46" s="1281">
        <v>46021</v>
      </c>
      <c r="D46" s="969" t="s">
        <v>129</v>
      </c>
      <c r="E46" s="1281">
        <v>45959</v>
      </c>
      <c r="F46" s="1282" t="s">
        <v>163</v>
      </c>
      <c r="G46" s="1282" t="s">
        <v>497</v>
      </c>
      <c r="H46" s="1283">
        <v>85</v>
      </c>
      <c r="I46" s="970" t="s">
        <v>219</v>
      </c>
      <c r="J46" s="1268" t="s">
        <v>63</v>
      </c>
      <c r="K46" s="648"/>
      <c r="L46" s="1285">
        <v>45964</v>
      </c>
      <c r="M46" s="1268" t="s">
        <v>57</v>
      </c>
      <c r="N46" s="1311">
        <v>84770</v>
      </c>
      <c r="O46" s="1287" t="s">
        <v>57</v>
      </c>
      <c r="P46" s="1312" t="s">
        <v>86</v>
      </c>
      <c r="Q46" s="1313">
        <v>45964</v>
      </c>
      <c r="R46" s="1314"/>
      <c r="S46" s="1289"/>
      <c r="T46" s="1289"/>
      <c r="U46" s="1289"/>
      <c r="V46" s="1254">
        <v>6965</v>
      </c>
      <c r="W46" s="1315">
        <v>7129</v>
      </c>
      <c r="X46" s="1197">
        <f>SUM(V46-W46)</f>
        <v>-164</v>
      </c>
      <c r="Y46" s="1142">
        <f>IFERROR($W46/$V46, 0)</f>
        <v>1.0235463029432879</v>
      </c>
      <c r="Z46" s="1243">
        <v>45999</v>
      </c>
      <c r="AA46" s="355">
        <v>1</v>
      </c>
      <c r="AB46" s="355">
        <v>1</v>
      </c>
      <c r="AC46" s="1273">
        <v>0</v>
      </c>
      <c r="AD46" s="1245" t="s">
        <v>498</v>
      </c>
    </row>
    <row r="47" spans="1:30" ht="39.75" customHeight="1">
      <c r="A47" s="1310" t="s">
        <v>499</v>
      </c>
      <c r="B47" s="1141" t="s">
        <v>318</v>
      </c>
      <c r="C47" s="1281">
        <v>46019</v>
      </c>
      <c r="D47" s="969" t="s">
        <v>129</v>
      </c>
      <c r="E47" s="1281">
        <v>45959</v>
      </c>
      <c r="F47" s="1282" t="s">
        <v>163</v>
      </c>
      <c r="G47" s="1282" t="s">
        <v>500</v>
      </c>
      <c r="H47" s="1283">
        <v>87</v>
      </c>
      <c r="I47" s="970" t="s">
        <v>219</v>
      </c>
      <c r="J47" s="1268" t="s">
        <v>63</v>
      </c>
      <c r="K47" s="1284"/>
      <c r="L47" s="1285">
        <v>45964</v>
      </c>
      <c r="M47" s="1268" t="s">
        <v>57</v>
      </c>
      <c r="N47" s="1311">
        <v>87875</v>
      </c>
      <c r="O47" s="1287" t="s">
        <v>57</v>
      </c>
      <c r="P47" s="1312" t="s">
        <v>86</v>
      </c>
      <c r="Q47" s="1313">
        <v>45964</v>
      </c>
      <c r="R47" s="1314"/>
      <c r="S47" s="1289"/>
      <c r="T47" s="1289"/>
      <c r="U47" s="124">
        <v>46034</v>
      </c>
      <c r="V47" s="1254">
        <v>7319</v>
      </c>
      <c r="W47" s="1315">
        <v>7319</v>
      </c>
      <c r="X47" s="1197">
        <f>SUM(V47-W47)</f>
        <v>0</v>
      </c>
      <c r="Y47" s="1142">
        <f t="shared" ref="Y47:Y49" si="15">IFERROR($W47/$V47, 0)</f>
        <v>1</v>
      </c>
      <c r="Z47" s="1243">
        <v>46000</v>
      </c>
      <c r="AA47" s="1274">
        <v>1</v>
      </c>
      <c r="AB47" s="1274">
        <v>0</v>
      </c>
      <c r="AC47" s="1273" t="s">
        <v>501</v>
      </c>
      <c r="AD47" s="1245" t="s">
        <v>502</v>
      </c>
    </row>
    <row r="48" spans="1:30" ht="39.75" customHeight="1">
      <c r="A48" s="1310" t="s">
        <v>503</v>
      </c>
      <c r="B48" s="1141" t="s">
        <v>318</v>
      </c>
      <c r="C48" s="1281">
        <v>46019</v>
      </c>
      <c r="D48" s="969" t="s">
        <v>129</v>
      </c>
      <c r="E48" s="1281">
        <v>45959</v>
      </c>
      <c r="F48" s="1282" t="s">
        <v>163</v>
      </c>
      <c r="G48" s="1282" t="s">
        <v>504</v>
      </c>
      <c r="H48" s="1283">
        <v>0</v>
      </c>
      <c r="I48" s="970" t="s">
        <v>219</v>
      </c>
      <c r="J48" s="1268" t="s">
        <v>63</v>
      </c>
      <c r="K48" s="1284"/>
      <c r="L48" s="1285">
        <v>45961</v>
      </c>
      <c r="M48" s="1268" t="s">
        <v>57</v>
      </c>
      <c r="N48" s="1311">
        <v>64985.65</v>
      </c>
      <c r="O48" s="1287" t="s">
        <v>57</v>
      </c>
      <c r="P48" s="1350" t="s">
        <v>86</v>
      </c>
      <c r="Q48" s="1313">
        <v>45964</v>
      </c>
      <c r="R48" s="1289"/>
      <c r="S48" s="1289"/>
      <c r="T48" s="1289"/>
      <c r="U48" s="1243">
        <v>46040</v>
      </c>
      <c r="V48" s="1254">
        <v>5155</v>
      </c>
      <c r="W48" s="1315">
        <v>5155</v>
      </c>
      <c r="X48" s="1254">
        <f>SUM(V48-W48)</f>
        <v>0</v>
      </c>
      <c r="Y48" s="1142">
        <f t="shared" si="15"/>
        <v>1</v>
      </c>
      <c r="Z48" s="1243">
        <v>45992</v>
      </c>
      <c r="AA48" s="1274">
        <v>1</v>
      </c>
      <c r="AB48" s="1274">
        <v>0</v>
      </c>
      <c r="AC48" s="1273">
        <v>0</v>
      </c>
      <c r="AD48" s="1245" t="s">
        <v>505</v>
      </c>
    </row>
    <row r="49" spans="1:30" ht="39.75" customHeight="1">
      <c r="A49" s="1310" t="s">
        <v>506</v>
      </c>
      <c r="B49" s="1141" t="s">
        <v>318</v>
      </c>
      <c r="C49" s="1281">
        <v>46019</v>
      </c>
      <c r="D49" s="969" t="s">
        <v>129</v>
      </c>
      <c r="E49" s="1281">
        <v>45959</v>
      </c>
      <c r="F49" s="1282" t="s">
        <v>163</v>
      </c>
      <c r="G49" s="1282" t="s">
        <v>507</v>
      </c>
      <c r="H49" s="1283">
        <v>0</v>
      </c>
      <c r="I49" s="970" t="s">
        <v>219</v>
      </c>
      <c r="J49" s="1268" t="s">
        <v>63</v>
      </c>
      <c r="K49" s="1284"/>
      <c r="L49" s="1285">
        <v>45961</v>
      </c>
      <c r="M49" s="1268" t="s">
        <v>57</v>
      </c>
      <c r="N49" s="1311">
        <v>54043.5</v>
      </c>
      <c r="O49" s="1287" t="s">
        <v>57</v>
      </c>
      <c r="P49" s="1312" t="s">
        <v>86</v>
      </c>
      <c r="Q49" s="1313">
        <v>45961</v>
      </c>
      <c r="R49" s="1314"/>
      <c r="S49" s="1289"/>
      <c r="T49" s="1289"/>
      <c r="U49" s="1243">
        <v>46040</v>
      </c>
      <c r="V49" s="1254">
        <v>4140</v>
      </c>
      <c r="W49" s="1315">
        <v>4140</v>
      </c>
      <c r="X49" s="1197">
        <f>SUM(V49-W49)</f>
        <v>0</v>
      </c>
      <c r="Y49" s="1142">
        <f t="shared" si="15"/>
        <v>1</v>
      </c>
      <c r="Z49" s="1243">
        <v>45974</v>
      </c>
      <c r="AA49" s="1274">
        <v>1</v>
      </c>
      <c r="AB49" s="1274">
        <v>0</v>
      </c>
      <c r="AC49" s="1273">
        <v>0</v>
      </c>
      <c r="AD49" s="1245" t="s">
        <v>508</v>
      </c>
    </row>
    <row r="50" spans="1:30" ht="39.75" customHeight="1">
      <c r="A50" s="1065" t="s">
        <v>509</v>
      </c>
      <c r="B50" s="785" t="s">
        <v>50</v>
      </c>
      <c r="C50" s="883">
        <v>45991</v>
      </c>
      <c r="D50" s="1080" t="s">
        <v>84</v>
      </c>
      <c r="E50" s="57">
        <v>45743</v>
      </c>
      <c r="F50" s="768" t="s">
        <v>68</v>
      </c>
      <c r="G50" s="786" t="s">
        <v>510</v>
      </c>
      <c r="H50" s="772">
        <v>69</v>
      </c>
      <c r="I50" s="659" t="s">
        <v>219</v>
      </c>
      <c r="J50" s="469" t="s">
        <v>63</v>
      </c>
      <c r="K50" s="899"/>
      <c r="L50" s="51">
        <v>45741</v>
      </c>
      <c r="M50" s="376" t="s">
        <v>57</v>
      </c>
      <c r="N50" s="835">
        <v>67734.5</v>
      </c>
      <c r="O50" s="376" t="s">
        <v>57</v>
      </c>
      <c r="P50" s="1062" t="s">
        <v>86</v>
      </c>
      <c r="Q50" s="54">
        <v>45744</v>
      </c>
      <c r="R50" s="54"/>
      <c r="S50" s="54"/>
      <c r="T50" s="54"/>
      <c r="U50" s="54"/>
      <c r="V50" s="31">
        <v>4822</v>
      </c>
      <c r="W50" s="1004">
        <v>4958</v>
      </c>
      <c r="X50" s="106">
        <f t="shared" si="13"/>
        <v>-136</v>
      </c>
      <c r="Y50" s="976">
        <f t="shared" si="12"/>
        <v>1.0282040647034425</v>
      </c>
      <c r="Z50" s="54">
        <v>45784</v>
      </c>
      <c r="AA50" s="355">
        <v>0</v>
      </c>
      <c r="AB50" s="355">
        <v>0</v>
      </c>
      <c r="AC50" s="643">
        <v>0</v>
      </c>
      <c r="AD50" s="69" t="s">
        <v>511</v>
      </c>
    </row>
    <row r="51" spans="1:30" ht="39.75" customHeight="1">
      <c r="A51" s="1065" t="s">
        <v>512</v>
      </c>
      <c r="B51" s="767" t="s">
        <v>50</v>
      </c>
      <c r="C51" s="883">
        <v>45991</v>
      </c>
      <c r="D51" s="1066" t="s">
        <v>513</v>
      </c>
      <c r="E51" s="769">
        <v>45735</v>
      </c>
      <c r="F51" s="768" t="s">
        <v>68</v>
      </c>
      <c r="G51" s="771" t="s">
        <v>514</v>
      </c>
      <c r="H51" s="772">
        <v>70</v>
      </c>
      <c r="I51" s="470" t="s">
        <v>219</v>
      </c>
      <c r="J51" s="478" t="s">
        <v>63</v>
      </c>
      <c r="K51" s="52"/>
      <c r="L51" s="375">
        <v>45716</v>
      </c>
      <c r="M51" s="52" t="s">
        <v>57</v>
      </c>
      <c r="N51" s="1070">
        <v>56262.5</v>
      </c>
      <c r="O51" s="52" t="s">
        <v>57</v>
      </c>
      <c r="P51" s="1062" t="s">
        <v>86</v>
      </c>
      <c r="Q51" s="54">
        <v>45744</v>
      </c>
      <c r="R51" s="54">
        <v>45917</v>
      </c>
      <c r="S51" s="54">
        <v>45930</v>
      </c>
      <c r="T51" s="54"/>
      <c r="U51" s="54"/>
      <c r="V51" s="31">
        <v>4870</v>
      </c>
      <c r="W51" s="1004">
        <v>5044</v>
      </c>
      <c r="X51" s="106">
        <f t="shared" si="13"/>
        <v>-174</v>
      </c>
      <c r="Y51" s="976">
        <f t="shared" si="12"/>
        <v>1.0357289527720739</v>
      </c>
      <c r="Z51" s="54">
        <v>45754</v>
      </c>
      <c r="AA51" s="355">
        <v>0</v>
      </c>
      <c r="AB51" s="355">
        <v>0</v>
      </c>
      <c r="AC51" s="41">
        <v>0</v>
      </c>
      <c r="AD51" s="1018" t="s">
        <v>515</v>
      </c>
    </row>
    <row r="52" spans="1:30" ht="39.75" customHeight="1">
      <c r="A52" s="922" t="s">
        <v>516</v>
      </c>
      <c r="B52" s="820" t="s">
        <v>50</v>
      </c>
      <c r="C52" s="467">
        <v>45991</v>
      </c>
      <c r="D52" s="467" t="s">
        <v>84</v>
      </c>
      <c r="E52" s="476">
        <v>45748</v>
      </c>
      <c r="F52" s="475" t="s">
        <v>68</v>
      </c>
      <c r="G52" s="821" t="s">
        <v>517</v>
      </c>
      <c r="H52" s="478">
        <v>0</v>
      </c>
      <c r="I52" s="478" t="s">
        <v>219</v>
      </c>
      <c r="J52" s="469" t="s">
        <v>63</v>
      </c>
      <c r="K52" s="822"/>
      <c r="L52" s="476">
        <v>45741</v>
      </c>
      <c r="M52" s="469" t="s">
        <v>57</v>
      </c>
      <c r="N52" s="543">
        <v>17203.45</v>
      </c>
      <c r="O52" s="469" t="s">
        <v>57</v>
      </c>
      <c r="P52" s="968" t="s">
        <v>86</v>
      </c>
      <c r="Q52" s="479">
        <v>45742</v>
      </c>
      <c r="R52" s="479"/>
      <c r="S52" s="479"/>
      <c r="T52" s="479"/>
      <c r="U52" s="479"/>
      <c r="V52" s="41">
        <v>1157</v>
      </c>
      <c r="W52" s="625">
        <v>1181</v>
      </c>
      <c r="X52" s="472">
        <f>SUM(V52-W52)</f>
        <v>-24</v>
      </c>
      <c r="Y52" s="660">
        <f>IFERROR($W52/$V52, 0)</f>
        <v>1.0207433016421781</v>
      </c>
      <c r="Z52" s="479">
        <v>45925</v>
      </c>
      <c r="AA52" s="355">
        <v>0</v>
      </c>
      <c r="AB52" s="355">
        <v>0</v>
      </c>
      <c r="AC52" s="643">
        <v>0</v>
      </c>
      <c r="AD52" s="485" t="s">
        <v>518</v>
      </c>
    </row>
    <row r="53" spans="1:30" ht="39.75" customHeight="1">
      <c r="A53" s="1065" t="s">
        <v>519</v>
      </c>
      <c r="B53" s="785" t="s">
        <v>50</v>
      </c>
      <c r="C53" s="883">
        <v>45991</v>
      </c>
      <c r="D53" s="1080" t="s">
        <v>84</v>
      </c>
      <c r="E53" s="57">
        <v>45779</v>
      </c>
      <c r="F53" s="768" t="s">
        <v>68</v>
      </c>
      <c r="G53" s="786" t="s">
        <v>520</v>
      </c>
      <c r="H53" s="772">
        <v>0</v>
      </c>
      <c r="I53" s="478" t="s">
        <v>219</v>
      </c>
      <c r="J53" s="469" t="s">
        <v>63</v>
      </c>
      <c r="K53" s="899"/>
      <c r="L53" s="51">
        <v>45742</v>
      </c>
      <c r="M53" s="905" t="s">
        <v>57</v>
      </c>
      <c r="N53" s="1070">
        <v>23800.25</v>
      </c>
      <c r="O53" s="376" t="s">
        <v>57</v>
      </c>
      <c r="P53" s="1062" t="s">
        <v>86</v>
      </c>
      <c r="Q53" s="54">
        <v>45743</v>
      </c>
      <c r="R53" s="195"/>
      <c r="S53" s="54"/>
      <c r="T53" s="54"/>
      <c r="U53" s="54"/>
      <c r="V53" s="31">
        <v>1697</v>
      </c>
      <c r="W53" s="1004">
        <v>1815</v>
      </c>
      <c r="X53" s="472">
        <f t="shared" si="13"/>
        <v>-118</v>
      </c>
      <c r="Y53" s="857">
        <f t="shared" si="12"/>
        <v>1.0695344725987035</v>
      </c>
      <c r="Z53" s="54">
        <v>45791</v>
      </c>
      <c r="AA53" s="599">
        <v>1</v>
      </c>
      <c r="AB53" s="599">
        <v>0</v>
      </c>
      <c r="AC53" s="1082">
        <v>0</v>
      </c>
      <c r="AD53" s="1018" t="s">
        <v>521</v>
      </c>
    </row>
    <row r="54" spans="1:30" ht="39.75" customHeight="1">
      <c r="A54" s="1263" t="s">
        <v>522</v>
      </c>
      <c r="B54" s="820" t="s">
        <v>50</v>
      </c>
      <c r="C54" s="1191">
        <v>46218</v>
      </c>
      <c r="D54" s="1191" t="s">
        <v>523</v>
      </c>
      <c r="E54" s="51" t="s">
        <v>52</v>
      </c>
      <c r="F54" s="1212" t="s">
        <v>68</v>
      </c>
      <c r="G54" s="1212" t="s">
        <v>524</v>
      </c>
      <c r="H54" s="1213">
        <v>380</v>
      </c>
      <c r="I54" s="659" t="s">
        <v>219</v>
      </c>
      <c r="J54" s="1193" t="s">
        <v>56</v>
      </c>
      <c r="K54" s="1237"/>
      <c r="L54" s="1211">
        <v>45964</v>
      </c>
      <c r="M54" s="1213" t="s">
        <v>57</v>
      </c>
      <c r="N54" s="1224">
        <v>117414</v>
      </c>
      <c r="O54" s="1213" t="s">
        <v>57</v>
      </c>
      <c r="P54" s="1264" t="s">
        <v>86</v>
      </c>
      <c r="Q54" s="1216">
        <v>45964</v>
      </c>
      <c r="R54" s="1216"/>
      <c r="S54" s="1216"/>
      <c r="T54" s="1216"/>
      <c r="U54" s="1216"/>
      <c r="V54" s="1217">
        <v>9181</v>
      </c>
      <c r="W54" s="1265">
        <v>9179</v>
      </c>
      <c r="X54" s="1197">
        <f>SUM(V54-W54)</f>
        <v>2</v>
      </c>
      <c r="Y54" s="858">
        <f t="shared" si="12"/>
        <v>0.99978215880623023</v>
      </c>
      <c r="Z54" s="1196">
        <v>45992</v>
      </c>
      <c r="AA54" s="1199">
        <v>1</v>
      </c>
      <c r="AB54" s="1199">
        <v>0</v>
      </c>
      <c r="AC54" s="643">
        <v>0</v>
      </c>
      <c r="AD54" s="1231" t="s">
        <v>525</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5:K36 K38 K41:K49 K1:K5 K52:K54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4" xr:uid="{FAE40925-7EC8-4626-B635-D815FEB73FF5}">
      <formula1>"On Track, In Jeopardy, Completed on Track, Completed, Completed -Missed TSD"</formula1>
    </dataValidation>
    <dataValidation type="list" allowBlank="1" showInputMessage="1" showErrorMessage="1" sqref="J6 J2:J4 J8:J13 J15 J18:J54" xr:uid="{ECCD296E-320E-42DF-8A21-19E7E0361B1B}">
      <formula1>"Received, Pending, Not Required"</formula1>
    </dataValidation>
    <dataValidation allowBlank="1" showInputMessage="1" showErrorMessage="1" sqref="L35:L36 L38 D29 Q38:T38 L40:L49 D53 E54 Q40:T49 Q35:T36 L52:L54 Q53:U54 Q1:U28 L1:L28 R30:U31 U32 U43:U46 Q30:Q33 D32:D51 L30:L33 U48: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207</v>
      </c>
      <c r="C2" s="467">
        <v>45960</v>
      </c>
      <c r="D2" s="467" t="s">
        <v>222</v>
      </c>
      <c r="E2" s="467">
        <v>45852</v>
      </c>
      <c r="F2" s="640" t="s">
        <v>223</v>
      </c>
      <c r="G2" s="680" t="s">
        <v>527</v>
      </c>
      <c r="H2" s="469">
        <v>0</v>
      </c>
      <c r="I2" s="469" t="s">
        <v>219</v>
      </c>
      <c r="J2" s="469" t="s">
        <v>63</v>
      </c>
      <c r="K2" s="469"/>
      <c r="L2" s="467">
        <v>45852</v>
      </c>
      <c r="M2" s="469" t="s">
        <v>57</v>
      </c>
      <c r="N2" s="542">
        <v>42837.2</v>
      </c>
      <c r="O2" s="469" t="s">
        <v>57</v>
      </c>
      <c r="P2" s="803" t="s">
        <v>86</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207</v>
      </c>
      <c r="C3" s="467">
        <v>45868</v>
      </c>
      <c r="D3" s="475" t="s">
        <v>530</v>
      </c>
      <c r="E3" s="476">
        <v>45716</v>
      </c>
      <c r="F3" s="475" t="s">
        <v>223</v>
      </c>
      <c r="G3" s="595" t="s">
        <v>531</v>
      </c>
      <c r="H3" s="478">
        <v>0</v>
      </c>
      <c r="I3" s="483" t="s">
        <v>219</v>
      </c>
      <c r="J3" s="478" t="s">
        <v>63</v>
      </c>
      <c r="K3" s="487"/>
      <c r="L3" s="467">
        <v>45716</v>
      </c>
      <c r="M3" s="478" t="s">
        <v>57</v>
      </c>
      <c r="N3" s="543">
        <v>64932.55</v>
      </c>
      <c r="O3" s="478" t="s">
        <v>57</v>
      </c>
      <c r="P3" s="803" t="s">
        <v>86</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31" t="s">
        <v>207</v>
      </c>
      <c r="C4" s="903">
        <v>45999</v>
      </c>
      <c r="D4" s="907" t="s">
        <v>84</v>
      </c>
      <c r="E4" s="979">
        <v>45975</v>
      </c>
      <c r="F4" s="907" t="s">
        <v>208</v>
      </c>
      <c r="G4" s="984" t="s">
        <v>533</v>
      </c>
      <c r="H4" s="971">
        <v>0</v>
      </c>
      <c r="I4" s="906" t="s">
        <v>219</v>
      </c>
      <c r="J4" s="905" t="s">
        <v>63</v>
      </c>
      <c r="K4" s="905"/>
      <c r="L4" s="51">
        <v>45960</v>
      </c>
      <c r="M4" s="1432" t="s">
        <v>57</v>
      </c>
      <c r="N4" s="981">
        <v>4911.8999999999996</v>
      </c>
      <c r="O4" s="971" t="s">
        <v>57</v>
      </c>
      <c r="P4" s="909" t="s">
        <v>86</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207</v>
      </c>
      <c r="C5" s="467">
        <v>45991</v>
      </c>
      <c r="D5" s="476" t="s">
        <v>402</v>
      </c>
      <c r="E5" s="428">
        <v>45707</v>
      </c>
      <c r="F5" s="475" t="s">
        <v>223</v>
      </c>
      <c r="G5" s="492" t="s">
        <v>536</v>
      </c>
      <c r="H5" s="483">
        <v>0</v>
      </c>
      <c r="I5" s="483" t="s">
        <v>219</v>
      </c>
      <c r="J5" s="483" t="s">
        <v>63</v>
      </c>
      <c r="K5" s="483"/>
      <c r="L5" s="476">
        <v>45708</v>
      </c>
      <c r="M5" s="483" t="s">
        <v>57</v>
      </c>
      <c r="N5" s="544">
        <v>87944.4</v>
      </c>
      <c r="O5" s="483" t="s">
        <v>57</v>
      </c>
      <c r="P5" s="803" t="s">
        <v>86</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207</v>
      </c>
      <c r="C6" s="476">
        <v>45807</v>
      </c>
      <c r="D6" s="465" t="s">
        <v>530</v>
      </c>
      <c r="E6" s="475" t="s">
        <v>52</v>
      </c>
      <c r="F6" s="465" t="s">
        <v>223</v>
      </c>
      <c r="G6" s="821" t="s">
        <v>539</v>
      </c>
      <c r="H6" s="469">
        <v>84</v>
      </c>
      <c r="I6" s="825" t="s">
        <v>219</v>
      </c>
      <c r="J6" s="478" t="s">
        <v>63</v>
      </c>
      <c r="K6" s="840"/>
      <c r="L6" s="467">
        <v>45716</v>
      </c>
      <c r="M6" s="478" t="s">
        <v>57</v>
      </c>
      <c r="N6" s="542">
        <v>2812.95</v>
      </c>
      <c r="O6" s="478" t="s">
        <v>57</v>
      </c>
      <c r="P6" s="803" t="s">
        <v>86</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207</v>
      </c>
      <c r="C7" s="467">
        <v>45991</v>
      </c>
      <c r="D7" s="475" t="s">
        <v>402</v>
      </c>
      <c r="E7" s="476">
        <v>45866</v>
      </c>
      <c r="F7" s="475" t="s">
        <v>223</v>
      </c>
      <c r="G7" s="477" t="s">
        <v>541</v>
      </c>
      <c r="H7" s="478">
        <v>0</v>
      </c>
      <c r="I7" s="483" t="s">
        <v>219</v>
      </c>
      <c r="J7" s="478" t="s">
        <v>63</v>
      </c>
      <c r="K7" s="487"/>
      <c r="L7" s="476">
        <v>45863</v>
      </c>
      <c r="M7" s="478" t="s">
        <v>57</v>
      </c>
      <c r="N7" s="543">
        <v>143407.25</v>
      </c>
      <c r="O7" s="478" t="s">
        <v>57</v>
      </c>
      <c r="P7" s="803" t="s">
        <v>86</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207</v>
      </c>
      <c r="C8" s="467">
        <v>45991</v>
      </c>
      <c r="D8" s="475" t="s">
        <v>84</v>
      </c>
      <c r="E8" s="476">
        <v>45880</v>
      </c>
      <c r="F8" s="475" t="s">
        <v>208</v>
      </c>
      <c r="G8" s="477" t="s">
        <v>543</v>
      </c>
      <c r="H8" s="478">
        <v>0</v>
      </c>
      <c r="I8" s="483" t="s">
        <v>219</v>
      </c>
      <c r="J8" s="478" t="s">
        <v>63</v>
      </c>
      <c r="K8" s="487"/>
      <c r="L8" s="476">
        <v>45881</v>
      </c>
      <c r="M8" s="478" t="s">
        <v>57</v>
      </c>
      <c r="N8" s="543">
        <v>4815.6499999999996</v>
      </c>
      <c r="O8" s="478" t="s">
        <v>57</v>
      </c>
      <c r="P8" s="803" t="s">
        <v>86</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207</v>
      </c>
      <c r="C9" s="831">
        <v>45955</v>
      </c>
      <c r="D9" s="832" t="s">
        <v>129</v>
      </c>
      <c r="E9" s="832">
        <v>45919</v>
      </c>
      <c r="F9" s="832" t="s">
        <v>234</v>
      </c>
      <c r="G9" s="833" t="s">
        <v>546</v>
      </c>
      <c r="H9" s="393">
        <v>0</v>
      </c>
      <c r="I9" s="834" t="s">
        <v>219</v>
      </c>
      <c r="J9" s="393" t="s">
        <v>63</v>
      </c>
      <c r="K9" s="393"/>
      <c r="L9" s="832" t="s">
        <v>52</v>
      </c>
      <c r="M9" s="393" t="s">
        <v>57</v>
      </c>
      <c r="N9" s="835">
        <v>4646.75</v>
      </c>
      <c r="O9" s="393" t="s">
        <v>92</v>
      </c>
      <c r="P9" s="909" t="s">
        <v>86</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109</v>
      </c>
      <c r="C10" s="476">
        <v>45960</v>
      </c>
      <c r="D10" s="467" t="s">
        <v>84</v>
      </c>
      <c r="E10" s="476">
        <v>45918</v>
      </c>
      <c r="F10" s="465" t="s">
        <v>110</v>
      </c>
      <c r="G10" s="50" t="s">
        <v>548</v>
      </c>
      <c r="H10" s="990">
        <v>0</v>
      </c>
      <c r="I10" s="659" t="s">
        <v>219</v>
      </c>
      <c r="J10" s="469" t="s">
        <v>63</v>
      </c>
      <c r="K10" s="469"/>
      <c r="L10" s="476">
        <v>45918</v>
      </c>
      <c r="M10" s="478" t="s">
        <v>57</v>
      </c>
      <c r="N10" s="543">
        <v>9611.9500000000007</v>
      </c>
      <c r="O10" s="478" t="s">
        <v>57</v>
      </c>
      <c r="P10" s="803" t="s">
        <v>86</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60" t="s">
        <v>550</v>
      </c>
      <c r="B11" s="1192" t="s">
        <v>109</v>
      </c>
      <c r="C11" s="1191">
        <v>46021</v>
      </c>
      <c r="D11" s="1191" t="s">
        <v>129</v>
      </c>
      <c r="E11" s="1191">
        <v>46001</v>
      </c>
      <c r="F11" s="1192" t="s">
        <v>142</v>
      </c>
      <c r="G11" s="1192"/>
      <c r="H11" s="1193">
        <v>49</v>
      </c>
      <c r="I11" s="659" t="s">
        <v>219</v>
      </c>
      <c r="J11" s="1193" t="s">
        <v>63</v>
      </c>
      <c r="K11" s="1193"/>
      <c r="L11" s="1191">
        <v>45994</v>
      </c>
      <c r="M11" s="1213" t="s">
        <v>57</v>
      </c>
      <c r="N11" s="1194">
        <v>42150</v>
      </c>
      <c r="O11" s="1213" t="s">
        <v>57</v>
      </c>
      <c r="P11" s="1361" t="s">
        <v>86</v>
      </c>
      <c r="Q11" s="1196">
        <v>45994</v>
      </c>
      <c r="R11" s="1196"/>
      <c r="S11" s="1196"/>
      <c r="T11" s="1196"/>
      <c r="U11" s="486" t="s">
        <v>528</v>
      </c>
      <c r="V11" s="784">
        <v>3885</v>
      </c>
      <c r="W11" s="1359">
        <v>3910</v>
      </c>
      <c r="X11" s="1197">
        <f>SUM(V11-W11)</f>
        <v>-25</v>
      </c>
      <c r="Y11" s="660">
        <f t="shared" si="7"/>
        <v>1.0064350064350065</v>
      </c>
      <c r="Z11" s="1216">
        <v>46006</v>
      </c>
      <c r="AA11" s="1199">
        <v>1</v>
      </c>
      <c r="AB11" s="355">
        <v>1</v>
      </c>
      <c r="AC11" s="643">
        <v>0</v>
      </c>
      <c r="AD11" s="1200" t="s">
        <v>551</v>
      </c>
    </row>
    <row r="12" spans="1:30" ht="39.75" customHeight="1">
      <c r="A12" s="842" t="s">
        <v>552</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109</v>
      </c>
      <c r="C13" s="476">
        <v>45930</v>
      </c>
      <c r="D13" s="467" t="s">
        <v>129</v>
      </c>
      <c r="E13" s="467">
        <v>45896</v>
      </c>
      <c r="F13" s="465" t="s">
        <v>163</v>
      </c>
      <c r="G13" s="465" t="s">
        <v>555</v>
      </c>
      <c r="H13" s="469">
        <v>66</v>
      </c>
      <c r="I13" s="469" t="s">
        <v>219</v>
      </c>
      <c r="J13" s="469" t="s">
        <v>63</v>
      </c>
      <c r="K13" s="469"/>
      <c r="L13" s="467">
        <v>45897</v>
      </c>
      <c r="M13" s="469" t="s">
        <v>57</v>
      </c>
      <c r="N13" s="542">
        <v>44896.1</v>
      </c>
      <c r="O13" s="469" t="s">
        <v>57</v>
      </c>
      <c r="P13" s="803" t="s">
        <v>86</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109</v>
      </c>
      <c r="C14" s="476">
        <v>45930</v>
      </c>
      <c r="D14" s="467" t="s">
        <v>129</v>
      </c>
      <c r="E14" s="640">
        <v>45910</v>
      </c>
      <c r="F14" s="465" t="s">
        <v>110</v>
      </c>
      <c r="G14" s="465" t="s">
        <v>558</v>
      </c>
      <c r="H14" s="469">
        <v>80</v>
      </c>
      <c r="I14" s="469" t="s">
        <v>219</v>
      </c>
      <c r="J14" s="469" t="s">
        <v>63</v>
      </c>
      <c r="K14" s="469"/>
      <c r="L14" s="467">
        <v>45903</v>
      </c>
      <c r="M14" s="469" t="s">
        <v>57</v>
      </c>
      <c r="N14" s="542">
        <v>59116.7</v>
      </c>
      <c r="O14" s="469" t="s">
        <v>57</v>
      </c>
      <c r="P14" s="803" t="s">
        <v>86</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60" t="s">
        <v>560</v>
      </c>
      <c r="B15" s="1192" t="s">
        <v>109</v>
      </c>
      <c r="C15" s="1191">
        <v>46010</v>
      </c>
      <c r="D15" s="1191" t="s">
        <v>141</v>
      </c>
      <c r="E15" s="1191">
        <v>45974</v>
      </c>
      <c r="F15" s="1192" t="s">
        <v>110</v>
      </c>
      <c r="G15" s="1192" t="s">
        <v>561</v>
      </c>
      <c r="H15" s="1193">
        <v>67</v>
      </c>
      <c r="I15" s="659" t="s">
        <v>219</v>
      </c>
      <c r="J15" s="1193" t="s">
        <v>63</v>
      </c>
      <c r="K15" s="1193"/>
      <c r="L15" s="1191">
        <v>45936</v>
      </c>
      <c r="M15" s="1193" t="s">
        <v>57</v>
      </c>
      <c r="N15" s="1194">
        <v>38192</v>
      </c>
      <c r="O15" s="1193" t="s">
        <v>57</v>
      </c>
      <c r="P15" s="1361" t="s">
        <v>86</v>
      </c>
      <c r="Q15" s="1196">
        <v>45936</v>
      </c>
      <c r="R15" s="1242"/>
      <c r="S15" s="1242"/>
      <c r="T15" s="1242"/>
      <c r="U15" s="486" t="s">
        <v>528</v>
      </c>
      <c r="V15" s="1197">
        <v>2845</v>
      </c>
      <c r="W15" s="1359">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109</v>
      </c>
      <c r="C16" s="476">
        <v>45930</v>
      </c>
      <c r="D16" s="467" t="s">
        <v>129</v>
      </c>
      <c r="E16" s="640">
        <v>45910</v>
      </c>
      <c r="F16" s="640" t="s">
        <v>163</v>
      </c>
      <c r="G16" s="680" t="s">
        <v>564</v>
      </c>
      <c r="H16" s="469">
        <v>67</v>
      </c>
      <c r="I16" s="659" t="s">
        <v>219</v>
      </c>
      <c r="J16" s="469" t="s">
        <v>63</v>
      </c>
      <c r="K16" s="469"/>
      <c r="L16" s="467">
        <v>45903</v>
      </c>
      <c r="M16" s="469" t="s">
        <v>57</v>
      </c>
      <c r="N16" s="542">
        <v>40406</v>
      </c>
      <c r="O16" s="469" t="s">
        <v>57</v>
      </c>
      <c r="P16" s="803" t="s">
        <v>86</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60" t="s">
        <v>566</v>
      </c>
      <c r="B17" s="1192" t="s">
        <v>109</v>
      </c>
      <c r="C17" s="1191">
        <v>46010</v>
      </c>
      <c r="D17" s="1191" t="s">
        <v>141</v>
      </c>
      <c r="E17" s="1191">
        <v>45974</v>
      </c>
      <c r="F17" s="1192" t="s">
        <v>110</v>
      </c>
      <c r="G17" s="1192" t="s">
        <v>567</v>
      </c>
      <c r="H17" s="1193">
        <v>68</v>
      </c>
      <c r="I17" s="659" t="s">
        <v>219</v>
      </c>
      <c r="J17" s="1193" t="s">
        <v>63</v>
      </c>
      <c r="K17" s="1193"/>
      <c r="L17" s="1191">
        <v>45936</v>
      </c>
      <c r="M17" s="1193" t="s">
        <v>57</v>
      </c>
      <c r="N17" s="1194">
        <v>37755.599999999999</v>
      </c>
      <c r="O17" s="1193" t="s">
        <v>57</v>
      </c>
      <c r="P17" s="1361" t="s">
        <v>86</v>
      </c>
      <c r="Q17" s="1196">
        <v>45936</v>
      </c>
      <c r="R17" s="1242"/>
      <c r="S17" s="1242"/>
      <c r="T17" s="1242"/>
      <c r="U17" s="486" t="s">
        <v>528</v>
      </c>
      <c r="V17" s="1197">
        <v>2584</v>
      </c>
      <c r="W17" s="1359">
        <v>2584</v>
      </c>
      <c r="X17" s="1197">
        <f t="shared" si="6"/>
        <v>0</v>
      </c>
      <c r="Y17" s="660">
        <f t="shared" si="7"/>
        <v>1</v>
      </c>
      <c r="Z17" s="1216">
        <v>46000</v>
      </c>
      <c r="AA17" s="1199">
        <v>1</v>
      </c>
      <c r="AB17" s="355">
        <v>1</v>
      </c>
      <c r="AC17" s="643">
        <v>0</v>
      </c>
      <c r="AD17" s="1200" t="s">
        <v>568</v>
      </c>
    </row>
    <row r="18" spans="1:30" ht="39.75" customHeight="1">
      <c r="A18" s="1360" t="s">
        <v>569</v>
      </c>
      <c r="B18" s="1192" t="s">
        <v>109</v>
      </c>
      <c r="C18" s="1191">
        <v>46010</v>
      </c>
      <c r="D18" s="1191" t="s">
        <v>141</v>
      </c>
      <c r="E18" s="1191">
        <v>45974</v>
      </c>
      <c r="F18" s="1192" t="s">
        <v>110</v>
      </c>
      <c r="G18" s="1192" t="s">
        <v>570</v>
      </c>
      <c r="H18" s="1193">
        <v>28</v>
      </c>
      <c r="I18" s="659" t="s">
        <v>219</v>
      </c>
      <c r="J18" s="1193" t="s">
        <v>63</v>
      </c>
      <c r="K18" s="1193"/>
      <c r="L18" s="1191">
        <v>45972</v>
      </c>
      <c r="M18" s="1193" t="s">
        <v>57</v>
      </c>
      <c r="N18" s="1194">
        <v>27615.5</v>
      </c>
      <c r="O18" s="1193" t="s">
        <v>57</v>
      </c>
      <c r="P18" s="1361" t="s">
        <v>86</v>
      </c>
      <c r="Q18" s="1243">
        <v>45979</v>
      </c>
      <c r="R18" s="1244"/>
      <c r="S18" s="1242"/>
      <c r="T18" s="1242"/>
      <c r="U18" s="486" t="s">
        <v>528</v>
      </c>
      <c r="V18" s="1197">
        <v>2027</v>
      </c>
      <c r="W18" s="1359">
        <v>2146</v>
      </c>
      <c r="X18" s="1197">
        <f t="shared" si="6"/>
        <v>-119</v>
      </c>
      <c r="Y18" s="858">
        <f t="shared" si="7"/>
        <v>1.0587074494326592</v>
      </c>
      <c r="Z18" s="1196">
        <v>45994</v>
      </c>
      <c r="AA18" s="1199">
        <v>1</v>
      </c>
      <c r="AB18" s="355">
        <v>1</v>
      </c>
      <c r="AC18" s="643">
        <v>0</v>
      </c>
      <c r="AD18" s="1200" t="s">
        <v>571</v>
      </c>
    </row>
    <row r="19" spans="1:30" ht="39.75" customHeight="1">
      <c r="A19" s="1360" t="s">
        <v>572</v>
      </c>
      <c r="B19" s="1192" t="s">
        <v>109</v>
      </c>
      <c r="C19" s="1191">
        <v>46006</v>
      </c>
      <c r="D19" s="1191" t="s">
        <v>129</v>
      </c>
      <c r="E19" s="1191">
        <v>45999</v>
      </c>
      <c r="F19" s="1192" t="s">
        <v>110</v>
      </c>
      <c r="G19" s="1192" t="s">
        <v>573</v>
      </c>
      <c r="H19" s="1193">
        <v>87</v>
      </c>
      <c r="I19" s="659" t="s">
        <v>219</v>
      </c>
      <c r="J19" s="1193" t="s">
        <v>63</v>
      </c>
      <c r="K19" s="469"/>
      <c r="L19" s="1191">
        <v>45999</v>
      </c>
      <c r="M19" s="1193" t="s">
        <v>57</v>
      </c>
      <c r="N19" s="1194">
        <v>74384</v>
      </c>
      <c r="O19" s="1193" t="s">
        <v>57</v>
      </c>
      <c r="P19" s="1361" t="s">
        <v>86</v>
      </c>
      <c r="Q19" s="1243">
        <v>45999</v>
      </c>
      <c r="R19" s="550"/>
      <c r="S19" s="550"/>
      <c r="T19" s="550"/>
      <c r="U19" s="486" t="s">
        <v>528</v>
      </c>
      <c r="V19" s="1197">
        <v>6130</v>
      </c>
      <c r="W19" s="1359">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109</v>
      </c>
      <c r="C20" s="467">
        <v>46006</v>
      </c>
      <c r="D20" s="467" t="s">
        <v>129</v>
      </c>
      <c r="E20" s="467">
        <v>45979</v>
      </c>
      <c r="F20" s="465" t="s">
        <v>163</v>
      </c>
      <c r="G20" s="680" t="s">
        <v>576</v>
      </c>
      <c r="H20" s="469">
        <v>28</v>
      </c>
      <c r="I20" s="659" t="s">
        <v>219</v>
      </c>
      <c r="J20" s="469" t="s">
        <v>63</v>
      </c>
      <c r="K20" s="469"/>
      <c r="L20" s="467">
        <v>45979</v>
      </c>
      <c r="M20" s="469" t="s">
        <v>57</v>
      </c>
      <c r="N20" s="542">
        <v>29683</v>
      </c>
      <c r="O20" s="469" t="s">
        <v>57</v>
      </c>
      <c r="P20" s="803" t="s">
        <v>86</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29"/>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109</v>
      </c>
      <c r="C29" s="467">
        <v>45991</v>
      </c>
      <c r="D29" s="467" t="s">
        <v>129</v>
      </c>
      <c r="E29" s="467">
        <v>45966</v>
      </c>
      <c r="F29" s="465" t="s">
        <v>110</v>
      </c>
      <c r="G29" s="468" t="s">
        <v>595</v>
      </c>
      <c r="H29" s="469">
        <v>69</v>
      </c>
      <c r="I29" s="659" t="s">
        <v>219</v>
      </c>
      <c r="J29" s="469" t="s">
        <v>63</v>
      </c>
      <c r="K29" s="469"/>
      <c r="L29" s="467">
        <v>45969</v>
      </c>
      <c r="M29" s="469" t="s">
        <v>57</v>
      </c>
      <c r="N29" s="542">
        <v>75672.100000000006</v>
      </c>
      <c r="O29" s="469" t="s">
        <v>57</v>
      </c>
      <c r="P29" s="1143" t="s">
        <v>86</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109</v>
      </c>
      <c r="C30" s="467">
        <v>46001</v>
      </c>
      <c r="D30" s="467" t="s">
        <v>129</v>
      </c>
      <c r="E30" s="467">
        <v>45966</v>
      </c>
      <c r="F30" s="465" t="s">
        <v>110</v>
      </c>
      <c r="G30" s="680" t="s">
        <v>598</v>
      </c>
      <c r="H30" s="469">
        <v>88</v>
      </c>
      <c r="I30" s="659" t="s">
        <v>219</v>
      </c>
      <c r="J30" s="469" t="s">
        <v>63</v>
      </c>
      <c r="K30" s="469"/>
      <c r="L30" s="467">
        <v>45967</v>
      </c>
      <c r="M30" s="469" t="s">
        <v>57</v>
      </c>
      <c r="N30" s="542">
        <v>76565.850000000006</v>
      </c>
      <c r="O30" s="469" t="s">
        <v>57</v>
      </c>
      <c r="P30" s="1143" t="s">
        <v>86</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109</v>
      </c>
      <c r="C31" s="467">
        <v>45991</v>
      </c>
      <c r="D31" s="467" t="s">
        <v>129</v>
      </c>
      <c r="E31" s="467">
        <v>45966</v>
      </c>
      <c r="F31" s="465" t="s">
        <v>142</v>
      </c>
      <c r="G31" s="680" t="s">
        <v>601</v>
      </c>
      <c r="H31" s="469">
        <v>75</v>
      </c>
      <c r="I31" s="659" t="s">
        <v>219</v>
      </c>
      <c r="J31" s="469" t="s">
        <v>63</v>
      </c>
      <c r="K31" s="469"/>
      <c r="L31" s="467">
        <v>45967</v>
      </c>
      <c r="M31" s="469" t="s">
        <v>57</v>
      </c>
      <c r="N31" s="542">
        <v>60620</v>
      </c>
      <c r="O31" s="469" t="s">
        <v>57</v>
      </c>
      <c r="P31" s="1411" t="s">
        <v>86</v>
      </c>
      <c r="Q31" s="347">
        <v>45967</v>
      </c>
      <c r="R31" s="1329"/>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60" t="s">
        <v>603</v>
      </c>
      <c r="B32" s="1192" t="s">
        <v>109</v>
      </c>
      <c r="C32" s="1191">
        <v>46001</v>
      </c>
      <c r="D32" s="1191" t="s">
        <v>129</v>
      </c>
      <c r="E32" s="1191">
        <v>46009</v>
      </c>
      <c r="F32" s="1192" t="s">
        <v>110</v>
      </c>
      <c r="G32" s="1192" t="s">
        <v>604</v>
      </c>
      <c r="H32" s="1193">
        <v>48</v>
      </c>
      <c r="I32" s="659" t="s">
        <v>219</v>
      </c>
      <c r="J32" s="1193" t="s">
        <v>63</v>
      </c>
      <c r="K32" s="1193"/>
      <c r="L32" s="1191">
        <v>45965</v>
      </c>
      <c r="M32" s="1193" t="s">
        <v>57</v>
      </c>
      <c r="N32" s="1194">
        <v>18021.7</v>
      </c>
      <c r="O32" s="1193" t="s">
        <v>57</v>
      </c>
      <c r="P32" s="1361" t="s">
        <v>86</v>
      </c>
      <c r="Q32" s="1196">
        <v>45965</v>
      </c>
      <c r="R32" s="1242"/>
      <c r="S32" s="1242"/>
      <c r="T32" s="1242"/>
      <c r="U32" s="486" t="s">
        <v>528</v>
      </c>
      <c r="V32" s="1197">
        <v>1111</v>
      </c>
      <c r="W32" s="1359">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60" t="s">
        <v>606</v>
      </c>
      <c r="B33" s="1192" t="s">
        <v>109</v>
      </c>
      <c r="C33" s="1191">
        <v>46001</v>
      </c>
      <c r="D33" s="1191" t="s">
        <v>129</v>
      </c>
      <c r="E33" s="1191">
        <v>46009</v>
      </c>
      <c r="F33" s="1192" t="s">
        <v>110</v>
      </c>
      <c r="G33" s="1192" t="s">
        <v>607</v>
      </c>
      <c r="H33" s="1193">
        <v>56</v>
      </c>
      <c r="I33" s="659" t="s">
        <v>219</v>
      </c>
      <c r="J33" s="1193" t="s">
        <v>63</v>
      </c>
      <c r="K33" s="1193"/>
      <c r="L33" s="1191">
        <v>45965</v>
      </c>
      <c r="M33" s="1193" t="s">
        <v>57</v>
      </c>
      <c r="N33" s="1194">
        <v>20705</v>
      </c>
      <c r="O33" s="1193" t="s">
        <v>57</v>
      </c>
      <c r="P33" s="1361" t="s">
        <v>86</v>
      </c>
      <c r="Q33" s="1196">
        <v>45965</v>
      </c>
      <c r="R33" s="1242"/>
      <c r="S33" s="1242"/>
      <c r="T33" s="1242"/>
      <c r="U33" s="486" t="s">
        <v>528</v>
      </c>
      <c r="V33" s="1197">
        <v>900</v>
      </c>
      <c r="W33" s="1359">
        <v>900</v>
      </c>
      <c r="X33" s="1197">
        <f t="shared" si="12"/>
        <v>0</v>
      </c>
      <c r="Y33" s="660">
        <f t="shared" si="13"/>
        <v>1</v>
      </c>
      <c r="Z33" s="1216">
        <v>46020</v>
      </c>
      <c r="AA33" s="1199">
        <v>1</v>
      </c>
      <c r="AB33" s="355">
        <v>1</v>
      </c>
      <c r="AC33" s="643">
        <v>0</v>
      </c>
      <c r="AD33" s="1200" t="s">
        <v>608</v>
      </c>
    </row>
    <row r="34" spans="1:30" ht="39.75" customHeight="1">
      <c r="A34" s="850" t="s">
        <v>609</v>
      </c>
      <c r="B34" s="679" t="s">
        <v>109</v>
      </c>
      <c r="C34" s="467">
        <v>45975</v>
      </c>
      <c r="D34" s="467" t="s">
        <v>610</v>
      </c>
      <c r="E34" s="467">
        <v>45982</v>
      </c>
      <c r="F34" s="640" t="s">
        <v>110</v>
      </c>
      <c r="G34" s="680" t="s">
        <v>611</v>
      </c>
      <c r="H34" s="469">
        <v>0</v>
      </c>
      <c r="I34" s="469" t="s">
        <v>219</v>
      </c>
      <c r="J34" s="469" t="s">
        <v>63</v>
      </c>
      <c r="K34" s="469"/>
      <c r="L34" s="467">
        <v>45968</v>
      </c>
      <c r="M34" s="469" t="s">
        <v>57</v>
      </c>
      <c r="N34" s="542">
        <v>12840.7</v>
      </c>
      <c r="O34" s="469" t="s">
        <v>57</v>
      </c>
      <c r="P34" s="803" t="s">
        <v>86</v>
      </c>
      <c r="Q34" s="124">
        <v>45937</v>
      </c>
      <c r="R34" s="347"/>
      <c r="S34" s="471"/>
      <c r="T34" s="193"/>
      <c r="U34" s="87" t="s">
        <v>528</v>
      </c>
      <c r="V34" s="1026">
        <v>911</v>
      </c>
      <c r="W34" s="739">
        <v>974</v>
      </c>
      <c r="X34" s="106">
        <f>SUM(V34-W34)</f>
        <v>-63</v>
      </c>
      <c r="Y34" s="1352">
        <f>IFERROR($W34/$V34, 0)</f>
        <v>1.0691547749725576</v>
      </c>
      <c r="Z34" s="479">
        <v>45985</v>
      </c>
      <c r="AA34" s="355">
        <v>1</v>
      </c>
      <c r="AB34" s="355">
        <v>1</v>
      </c>
      <c r="AC34" s="472">
        <v>0</v>
      </c>
      <c r="AD34" s="754"/>
    </row>
    <row r="35" spans="1:30" ht="39.75" customHeight="1">
      <c r="A35" s="1360" t="s">
        <v>612</v>
      </c>
      <c r="B35" s="1192" t="s">
        <v>109</v>
      </c>
      <c r="C35" s="1191">
        <v>46031</v>
      </c>
      <c r="D35" s="1191" t="s">
        <v>129</v>
      </c>
      <c r="E35" s="1191">
        <v>46002</v>
      </c>
      <c r="F35" s="1192" t="s">
        <v>142</v>
      </c>
      <c r="G35" s="1192" t="s">
        <v>613</v>
      </c>
      <c r="H35" s="1193">
        <v>0</v>
      </c>
      <c r="I35" s="1193" t="s">
        <v>219</v>
      </c>
      <c r="J35" s="1193" t="s">
        <v>63</v>
      </c>
      <c r="K35" s="469"/>
      <c r="L35" s="1191" t="s">
        <v>158</v>
      </c>
      <c r="M35" s="1193" t="s">
        <v>57</v>
      </c>
      <c r="N35" s="1194">
        <v>23475.5</v>
      </c>
      <c r="O35" s="1258" t="s">
        <v>57</v>
      </c>
      <c r="P35" s="1417" t="s">
        <v>86</v>
      </c>
      <c r="Q35" s="1243">
        <v>45999</v>
      </c>
      <c r="R35" s="124"/>
      <c r="S35" s="124"/>
      <c r="T35" s="193"/>
      <c r="U35" s="87" t="s">
        <v>528</v>
      </c>
      <c r="V35" s="1414">
        <v>1890</v>
      </c>
      <c r="W35" s="1410">
        <v>2048</v>
      </c>
      <c r="X35" s="1254">
        <f>SUM(V35-W35)</f>
        <v>-158</v>
      </c>
      <c r="Y35" s="1352">
        <f t="shared" si="7"/>
        <v>1.0835978835978837</v>
      </c>
      <c r="Z35" s="1216">
        <v>46009</v>
      </c>
      <c r="AA35" s="1199">
        <v>1</v>
      </c>
      <c r="AB35" s="355">
        <v>1</v>
      </c>
      <c r="AC35" s="643">
        <v>0</v>
      </c>
      <c r="AD35" s="1200" t="s">
        <v>614</v>
      </c>
    </row>
    <row r="36" spans="1:30" ht="39.75" customHeight="1">
      <c r="A36" s="1360" t="s">
        <v>615</v>
      </c>
      <c r="B36" s="1192" t="s">
        <v>109</v>
      </c>
      <c r="C36" s="1191">
        <v>46003</v>
      </c>
      <c r="D36" s="1191" t="s">
        <v>129</v>
      </c>
      <c r="E36" s="1191">
        <v>46002</v>
      </c>
      <c r="F36" s="1192" t="s">
        <v>142</v>
      </c>
      <c r="G36" s="1192"/>
      <c r="H36" s="1193">
        <v>0</v>
      </c>
      <c r="I36" s="1193" t="s">
        <v>219</v>
      </c>
      <c r="J36" s="1193" t="s">
        <v>63</v>
      </c>
      <c r="K36" s="1193"/>
      <c r="L36" s="1191" t="s">
        <v>158</v>
      </c>
      <c r="M36" s="1193" t="s">
        <v>57</v>
      </c>
      <c r="N36" s="1194">
        <v>11500.3</v>
      </c>
      <c r="O36" s="1258" t="s">
        <v>57</v>
      </c>
      <c r="P36" s="1417" t="s">
        <v>86</v>
      </c>
      <c r="Q36" s="1243">
        <v>45994</v>
      </c>
      <c r="R36" s="1243"/>
      <c r="S36" s="1243"/>
      <c r="T36" s="1419"/>
      <c r="U36" s="1094" t="s">
        <v>528</v>
      </c>
      <c r="V36" s="1124">
        <v>908</v>
      </c>
      <c r="W36" s="1415">
        <v>925</v>
      </c>
      <c r="X36" s="1353">
        <f>SUM(V36-W36)</f>
        <v>-17</v>
      </c>
      <c r="Y36" s="660">
        <f t="shared" si="7"/>
        <v>1.0187224669603525</v>
      </c>
      <c r="Z36" s="1216">
        <v>46013</v>
      </c>
      <c r="AA36" s="1199">
        <v>1</v>
      </c>
      <c r="AB36" s="355">
        <v>1</v>
      </c>
      <c r="AC36" s="643">
        <v>0</v>
      </c>
      <c r="AD36" s="1200" t="s">
        <v>616</v>
      </c>
    </row>
    <row r="37" spans="1:30" ht="39.75" customHeight="1">
      <c r="A37" s="923" t="s">
        <v>617</v>
      </c>
      <c r="B37" s="465" t="s">
        <v>109</v>
      </c>
      <c r="C37" s="476">
        <v>45991</v>
      </c>
      <c r="D37" s="467" t="s">
        <v>202</v>
      </c>
      <c r="E37" s="467">
        <v>45953</v>
      </c>
      <c r="F37" s="465" t="s">
        <v>142</v>
      </c>
      <c r="G37" s="680" t="s">
        <v>618</v>
      </c>
      <c r="H37" s="469">
        <v>0</v>
      </c>
      <c r="I37" s="469" t="s">
        <v>219</v>
      </c>
      <c r="J37" s="469" t="s">
        <v>63</v>
      </c>
      <c r="K37" s="469"/>
      <c r="L37" s="467" t="s">
        <v>158</v>
      </c>
      <c r="M37" s="469" t="s">
        <v>57</v>
      </c>
      <c r="N37" s="542">
        <v>51970</v>
      </c>
      <c r="O37" s="87" t="s">
        <v>57</v>
      </c>
      <c r="P37" s="1418" t="s">
        <v>86</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16" t="s">
        <v>57</v>
      </c>
      <c r="P38" s="1330" t="s">
        <v>86</v>
      </c>
      <c r="Q38" s="1412">
        <v>45950</v>
      </c>
      <c r="R38" s="1413"/>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109</v>
      </c>
      <c r="C39" s="467">
        <v>45996</v>
      </c>
      <c r="D39" s="467" t="s">
        <v>446</v>
      </c>
      <c r="E39" s="467">
        <v>45958</v>
      </c>
      <c r="F39" s="465" t="s">
        <v>142</v>
      </c>
      <c r="G39" s="468" t="s">
        <v>623</v>
      </c>
      <c r="H39" s="469">
        <v>303</v>
      </c>
      <c r="I39" s="659" t="s">
        <v>219</v>
      </c>
      <c r="J39" s="469" t="s">
        <v>56</v>
      </c>
      <c r="K39" s="469"/>
      <c r="L39" s="467">
        <v>45953</v>
      </c>
      <c r="M39" s="469" t="s">
        <v>57</v>
      </c>
      <c r="N39" s="542">
        <v>168480.8</v>
      </c>
      <c r="O39" s="469" t="s">
        <v>57</v>
      </c>
      <c r="P39" s="803" t="s">
        <v>86</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109</v>
      </c>
      <c r="C40" s="476">
        <v>45960</v>
      </c>
      <c r="D40" s="467" t="s">
        <v>626</v>
      </c>
      <c r="E40" s="467">
        <v>45915</v>
      </c>
      <c r="F40" s="465" t="s">
        <v>627</v>
      </c>
      <c r="G40" s="680"/>
      <c r="H40" s="469">
        <v>384</v>
      </c>
      <c r="I40" s="659" t="s">
        <v>219</v>
      </c>
      <c r="J40" s="469" t="s">
        <v>56</v>
      </c>
      <c r="K40" s="469"/>
      <c r="L40" s="467">
        <v>45905</v>
      </c>
      <c r="M40" s="469" t="s">
        <v>57</v>
      </c>
      <c r="N40" s="542">
        <v>145985.5</v>
      </c>
      <c r="O40" s="469" t="s">
        <v>57</v>
      </c>
      <c r="P40" s="1098" t="s">
        <v>86</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109</v>
      </c>
      <c r="C41" s="476">
        <v>45930</v>
      </c>
      <c r="D41" s="467" t="s">
        <v>630</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528</v>
      </c>
      <c r="V41" s="784">
        <v>2811</v>
      </c>
      <c r="W41" s="875">
        <v>2732</v>
      </c>
      <c r="X41" s="106">
        <f>SUM(V41-W41)</f>
        <v>79</v>
      </c>
      <c r="Y41" s="22">
        <f>IFERROR($W41/$V41, 0)</f>
        <v>0.97189612237637857</v>
      </c>
      <c r="Z41" s="54">
        <v>45922</v>
      </c>
      <c r="AA41" s="1441">
        <v>1</v>
      </c>
      <c r="AB41" s="355">
        <v>1</v>
      </c>
      <c r="AC41" s="472">
        <v>0</v>
      </c>
      <c r="AD41" s="662" t="s">
        <v>631</v>
      </c>
    </row>
    <row r="42" spans="1:30" ht="39.75" customHeight="1">
      <c r="A42" s="850" t="s">
        <v>632</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528</v>
      </c>
      <c r="V42" s="472">
        <v>4725</v>
      </c>
      <c r="W42" s="875">
        <v>4535</v>
      </c>
      <c r="X42" s="106">
        <v>0</v>
      </c>
      <c r="Y42" s="655">
        <v>0.96</v>
      </c>
      <c r="Z42" s="54">
        <v>45971</v>
      </c>
      <c r="AA42" s="1441">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86</v>
      </c>
      <c r="M43" s="380" t="s">
        <v>57</v>
      </c>
      <c r="N43" s="1070">
        <v>64790.5</v>
      </c>
      <c r="O43" s="380" t="s">
        <v>57</v>
      </c>
      <c r="P43" s="1090" t="s">
        <v>86</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233</v>
      </c>
      <c r="E44" s="467">
        <v>45927</v>
      </c>
      <c r="F44" s="465" t="s">
        <v>61</v>
      </c>
      <c r="G44" s="680" t="s">
        <v>639</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84</v>
      </c>
      <c r="E45" s="476">
        <v>45743</v>
      </c>
      <c r="F45" s="475" t="s">
        <v>68</v>
      </c>
      <c r="G45" s="821" t="s">
        <v>641</v>
      </c>
      <c r="H45" s="478">
        <v>70</v>
      </c>
      <c r="I45" s="659" t="s">
        <v>219</v>
      </c>
      <c r="J45" s="469" t="s">
        <v>63</v>
      </c>
      <c r="K45" s="822"/>
      <c r="L45" s="476">
        <v>45741</v>
      </c>
      <c r="M45" s="469" t="s">
        <v>57</v>
      </c>
      <c r="N45" s="543">
        <v>67735.5</v>
      </c>
      <c r="O45" s="469" t="s">
        <v>57</v>
      </c>
      <c r="P45" s="803" t="s">
        <v>86</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84</v>
      </c>
      <c r="E46" s="823">
        <v>45701</v>
      </c>
      <c r="F46" s="475" t="s">
        <v>68</v>
      </c>
      <c r="G46" s="845" t="s">
        <v>536</v>
      </c>
      <c r="H46" s="825">
        <v>0</v>
      </c>
      <c r="I46" s="825" t="s">
        <v>86</v>
      </c>
      <c r="J46" s="825" t="s">
        <v>63</v>
      </c>
      <c r="K46" s="825"/>
      <c r="L46" s="823">
        <v>45705</v>
      </c>
      <c r="M46" s="825" t="s">
        <v>57</v>
      </c>
      <c r="N46" s="846">
        <v>1295</v>
      </c>
      <c r="O46" s="825" t="s">
        <v>57</v>
      </c>
      <c r="P46" s="803" t="s">
        <v>86</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5" t="s">
        <v>645</v>
      </c>
      <c r="B47" s="820" t="s">
        <v>50</v>
      </c>
      <c r="C47" s="883">
        <v>46008</v>
      </c>
      <c r="D47" s="1424" t="s">
        <v>646</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219</v>
      </c>
      <c r="J48" s="469" t="s">
        <v>56</v>
      </c>
      <c r="K48" s="772"/>
      <c r="L48" s="57" t="s">
        <v>52</v>
      </c>
      <c r="M48" s="971" t="s">
        <v>57</v>
      </c>
      <c r="N48" s="1070">
        <v>42766.5</v>
      </c>
      <c r="O48" s="52" t="s">
        <v>57</v>
      </c>
      <c r="P48" s="1090" t="s">
        <v>86</v>
      </c>
      <c r="Q48" s="54">
        <v>45939</v>
      </c>
      <c r="R48" s="195"/>
      <c r="S48" s="54"/>
      <c r="T48" s="54"/>
      <c r="U48" s="486" t="s">
        <v>528</v>
      </c>
      <c r="V48" s="31">
        <v>6699</v>
      </c>
      <c r="W48" s="1420">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1" t="s">
        <v>86</v>
      </c>
      <c r="Q49" s="1216">
        <v>45960</v>
      </c>
      <c r="R49" s="1216"/>
      <c r="S49" s="1216"/>
      <c r="T49" s="1216"/>
      <c r="U49" s="486" t="s">
        <v>528</v>
      </c>
      <c r="V49" s="1217">
        <v>22238</v>
      </c>
      <c r="W49" s="1359">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207</v>
      </c>
      <c r="C2" s="51">
        <v>45807</v>
      </c>
      <c r="D2" s="51" t="s">
        <v>657</v>
      </c>
      <c r="E2" s="51">
        <v>45706</v>
      </c>
      <c r="F2" s="50" t="s">
        <v>223</v>
      </c>
      <c r="G2" s="382" t="s">
        <v>658</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207</v>
      </c>
      <c r="C3" s="467">
        <v>45991</v>
      </c>
      <c r="D3" s="475" t="s">
        <v>661</v>
      </c>
      <c r="E3" s="476">
        <v>45716</v>
      </c>
      <c r="F3" s="475" t="s">
        <v>208</v>
      </c>
      <c r="G3" s="477" t="s">
        <v>662</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207</v>
      </c>
      <c r="C4" s="375">
        <v>45991</v>
      </c>
      <c r="D4" s="50" t="s">
        <v>665</v>
      </c>
      <c r="E4" s="51">
        <v>45735</v>
      </c>
      <c r="F4" s="50" t="s">
        <v>223</v>
      </c>
      <c r="G4" s="379" t="s">
        <v>666</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109</v>
      </c>
      <c r="C5" s="51">
        <v>45772</v>
      </c>
      <c r="D5" s="51" t="s">
        <v>84</v>
      </c>
      <c r="E5" s="656">
        <v>45691</v>
      </c>
      <c r="F5" s="656" t="s">
        <v>110</v>
      </c>
      <c r="G5" s="668" t="s">
        <v>668</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109</v>
      </c>
      <c r="C6" s="375">
        <v>45772</v>
      </c>
      <c r="D6" s="647" t="s">
        <v>670</v>
      </c>
      <c r="E6" s="375">
        <v>45735</v>
      </c>
      <c r="F6" s="647" t="s">
        <v>110</v>
      </c>
      <c r="G6" s="571" t="s">
        <v>671</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109</v>
      </c>
      <c r="C7" s="375">
        <v>45868</v>
      </c>
      <c r="D7" s="587" t="s">
        <v>129</v>
      </c>
      <c r="E7" s="375">
        <v>45813</v>
      </c>
      <c r="F7" s="587" t="s">
        <v>163</v>
      </c>
      <c r="G7" s="571" t="s">
        <v>674</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109</v>
      </c>
      <c r="C8" s="375">
        <v>45807</v>
      </c>
      <c r="D8" s="647" t="s">
        <v>129</v>
      </c>
      <c r="E8" s="375">
        <v>45778</v>
      </c>
      <c r="F8" s="374" t="s">
        <v>110</v>
      </c>
      <c r="G8" s="669" t="s">
        <v>677</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109</v>
      </c>
      <c r="C9" s="51">
        <v>45787</v>
      </c>
      <c r="D9" s="656" t="s">
        <v>129</v>
      </c>
      <c r="E9" s="51">
        <v>45715</v>
      </c>
      <c r="F9" s="50" t="s">
        <v>110</v>
      </c>
      <c r="G9" s="668" t="s">
        <v>680</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109</v>
      </c>
      <c r="C10" s="51">
        <v>45868</v>
      </c>
      <c r="D10" s="381" t="s">
        <v>129</v>
      </c>
      <c r="E10" s="51">
        <v>45828</v>
      </c>
      <c r="F10" s="381" t="s">
        <v>163</v>
      </c>
      <c r="G10" s="379" t="s">
        <v>682</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109</v>
      </c>
      <c r="C11" s="375">
        <v>45711</v>
      </c>
      <c r="D11" s="375" t="s">
        <v>685</v>
      </c>
      <c r="E11" s="375">
        <v>45693</v>
      </c>
      <c r="F11" s="647" t="s">
        <v>163</v>
      </c>
      <c r="G11" s="670" t="s">
        <v>72</v>
      </c>
      <c r="H11" s="376">
        <v>54</v>
      </c>
      <c r="I11" s="665" t="s">
        <v>636</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109</v>
      </c>
      <c r="C12" s="51">
        <v>45711</v>
      </c>
      <c r="D12" s="656" t="s">
        <v>129</v>
      </c>
      <c r="E12" s="51">
        <v>45712</v>
      </c>
      <c r="F12" s="656" t="s">
        <v>110</v>
      </c>
      <c r="G12" s="664" t="s">
        <v>687</v>
      </c>
      <c r="H12" s="52">
        <v>49</v>
      </c>
      <c r="I12" s="52" t="s">
        <v>636</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109</v>
      </c>
      <c r="C13" s="51">
        <v>45716</v>
      </c>
      <c r="D13" s="656" t="s">
        <v>129</v>
      </c>
      <c r="E13" s="51">
        <v>45706</v>
      </c>
      <c r="F13" s="656" t="s">
        <v>163</v>
      </c>
      <c r="G13" s="668" t="s">
        <v>689</v>
      </c>
      <c r="H13" s="52">
        <v>56</v>
      </c>
      <c r="I13" s="658" t="s">
        <v>636</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109</v>
      </c>
      <c r="C14" s="51">
        <v>45925</v>
      </c>
      <c r="D14" s="656" t="s">
        <v>129</v>
      </c>
      <c r="E14" s="51">
        <v>45755</v>
      </c>
      <c r="F14" s="656" t="s">
        <v>163</v>
      </c>
      <c r="G14" s="571" t="s">
        <v>691</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109</v>
      </c>
      <c r="C15" s="51">
        <v>45925</v>
      </c>
      <c r="D15" s="656" t="s">
        <v>670</v>
      </c>
      <c r="E15" s="51">
        <v>45749</v>
      </c>
      <c r="F15" s="656" t="s">
        <v>163</v>
      </c>
      <c r="G15" s="668" t="s">
        <v>693</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109</v>
      </c>
      <c r="C16" s="51">
        <v>45925</v>
      </c>
      <c r="D16" s="656" t="s">
        <v>129</v>
      </c>
      <c r="E16" s="51">
        <v>45749</v>
      </c>
      <c r="F16" s="656" t="s">
        <v>110</v>
      </c>
      <c r="G16" s="668" t="s">
        <v>695</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109</v>
      </c>
      <c r="C17" s="51">
        <v>45688</v>
      </c>
      <c r="D17" s="51" t="s">
        <v>697</v>
      </c>
      <c r="E17" s="51">
        <v>45666</v>
      </c>
      <c r="F17" s="656" t="s">
        <v>110</v>
      </c>
      <c r="G17" s="664" t="s">
        <v>698</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109</v>
      </c>
      <c r="C18" s="51">
        <v>45688</v>
      </c>
      <c r="D18" s="51" t="s">
        <v>84</v>
      </c>
      <c r="E18" s="51">
        <v>45679</v>
      </c>
      <c r="F18" s="656" t="s">
        <v>110</v>
      </c>
      <c r="G18" s="664" t="s">
        <v>700</v>
      </c>
      <c r="H18" s="52">
        <v>70</v>
      </c>
      <c r="I18" s="658" t="s">
        <v>636</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109</v>
      </c>
      <c r="C19" s="51">
        <v>45688</v>
      </c>
      <c r="D19" s="51" t="s">
        <v>129</v>
      </c>
      <c r="E19" s="51">
        <v>45685</v>
      </c>
      <c r="F19" s="656" t="s">
        <v>110</v>
      </c>
      <c r="G19" s="664" t="s">
        <v>702</v>
      </c>
      <c r="H19" s="52">
        <v>75</v>
      </c>
      <c r="I19" s="658" t="s">
        <v>636</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109</v>
      </c>
      <c r="C20" s="51">
        <v>45688</v>
      </c>
      <c r="D20" s="51" t="s">
        <v>704</v>
      </c>
      <c r="E20" s="51">
        <v>45693</v>
      </c>
      <c r="F20" s="656" t="s">
        <v>163</v>
      </c>
      <c r="G20" s="664" t="s">
        <v>705</v>
      </c>
      <c r="H20" s="52">
        <v>65</v>
      </c>
      <c r="I20" s="658" t="s">
        <v>636</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109</v>
      </c>
      <c r="C21" s="51">
        <v>45688</v>
      </c>
      <c r="D21" s="51" t="s">
        <v>129</v>
      </c>
      <c r="E21" s="51">
        <v>45685</v>
      </c>
      <c r="F21" s="656" t="s">
        <v>110</v>
      </c>
      <c r="G21" s="664" t="s">
        <v>707</v>
      </c>
      <c r="H21" s="52">
        <v>81</v>
      </c>
      <c r="I21" s="658" t="s">
        <v>636</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109</v>
      </c>
      <c r="C22" s="51">
        <v>45742</v>
      </c>
      <c r="D22" s="656" t="s">
        <v>129</v>
      </c>
      <c r="E22" s="51">
        <v>45708</v>
      </c>
      <c r="F22" s="656" t="s">
        <v>163</v>
      </c>
      <c r="G22" s="668" t="s">
        <v>709</v>
      </c>
      <c r="H22" s="52">
        <v>50</v>
      </c>
      <c r="I22" s="52" t="s">
        <v>636</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109</v>
      </c>
      <c r="C23" s="51">
        <v>45742</v>
      </c>
      <c r="D23" s="656" t="s">
        <v>129</v>
      </c>
      <c r="E23" s="51">
        <v>45729</v>
      </c>
      <c r="F23" s="50" t="s">
        <v>163</v>
      </c>
      <c r="G23" s="668" t="s">
        <v>711</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109</v>
      </c>
      <c r="C24" s="51">
        <v>45772</v>
      </c>
      <c r="D24" s="656" t="s">
        <v>129</v>
      </c>
      <c r="E24" s="51">
        <v>45735</v>
      </c>
      <c r="F24" s="656" t="s">
        <v>110</v>
      </c>
      <c r="G24" s="668" t="s">
        <v>713</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109</v>
      </c>
      <c r="C25" s="51">
        <v>45716</v>
      </c>
      <c r="D25" s="656" t="s">
        <v>129</v>
      </c>
      <c r="E25" s="51">
        <v>45712</v>
      </c>
      <c r="F25" s="656" t="s">
        <v>163</v>
      </c>
      <c r="G25" s="668" t="s">
        <v>715</v>
      </c>
      <c r="H25" s="52">
        <v>51</v>
      </c>
      <c r="I25" s="658" t="s">
        <v>636</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109</v>
      </c>
      <c r="C26" s="51">
        <v>45772</v>
      </c>
      <c r="D26" s="656" t="s">
        <v>129</v>
      </c>
      <c r="E26" s="51">
        <v>45735</v>
      </c>
      <c r="F26" s="656" t="s">
        <v>163</v>
      </c>
      <c r="G26" s="668" t="s">
        <v>717</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109</v>
      </c>
      <c r="C27" s="51">
        <v>45772</v>
      </c>
      <c r="D27" s="656" t="s">
        <v>129</v>
      </c>
      <c r="E27" s="51">
        <v>45735</v>
      </c>
      <c r="F27" s="656" t="s">
        <v>110</v>
      </c>
      <c r="G27" s="668" t="s">
        <v>719</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109</v>
      </c>
      <c r="C28" s="381">
        <v>45711</v>
      </c>
      <c r="D28" s="381" t="s">
        <v>129</v>
      </c>
      <c r="E28" s="381">
        <v>45695</v>
      </c>
      <c r="F28" s="381" t="s">
        <v>163</v>
      </c>
      <c r="G28" s="570" t="s">
        <v>721</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109</v>
      </c>
      <c r="C29" s="51">
        <v>45868</v>
      </c>
      <c r="D29" s="587" t="s">
        <v>129</v>
      </c>
      <c r="E29" s="587">
        <v>45839</v>
      </c>
      <c r="F29" s="374" t="s">
        <v>110</v>
      </c>
      <c r="G29" s="374" t="s">
        <v>723</v>
      </c>
      <c r="H29" s="376">
        <v>77</v>
      </c>
      <c r="I29" s="376" t="s">
        <v>219</v>
      </c>
      <c r="J29" s="376" t="s">
        <v>63</v>
      </c>
      <c r="K29" s="375">
        <v>45840</v>
      </c>
      <c r="L29" s="376" t="s">
        <v>57</v>
      </c>
      <c r="M29" s="429">
        <v>10430.549999999999</v>
      </c>
      <c r="N29" s="426">
        <v>37639.800000000003</v>
      </c>
      <c r="O29" s="376" t="s">
        <v>57</v>
      </c>
      <c r="P29" s="1401"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724</v>
      </c>
      <c r="B30" s="374" t="s">
        <v>109</v>
      </c>
      <c r="C30" s="51">
        <v>45930</v>
      </c>
      <c r="D30" s="375" t="s">
        <v>129</v>
      </c>
      <c r="E30" s="647">
        <v>45910</v>
      </c>
      <c r="F30" s="647" t="s">
        <v>163</v>
      </c>
      <c r="G30" s="374" t="s">
        <v>725</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109</v>
      </c>
      <c r="C31" s="51">
        <v>45868</v>
      </c>
      <c r="D31" s="587" t="s">
        <v>129</v>
      </c>
      <c r="E31" s="587">
        <v>45840</v>
      </c>
      <c r="F31" s="375" t="s">
        <v>110</v>
      </c>
      <c r="G31" s="374" t="s">
        <v>728</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109</v>
      </c>
      <c r="C32" s="51">
        <v>45868</v>
      </c>
      <c r="D32" s="587" t="s">
        <v>129</v>
      </c>
      <c r="E32" s="587">
        <v>45839</v>
      </c>
      <c r="F32" s="374" t="s">
        <v>110</v>
      </c>
      <c r="G32" s="374" t="s">
        <v>731</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109</v>
      </c>
      <c r="C33" s="51">
        <v>45868</v>
      </c>
      <c r="D33" s="647" t="s">
        <v>129</v>
      </c>
      <c r="E33" s="647">
        <v>45833</v>
      </c>
      <c r="F33" s="374" t="s">
        <v>163</v>
      </c>
      <c r="G33" s="374" t="s">
        <v>734</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109</v>
      </c>
      <c r="C34" s="51">
        <v>45868</v>
      </c>
      <c r="D34" s="587" t="s">
        <v>129</v>
      </c>
      <c r="E34" s="587">
        <v>45839</v>
      </c>
      <c r="F34" s="375" t="s">
        <v>110</v>
      </c>
      <c r="G34" s="374" t="s">
        <v>737</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109</v>
      </c>
      <c r="C35" s="51">
        <v>45899</v>
      </c>
      <c r="D35" s="375" t="s">
        <v>129</v>
      </c>
      <c r="E35" s="375">
        <v>45887</v>
      </c>
      <c r="F35" s="587" t="s">
        <v>163</v>
      </c>
      <c r="G35" s="635" t="s">
        <v>740</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109</v>
      </c>
      <c r="C36" s="51">
        <v>45862</v>
      </c>
      <c r="D36" s="656" t="s">
        <v>129</v>
      </c>
      <c r="E36" s="51">
        <v>45758</v>
      </c>
      <c r="F36" s="656" t="s">
        <v>110</v>
      </c>
      <c r="G36" s="571" t="s">
        <v>743</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109</v>
      </c>
      <c r="C37" s="51">
        <v>45862</v>
      </c>
      <c r="D37" s="381" t="s">
        <v>129</v>
      </c>
      <c r="E37" s="51">
        <v>45758</v>
      </c>
      <c r="F37" s="381" t="s">
        <v>110</v>
      </c>
      <c r="G37" s="571" t="s">
        <v>745</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109</v>
      </c>
      <c r="C38" s="51">
        <v>45862</v>
      </c>
      <c r="D38" s="381" t="s">
        <v>129</v>
      </c>
      <c r="E38" s="51">
        <v>45758</v>
      </c>
      <c r="F38" s="381" t="s">
        <v>110</v>
      </c>
      <c r="G38" s="571" t="s">
        <v>747</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109</v>
      </c>
      <c r="C39" s="51">
        <v>45868</v>
      </c>
      <c r="D39" s="587" t="s">
        <v>129</v>
      </c>
      <c r="E39" s="51">
        <v>45786</v>
      </c>
      <c r="F39" s="587" t="s">
        <v>110</v>
      </c>
      <c r="G39" s="635" t="s">
        <v>749</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109</v>
      </c>
      <c r="C40" s="496">
        <v>45688</v>
      </c>
      <c r="D40" s="496" t="s">
        <v>752</v>
      </c>
      <c r="E40" s="496">
        <v>45684</v>
      </c>
      <c r="F40" s="511" t="s">
        <v>163</v>
      </c>
      <c r="G40" s="777" t="s">
        <v>753</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109</v>
      </c>
      <c r="C42" s="1148">
        <v>45899</v>
      </c>
      <c r="D42" s="1149" t="s">
        <v>756</v>
      </c>
      <c r="E42" s="1150">
        <v>45876</v>
      </c>
      <c r="F42" s="1151" t="s">
        <v>163</v>
      </c>
      <c r="G42" s="1152" t="s">
        <v>757</v>
      </c>
      <c r="H42" s="1153">
        <v>0</v>
      </c>
      <c r="I42" s="1154" t="s">
        <v>219</v>
      </c>
      <c r="J42" s="1153" t="s">
        <v>63</v>
      </c>
      <c r="K42" s="51" t="s">
        <v>52</v>
      </c>
      <c r="L42" s="376" t="s">
        <v>57</v>
      </c>
      <c r="M42" s="429">
        <v>1343</v>
      </c>
      <c r="N42" s="1155">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43">
        <v>0</v>
      </c>
      <c r="U43" s="473">
        <v>1.02</v>
      </c>
      <c r="V43" s="479">
        <v>45922</v>
      </c>
      <c r="W43" s="355">
        <v>1</v>
      </c>
      <c r="X43" s="355">
        <v>1</v>
      </c>
      <c r="Y43" s="472">
        <v>0</v>
      </c>
      <c r="Z43" s="494"/>
      <c r="AA43" s="754" t="s">
        <v>760</v>
      </c>
    </row>
    <row r="44" spans="1:27" ht="39.75" customHeight="1">
      <c r="A44" s="373" t="s">
        <v>761</v>
      </c>
      <c r="B44" s="1156" t="s">
        <v>109</v>
      </c>
      <c r="C44" s="963">
        <v>45899</v>
      </c>
      <c r="D44" s="936" t="s">
        <v>129</v>
      </c>
      <c r="E44" s="936">
        <v>45870</v>
      </c>
      <c r="F44" s="1157" t="s">
        <v>163</v>
      </c>
      <c r="G44" s="1024" t="s">
        <v>762</v>
      </c>
      <c r="H44" s="953">
        <v>0</v>
      </c>
      <c r="I44" s="953" t="s">
        <v>219</v>
      </c>
      <c r="J44" s="953" t="s">
        <v>63</v>
      </c>
      <c r="K44" s="936">
        <v>45870</v>
      </c>
      <c r="L44" s="953" t="s">
        <v>57</v>
      </c>
      <c r="M44" s="955">
        <v>49307.5</v>
      </c>
      <c r="N44" s="426">
        <v>47409</v>
      </c>
      <c r="O44" s="953" t="s">
        <v>57</v>
      </c>
      <c r="P44" s="1175" t="s">
        <v>86</v>
      </c>
      <c r="Q44" s="1445">
        <v>45870</v>
      </c>
      <c r="R44" s="1444">
        <v>3914</v>
      </c>
      <c r="S44" s="1444">
        <v>3675</v>
      </c>
      <c r="T44" s="106">
        <v>0</v>
      </c>
      <c r="U44" s="871">
        <v>0.94</v>
      </c>
      <c r="V44" s="873">
        <v>45873</v>
      </c>
      <c r="W44" s="599">
        <v>1</v>
      </c>
      <c r="X44" s="599">
        <v>1</v>
      </c>
      <c r="Y44" s="599">
        <v>1</v>
      </c>
      <c r="Z44" s="54">
        <v>45916</v>
      </c>
      <c r="AA44" s="1159" t="s">
        <v>763</v>
      </c>
    </row>
    <row r="45" spans="1:27" ht="39.75" customHeight="1">
      <c r="A45" s="373" t="s">
        <v>764</v>
      </c>
      <c r="B45" s="374" t="s">
        <v>109</v>
      </c>
      <c r="C45" s="647">
        <v>45805</v>
      </c>
      <c r="D45" s="647" t="s">
        <v>129</v>
      </c>
      <c r="E45" s="647">
        <v>45695</v>
      </c>
      <c r="F45" s="647" t="s">
        <v>163</v>
      </c>
      <c r="G45" s="770" t="s">
        <v>765</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109</v>
      </c>
      <c r="C46" s="963">
        <v>45899</v>
      </c>
      <c r="D46" s="936" t="s">
        <v>129</v>
      </c>
      <c r="E46" s="936">
        <v>45870</v>
      </c>
      <c r="F46" s="1157" t="s">
        <v>163</v>
      </c>
      <c r="G46" s="1024" t="s">
        <v>768</v>
      </c>
      <c r="H46" s="953">
        <v>0</v>
      </c>
      <c r="I46" s="953" t="s">
        <v>219</v>
      </c>
      <c r="J46" s="953" t="s">
        <v>63</v>
      </c>
      <c r="K46" s="936">
        <v>45870</v>
      </c>
      <c r="L46" s="953" t="s">
        <v>57</v>
      </c>
      <c r="M46" s="955">
        <v>12886.4</v>
      </c>
      <c r="N46" s="1155">
        <v>18418.349999999999</v>
      </c>
      <c r="O46" s="953" t="s">
        <v>57</v>
      </c>
      <c r="P46" s="1176" t="s">
        <v>86</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109</v>
      </c>
      <c r="C47" s="57">
        <v>45899</v>
      </c>
      <c r="D47" s="883" t="s">
        <v>129</v>
      </c>
      <c r="E47" s="883">
        <v>45882</v>
      </c>
      <c r="F47" s="1013" t="s">
        <v>163</v>
      </c>
      <c r="G47" s="1019" t="s">
        <v>771</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109</v>
      </c>
      <c r="C48" s="488">
        <v>45838</v>
      </c>
      <c r="D48" s="488" t="s">
        <v>129</v>
      </c>
      <c r="E48" s="476">
        <v>45786</v>
      </c>
      <c r="F48" s="488" t="s">
        <v>163</v>
      </c>
      <c r="G48" s="931" t="s">
        <v>774</v>
      </c>
      <c r="H48" s="469">
        <v>0</v>
      </c>
      <c r="I48" s="470" t="s">
        <v>219</v>
      </c>
      <c r="J48" s="469" t="s">
        <v>63</v>
      </c>
      <c r="K48" s="467">
        <v>45790</v>
      </c>
      <c r="L48" s="469" t="s">
        <v>57</v>
      </c>
      <c r="M48" s="993">
        <v>63283</v>
      </c>
      <c r="N48" s="552">
        <v>84546.7</v>
      </c>
      <c r="O48" s="469" t="s">
        <v>57</v>
      </c>
      <c r="P48" s="782" t="s">
        <v>86</v>
      </c>
      <c r="Q48" s="471">
        <v>45790</v>
      </c>
      <c r="R48" s="106">
        <v>5776</v>
      </c>
      <c r="S48" s="106">
        <v>5776</v>
      </c>
      <c r="T48" s="1250">
        <v>0</v>
      </c>
      <c r="U48" s="84">
        <v>1</v>
      </c>
      <c r="V48" s="650">
        <v>45796</v>
      </c>
      <c r="W48" s="355">
        <v>1</v>
      </c>
      <c r="X48" s="355">
        <v>1</v>
      </c>
      <c r="Y48" s="599">
        <v>1</v>
      </c>
      <c r="Z48" s="124">
        <v>45846</v>
      </c>
      <c r="AA48" s="323" t="s">
        <v>775</v>
      </c>
    </row>
    <row r="49" spans="1:27" ht="39.75" customHeight="1">
      <c r="A49" s="1146" t="s">
        <v>776</v>
      </c>
      <c r="B49" s="1169" t="s">
        <v>109</v>
      </c>
      <c r="C49" s="1148">
        <v>45930</v>
      </c>
      <c r="D49" s="1149" t="s">
        <v>84</v>
      </c>
      <c r="E49" s="1150">
        <v>45868</v>
      </c>
      <c r="F49" s="1169" t="s">
        <v>110</v>
      </c>
      <c r="G49" s="1152" t="s">
        <v>777</v>
      </c>
      <c r="H49" s="1153">
        <v>0</v>
      </c>
      <c r="I49" s="1153" t="s">
        <v>219</v>
      </c>
      <c r="J49" s="1153" t="s">
        <v>63</v>
      </c>
      <c r="K49" s="936">
        <v>45868</v>
      </c>
      <c r="L49" s="953" t="s">
        <v>57</v>
      </c>
      <c r="M49" s="955">
        <v>14179.65</v>
      </c>
      <c r="N49" s="1155">
        <v>15936.8</v>
      </c>
      <c r="O49" s="953" t="s">
        <v>57</v>
      </c>
      <c r="P49" s="1175" t="s">
        <v>86</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109</v>
      </c>
      <c r="C50" s="476">
        <v>45868</v>
      </c>
      <c r="D50" s="467" t="s">
        <v>84</v>
      </c>
      <c r="E50" s="488">
        <v>45839</v>
      </c>
      <c r="F50" s="467" t="s">
        <v>110</v>
      </c>
      <c r="G50" s="477" t="s">
        <v>780</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109</v>
      </c>
      <c r="C51" s="1148">
        <v>45930</v>
      </c>
      <c r="D51" s="1151" t="s">
        <v>84</v>
      </c>
      <c r="E51" s="1148">
        <v>45902</v>
      </c>
      <c r="F51" s="1149" t="s">
        <v>110</v>
      </c>
      <c r="G51" s="1165"/>
      <c r="H51" s="1166">
        <v>0</v>
      </c>
      <c r="I51" s="1166" t="s">
        <v>219</v>
      </c>
      <c r="J51" s="1166" t="s">
        <v>63</v>
      </c>
      <c r="K51" s="903">
        <v>45902</v>
      </c>
      <c r="L51" s="905" t="s">
        <v>57</v>
      </c>
      <c r="M51" s="1162">
        <v>3067.9</v>
      </c>
      <c r="N51" s="1155">
        <v>8729.7000000000007</v>
      </c>
      <c r="O51" s="905" t="s">
        <v>57</v>
      </c>
      <c r="P51" s="1029" t="s">
        <v>86</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109</v>
      </c>
      <c r="C52" s="979">
        <v>45868</v>
      </c>
      <c r="D52" s="903" t="s">
        <v>84</v>
      </c>
      <c r="E52" s="903">
        <v>45849</v>
      </c>
      <c r="F52" s="904" t="s">
        <v>110</v>
      </c>
      <c r="G52" s="1173" t="s">
        <v>785</v>
      </c>
      <c r="H52" s="905">
        <v>0</v>
      </c>
      <c r="I52" s="905" t="s">
        <v>219</v>
      </c>
      <c r="J52" s="905" t="s">
        <v>63</v>
      </c>
      <c r="K52" s="375">
        <v>45848</v>
      </c>
      <c r="L52" s="376" t="s">
        <v>57</v>
      </c>
      <c r="M52" s="429">
        <v>1206</v>
      </c>
      <c r="N52" s="426">
        <v>1195</v>
      </c>
      <c r="O52" s="376" t="s">
        <v>57</v>
      </c>
      <c r="P52" s="1044" t="s">
        <v>86</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109</v>
      </c>
      <c r="C53" s="979">
        <v>45899</v>
      </c>
      <c r="D53" s="904" t="s">
        <v>84</v>
      </c>
      <c r="E53" s="904">
        <v>45882</v>
      </c>
      <c r="F53" s="901" t="s">
        <v>110</v>
      </c>
      <c r="G53" s="1161" t="s">
        <v>788</v>
      </c>
      <c r="H53" s="905">
        <v>0</v>
      </c>
      <c r="I53" s="906" t="s">
        <v>219</v>
      </c>
      <c r="J53" s="905" t="s">
        <v>63</v>
      </c>
      <c r="K53" s="903" t="s">
        <v>52</v>
      </c>
      <c r="L53" s="905" t="s">
        <v>57</v>
      </c>
      <c r="M53" s="1162">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109</v>
      </c>
      <c r="C54" s="496">
        <v>45899</v>
      </c>
      <c r="D54" s="503" t="s">
        <v>84</v>
      </c>
      <c r="E54" s="496">
        <v>45806</v>
      </c>
      <c r="F54" s="489" t="s">
        <v>110</v>
      </c>
      <c r="G54" s="1023" t="s">
        <v>791</v>
      </c>
      <c r="H54" s="502">
        <v>0</v>
      </c>
      <c r="I54" s="932" t="s">
        <v>219</v>
      </c>
      <c r="J54" s="502" t="s">
        <v>63</v>
      </c>
      <c r="K54" s="503" t="s">
        <v>792</v>
      </c>
      <c r="L54" s="502" t="s">
        <v>57</v>
      </c>
      <c r="M54" s="891">
        <v>21888.65</v>
      </c>
      <c r="N54" s="426">
        <v>21950.85</v>
      </c>
      <c r="O54" s="502" t="s">
        <v>57</v>
      </c>
      <c r="P54" s="1088" t="s">
        <v>86</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109</v>
      </c>
      <c r="C55" s="51">
        <v>45792</v>
      </c>
      <c r="D55" s="381" t="s">
        <v>129</v>
      </c>
      <c r="E55" s="381">
        <v>45695</v>
      </c>
      <c r="F55" s="381" t="s">
        <v>110</v>
      </c>
      <c r="G55" s="382" t="s">
        <v>795</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109</v>
      </c>
      <c r="C56" s="375">
        <v>45787</v>
      </c>
      <c r="D56" s="647" t="s">
        <v>129</v>
      </c>
      <c r="E56" s="51">
        <v>45763</v>
      </c>
      <c r="F56" s="647" t="s">
        <v>163</v>
      </c>
      <c r="G56" s="571" t="s">
        <v>797</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109</v>
      </c>
      <c r="C57" s="51">
        <v>45688</v>
      </c>
      <c r="D57" s="51" t="s">
        <v>697</v>
      </c>
      <c r="E57" s="51">
        <v>45682</v>
      </c>
      <c r="F57" s="656" t="s">
        <v>110</v>
      </c>
      <c r="G57" s="571" t="s">
        <v>799</v>
      </c>
      <c r="H57" s="52">
        <v>48</v>
      </c>
      <c r="I57" s="658" t="s">
        <v>636</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141</v>
      </c>
      <c r="E58" s="883">
        <v>45818</v>
      </c>
      <c r="F58" s="889" t="s">
        <v>801</v>
      </c>
      <c r="G58" s="889" t="s">
        <v>802</v>
      </c>
      <c r="H58" s="788">
        <v>56</v>
      </c>
      <c r="I58" s="788" t="s">
        <v>219</v>
      </c>
      <c r="J58" s="788" t="s">
        <v>63</v>
      </c>
      <c r="K58" s="503">
        <v>45817</v>
      </c>
      <c r="L58" s="502" t="s">
        <v>57</v>
      </c>
      <c r="M58" s="891">
        <v>75953</v>
      </c>
      <c r="N58" s="962">
        <v>61562</v>
      </c>
      <c r="O58" s="502" t="s">
        <v>57</v>
      </c>
      <c r="P58" s="1326"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129</v>
      </c>
      <c r="E61" s="51">
        <v>45727</v>
      </c>
      <c r="F61" s="50" t="s">
        <v>68</v>
      </c>
      <c r="G61" s="586" t="s">
        <v>810</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42">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129</v>
      </c>
      <c r="E64" s="51">
        <v>45716</v>
      </c>
      <c r="F64" s="50" t="s">
        <v>68</v>
      </c>
      <c r="G64" s="379" t="s">
        <v>820</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55" t="s">
        <v>821</v>
      </c>
      <c r="B65" s="510" t="s">
        <v>50</v>
      </c>
      <c r="C65" s="496">
        <v>45772</v>
      </c>
      <c r="D65" s="511" t="s">
        <v>822</v>
      </c>
      <c r="E65" s="511">
        <v>45693</v>
      </c>
      <c r="F65" s="501" t="s">
        <v>68</v>
      </c>
      <c r="G65" s="512" t="s">
        <v>823</v>
      </c>
      <c r="H65" s="504">
        <v>86</v>
      </c>
      <c r="I65" s="506" t="s">
        <v>219</v>
      </c>
      <c r="J65" s="504" t="s">
        <v>63</v>
      </c>
      <c r="K65" s="511">
        <v>45714</v>
      </c>
      <c r="L65" s="504" t="s">
        <v>57</v>
      </c>
      <c r="M65" s="1460">
        <v>94170.5</v>
      </c>
      <c r="N65" s="1459">
        <v>90860.5</v>
      </c>
      <c r="O65" s="504" t="s">
        <v>57</v>
      </c>
      <c r="P65" s="1088" t="s">
        <v>86</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129</v>
      </c>
      <c r="E66" s="656">
        <v>45685</v>
      </c>
      <c r="F66" s="656" t="s">
        <v>68</v>
      </c>
      <c r="G66" s="657" t="s">
        <v>826</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55" t="s">
        <v>828</v>
      </c>
      <c r="B67" s="510" t="s">
        <v>50</v>
      </c>
      <c r="C67" s="496">
        <v>45772</v>
      </c>
      <c r="D67" s="511" t="s">
        <v>822</v>
      </c>
      <c r="E67" s="511">
        <v>45698</v>
      </c>
      <c r="F67" s="496" t="s">
        <v>68</v>
      </c>
      <c r="G67" s="512" t="s">
        <v>829</v>
      </c>
      <c r="H67" s="504">
        <v>89</v>
      </c>
      <c r="I67" s="504" t="s">
        <v>219</v>
      </c>
      <c r="J67" s="504" t="s">
        <v>63</v>
      </c>
      <c r="K67" s="511">
        <v>45695</v>
      </c>
      <c r="L67" s="504" t="s">
        <v>57</v>
      </c>
      <c r="M67" s="1456">
        <v>89698.5</v>
      </c>
      <c r="N67" s="552">
        <v>86876.5</v>
      </c>
      <c r="O67" s="504" t="s">
        <v>57</v>
      </c>
      <c r="P67" s="1088" t="s">
        <v>86</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7" t="s">
        <v>832</v>
      </c>
      <c r="B69" s="820" t="s">
        <v>50</v>
      </c>
      <c r="C69" s="476">
        <v>45772</v>
      </c>
      <c r="D69" s="476" t="s">
        <v>813</v>
      </c>
      <c r="E69" s="823">
        <v>45686</v>
      </c>
      <c r="F69" s="475" t="s">
        <v>68</v>
      </c>
      <c r="G69" s="845" t="s">
        <v>833</v>
      </c>
      <c r="H69" s="825">
        <v>77</v>
      </c>
      <c r="I69" s="659" t="s">
        <v>219</v>
      </c>
      <c r="J69" s="825" t="s">
        <v>63</v>
      </c>
      <c r="K69" s="823">
        <v>45686</v>
      </c>
      <c r="L69" s="825" t="s">
        <v>57</v>
      </c>
      <c r="M69" s="1458">
        <v>61924</v>
      </c>
      <c r="N69" s="552">
        <v>61494</v>
      </c>
      <c r="O69" s="825" t="s">
        <v>57</v>
      </c>
      <c r="P69" s="782" t="s">
        <v>86</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141</v>
      </c>
      <c r="E70" s="381">
        <v>45686</v>
      </c>
      <c r="F70" s="381" t="s">
        <v>801</v>
      </c>
      <c r="G70" s="570" t="s">
        <v>836</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129</v>
      </c>
      <c r="E71" s="381">
        <v>45685</v>
      </c>
      <c r="F71" s="50" t="s">
        <v>68</v>
      </c>
      <c r="G71" s="570" t="s">
        <v>839</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840</v>
      </c>
    </row>
    <row r="72" spans="1:27" ht="39.75" customHeight="1">
      <c r="A72" s="1457" t="s">
        <v>841</v>
      </c>
      <c r="B72" s="820" t="s">
        <v>50</v>
      </c>
      <c r="C72" s="476">
        <v>45772</v>
      </c>
      <c r="D72" s="823" t="s">
        <v>842</v>
      </c>
      <c r="E72" s="823">
        <v>45694</v>
      </c>
      <c r="F72" s="823" t="s">
        <v>68</v>
      </c>
      <c r="G72" s="845" t="s">
        <v>843</v>
      </c>
      <c r="H72" s="825">
        <v>84</v>
      </c>
      <c r="I72" s="659" t="s">
        <v>219</v>
      </c>
      <c r="J72" s="825" t="s">
        <v>63</v>
      </c>
      <c r="K72" s="823">
        <v>45698</v>
      </c>
      <c r="L72" s="825" t="s">
        <v>57</v>
      </c>
      <c r="M72" s="1458">
        <v>63402.5</v>
      </c>
      <c r="N72" s="552">
        <v>62670.5</v>
      </c>
      <c r="O72" s="825" t="s">
        <v>57</v>
      </c>
      <c r="P72" s="782" t="s">
        <v>86</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208</v>
      </c>
      <c r="G75" s="657" t="s">
        <v>853</v>
      </c>
      <c r="H75" s="52">
        <v>86</v>
      </c>
      <c r="I75" s="658" t="s">
        <v>636</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86</v>
      </c>
      <c r="L76" s="906" t="s">
        <v>57</v>
      </c>
      <c r="M76" s="429">
        <v>43130</v>
      </c>
      <c r="N76" s="426">
        <v>43560</v>
      </c>
      <c r="O76" s="665" t="s">
        <v>57</v>
      </c>
      <c r="P76" s="1044" t="s">
        <v>86</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84</v>
      </c>
      <c r="E77" s="1129">
        <v>45686</v>
      </c>
      <c r="F77" s="1129" t="s">
        <v>68</v>
      </c>
      <c r="G77" s="1179" t="s">
        <v>859</v>
      </c>
      <c r="H77" s="971">
        <v>88</v>
      </c>
      <c r="I77" s="970" t="s">
        <v>636</v>
      </c>
      <c r="J77" s="971" t="s">
        <v>63</v>
      </c>
      <c r="K77" s="1180">
        <v>45706</v>
      </c>
      <c r="L77" s="970" t="s">
        <v>57</v>
      </c>
      <c r="M77" s="426">
        <v>69212.5</v>
      </c>
      <c r="N77" s="426">
        <v>70500</v>
      </c>
      <c r="O77" s="658" t="s">
        <v>57</v>
      </c>
      <c r="P77" s="1044" t="s">
        <v>86</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208</v>
      </c>
      <c r="G79" s="379" t="s">
        <v>867</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208</v>
      </c>
      <c r="G81" s="657" t="s">
        <v>872</v>
      </c>
      <c r="H81" s="52">
        <v>73</v>
      </c>
      <c r="I81" s="665" t="s">
        <v>636</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208</v>
      </c>
      <c r="G82" s="570" t="s">
        <v>875</v>
      </c>
      <c r="H82" s="52">
        <v>65</v>
      </c>
      <c r="I82" s="380" t="s">
        <v>636</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129</v>
      </c>
      <c r="E85" s="51">
        <v>45743</v>
      </c>
      <c r="F85" s="50" t="s">
        <v>68</v>
      </c>
      <c r="G85" s="379" t="s">
        <v>881</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208</v>
      </c>
      <c r="G86" s="379" t="s">
        <v>883</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141</v>
      </c>
      <c r="E88" s="51">
        <v>45761</v>
      </c>
      <c r="F88" s="50" t="s">
        <v>801</v>
      </c>
      <c r="G88" s="50" t="s">
        <v>889</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141</v>
      </c>
      <c r="E91" s="51">
        <v>45743</v>
      </c>
      <c r="F91" s="50" t="s">
        <v>801</v>
      </c>
      <c r="G91" s="379" t="s">
        <v>897</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129</v>
      </c>
      <c r="E93" s="51">
        <v>45743</v>
      </c>
      <c r="F93" s="50" t="s">
        <v>68</v>
      </c>
      <c r="G93" s="668" t="s">
        <v>901</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141</v>
      </c>
      <c r="E94" s="51">
        <v>45743</v>
      </c>
      <c r="F94" s="50" t="s">
        <v>801</v>
      </c>
      <c r="G94" s="379" t="s">
        <v>903</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141</v>
      </c>
      <c r="E97" s="656">
        <v>45686</v>
      </c>
      <c r="F97" s="656" t="s">
        <v>801</v>
      </c>
      <c r="G97" s="657" t="s">
        <v>909</v>
      </c>
      <c r="H97" s="52">
        <v>90</v>
      </c>
      <c r="I97" s="665" t="s">
        <v>636</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141</v>
      </c>
      <c r="E98" s="51">
        <v>45716</v>
      </c>
      <c r="F98" s="50" t="s">
        <v>801</v>
      </c>
      <c r="G98" s="379" t="s">
        <v>912</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208</v>
      </c>
      <c r="G99" s="382" t="s">
        <v>915</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219</v>
      </c>
      <c r="J101" s="52" t="s">
        <v>63</v>
      </c>
      <c r="K101" s="51">
        <v>45698</v>
      </c>
      <c r="L101" s="1181" t="s">
        <v>57</v>
      </c>
      <c r="M101" s="426">
        <v>67892.5</v>
      </c>
      <c r="N101" s="426">
        <v>65771.429999999993</v>
      </c>
      <c r="O101" s="658" t="s">
        <v>57</v>
      </c>
      <c r="P101" s="354" t="s">
        <v>86</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141</v>
      </c>
      <c r="E102" s="51">
        <v>45716</v>
      </c>
      <c r="F102" s="50" t="s">
        <v>801</v>
      </c>
      <c r="G102" s="668" t="s">
        <v>923</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208</v>
      </c>
      <c r="G104" s="791" t="s">
        <v>928</v>
      </c>
      <c r="H104" s="772">
        <v>85</v>
      </c>
      <c r="I104" s="778" t="s">
        <v>219</v>
      </c>
      <c r="J104" s="772" t="s">
        <v>63</v>
      </c>
      <c r="K104" s="57">
        <v>45707</v>
      </c>
      <c r="L104" s="772" t="s">
        <v>57</v>
      </c>
      <c r="M104" s="426" t="s">
        <v>929</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141</v>
      </c>
      <c r="E107" s="57">
        <v>45743</v>
      </c>
      <c r="F107" s="768" t="s">
        <v>801</v>
      </c>
      <c r="G107" s="771" t="s">
        <v>936</v>
      </c>
      <c r="H107" s="772">
        <v>88</v>
      </c>
      <c r="I107" s="800" t="s">
        <v>219</v>
      </c>
      <c r="J107" s="788" t="s">
        <v>63</v>
      </c>
      <c r="K107" s="496">
        <v>45741</v>
      </c>
      <c r="L107" s="502" t="s">
        <v>57</v>
      </c>
      <c r="M107" s="773">
        <v>75396.5</v>
      </c>
      <c r="N107" s="637">
        <v>75756.5</v>
      </c>
      <c r="O107" s="502" t="s">
        <v>57</v>
      </c>
      <c r="P107" s="1326"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208</v>
      </c>
      <c r="G108" s="824" t="s">
        <v>938</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208</v>
      </c>
      <c r="G109" s="791" t="s">
        <v>941</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208</v>
      </c>
      <c r="G110" s="1034" t="s">
        <v>943</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129</v>
      </c>
      <c r="E112" s="428">
        <v>45698</v>
      </c>
      <c r="F112" s="428" t="s">
        <v>68</v>
      </c>
      <c r="G112" s="935" t="s">
        <v>947</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141</v>
      </c>
      <c r="E113" s="57">
        <v>45736</v>
      </c>
      <c r="F113" s="768" t="s">
        <v>801</v>
      </c>
      <c r="G113" s="786" t="s">
        <v>950</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219</v>
      </c>
      <c r="J119" s="772" t="s">
        <v>63</v>
      </c>
      <c r="K119" s="476" t="s">
        <v>52</v>
      </c>
      <c r="L119" s="825" t="s">
        <v>57</v>
      </c>
      <c r="M119" s="774">
        <v>1594</v>
      </c>
      <c r="N119" s="637">
        <v>1187.5</v>
      </c>
      <c r="O119" s="825" t="s">
        <v>57</v>
      </c>
      <c r="P119" s="782" t="s">
        <v>86</v>
      </c>
      <c r="Q119" s="479">
        <v>45818</v>
      </c>
      <c r="R119" s="41">
        <v>65</v>
      </c>
      <c r="S119" s="472">
        <v>65</v>
      </c>
      <c r="T119" s="643">
        <v>0</v>
      </c>
      <c r="U119" s="879">
        <v>1</v>
      </c>
      <c r="V119" s="676">
        <v>45831</v>
      </c>
      <c r="W119" s="355">
        <v>1</v>
      </c>
      <c r="X119" s="355">
        <v>1</v>
      </c>
      <c r="Y119" s="355">
        <v>1</v>
      </c>
      <c r="Z119" s="479">
        <v>45859</v>
      </c>
      <c r="AA119" s="1484" t="s">
        <v>969</v>
      </c>
    </row>
    <row r="120" spans="1:30" ht="39.75" customHeight="1">
      <c r="A120" s="1324" t="s">
        <v>970</v>
      </c>
      <c r="B120" s="390" t="s">
        <v>318</v>
      </c>
      <c r="C120" s="51">
        <v>46045</v>
      </c>
      <c r="D120" s="656" t="s">
        <v>129</v>
      </c>
      <c r="E120" s="51"/>
      <c r="F120" s="50" t="s">
        <v>319</v>
      </c>
      <c r="G120" s="379"/>
      <c r="H120" s="1320">
        <v>89</v>
      </c>
      <c r="I120" s="658" t="s">
        <v>219</v>
      </c>
      <c r="J120" s="52" t="s">
        <v>63</v>
      </c>
      <c r="K120" s="51" t="s">
        <v>52</v>
      </c>
      <c r="L120" s="52" t="s">
        <v>57</v>
      </c>
      <c r="M120" s="1485">
        <v>26696</v>
      </c>
      <c r="N120" s="426">
        <v>499.4</v>
      </c>
      <c r="O120" s="52" t="s">
        <v>57</v>
      </c>
      <c r="P120" s="376" t="s">
        <v>86</v>
      </c>
      <c r="Q120" s="193" t="s">
        <v>52</v>
      </c>
      <c r="R120" s="1003">
        <v>8153</v>
      </c>
      <c r="S120" s="106">
        <v>8114</v>
      </c>
      <c r="T120" s="1003">
        <v>0</v>
      </c>
      <c r="U120" s="71">
        <v>1</v>
      </c>
      <c r="V120" s="124">
        <v>45964</v>
      </c>
      <c r="W120" s="34">
        <v>1</v>
      </c>
      <c r="X120" s="34">
        <v>1</v>
      </c>
      <c r="Y120" s="34">
        <v>1</v>
      </c>
      <c r="Z120" s="124">
        <v>45999</v>
      </c>
      <c r="AA120" s="436" t="s">
        <v>971</v>
      </c>
      <c r="AB120" s="1483"/>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383</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207</v>
      </c>
      <c r="C127" s="51">
        <v>45711</v>
      </c>
      <c r="D127" s="50" t="s">
        <v>129</v>
      </c>
      <c r="E127" s="51">
        <v>45707</v>
      </c>
      <c r="F127" s="50" t="s">
        <v>976</v>
      </c>
      <c r="G127" s="379" t="s">
        <v>977</v>
      </c>
      <c r="H127" s="52">
        <v>0</v>
      </c>
      <c r="I127" s="380" t="s">
        <v>219</v>
      </c>
      <c r="J127" s="52" t="s">
        <v>63</v>
      </c>
      <c r="K127" s="51">
        <v>45701</v>
      </c>
      <c r="L127" s="52" t="s">
        <v>57</v>
      </c>
      <c r="M127" s="426">
        <v>111163</v>
      </c>
      <c r="N127" s="733"/>
      <c r="O127" s="52" t="s">
        <v>57</v>
      </c>
      <c r="P127" s="584" t="s">
        <v>86</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207</v>
      </c>
      <c r="C128" s="467">
        <v>45960</v>
      </c>
      <c r="D128" s="475" t="s">
        <v>233</v>
      </c>
      <c r="E128" s="476">
        <v>45944</v>
      </c>
      <c r="F128" s="475" t="s">
        <v>234</v>
      </c>
      <c r="G128" s="821"/>
      <c r="H128" s="478">
        <v>0</v>
      </c>
      <c r="I128" s="825" t="s">
        <v>219</v>
      </c>
      <c r="J128" s="478" t="s">
        <v>63</v>
      </c>
      <c r="K128" s="476" t="s">
        <v>52</v>
      </c>
      <c r="L128" s="478" t="s">
        <v>57</v>
      </c>
      <c r="M128" s="543">
        <v>50539.6</v>
      </c>
      <c r="N128" s="733"/>
      <c r="O128" s="478" t="s">
        <v>57</v>
      </c>
      <c r="P128" s="746" t="s">
        <v>86</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109</v>
      </c>
      <c r="C129" s="51">
        <v>45899</v>
      </c>
      <c r="D129" s="375" t="s">
        <v>129</v>
      </c>
      <c r="E129" s="375">
        <v>45873</v>
      </c>
      <c r="F129" s="587" t="s">
        <v>163</v>
      </c>
      <c r="G129" s="635"/>
      <c r="H129" s="376">
        <v>50</v>
      </c>
      <c r="I129" s="377" t="s">
        <v>219</v>
      </c>
      <c r="J129" s="376" t="s">
        <v>56</v>
      </c>
      <c r="K129" s="375">
        <v>45874</v>
      </c>
      <c r="L129" s="376" t="s">
        <v>57</v>
      </c>
      <c r="M129" s="429">
        <v>11894.25</v>
      </c>
      <c r="N129" s="96"/>
      <c r="O129" s="376" t="s">
        <v>57</v>
      </c>
      <c r="P129" s="585" t="s">
        <v>86</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109</v>
      </c>
      <c r="C130" s="467">
        <v>45868</v>
      </c>
      <c r="D130" s="488" t="s">
        <v>129</v>
      </c>
      <c r="E130" s="467">
        <v>45786</v>
      </c>
      <c r="F130" s="488" t="s">
        <v>110</v>
      </c>
      <c r="G130" s="465" t="s">
        <v>982</v>
      </c>
      <c r="H130" s="469">
        <v>0</v>
      </c>
      <c r="I130" s="469" t="s">
        <v>219</v>
      </c>
      <c r="J130" s="469" t="s">
        <v>63</v>
      </c>
      <c r="K130" s="467">
        <v>45786</v>
      </c>
      <c r="L130" s="469" t="s">
        <v>57</v>
      </c>
      <c r="M130" s="993">
        <v>133172.15</v>
      </c>
      <c r="N130" s="733"/>
      <c r="O130" s="469" t="s">
        <v>57</v>
      </c>
      <c r="P130" s="746" t="s">
        <v>86</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109</v>
      </c>
      <c r="C131" s="51">
        <v>45930</v>
      </c>
      <c r="D131" s="51" t="s">
        <v>84</v>
      </c>
      <c r="E131" s="51">
        <v>45918</v>
      </c>
      <c r="F131" s="50" t="s">
        <v>110</v>
      </c>
      <c r="G131" s="668"/>
      <c r="H131" s="52">
        <v>0</v>
      </c>
      <c r="I131" s="658" t="s">
        <v>219</v>
      </c>
      <c r="J131" s="52" t="s">
        <v>63</v>
      </c>
      <c r="K131" s="51">
        <v>45918</v>
      </c>
      <c r="L131" s="376" t="s">
        <v>57</v>
      </c>
      <c r="M131" s="429">
        <v>10840.25</v>
      </c>
      <c r="N131" s="733"/>
      <c r="O131" s="376" t="s">
        <v>57</v>
      </c>
      <c r="P131" s="737" t="s">
        <v>86</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109</v>
      </c>
      <c r="C132" s="51">
        <v>45899</v>
      </c>
      <c r="D132" s="381" t="s">
        <v>129</v>
      </c>
      <c r="E132" s="51">
        <v>45853</v>
      </c>
      <c r="F132" s="50" t="s">
        <v>110</v>
      </c>
      <c r="G132" s="50" t="s">
        <v>987</v>
      </c>
      <c r="H132" s="52">
        <v>0</v>
      </c>
      <c r="I132" s="52" t="s">
        <v>219</v>
      </c>
      <c r="J132" s="52" t="s">
        <v>63</v>
      </c>
      <c r="K132" s="375">
        <v>45853</v>
      </c>
      <c r="L132" s="380" t="s">
        <v>57</v>
      </c>
      <c r="M132" s="429">
        <v>60849.9</v>
      </c>
      <c r="N132" s="96"/>
      <c r="O132" s="380" t="s">
        <v>57</v>
      </c>
      <c r="P132" s="737" t="s">
        <v>86</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109</v>
      </c>
      <c r="C133" s="467">
        <v>45868</v>
      </c>
      <c r="D133" s="467" t="s">
        <v>84</v>
      </c>
      <c r="E133" s="467">
        <v>45793</v>
      </c>
      <c r="F133" s="488" t="s">
        <v>110</v>
      </c>
      <c r="G133" s="991" t="s">
        <v>990</v>
      </c>
      <c r="H133" s="469">
        <v>0</v>
      </c>
      <c r="I133" s="469" t="s">
        <v>219</v>
      </c>
      <c r="J133" s="469" t="s">
        <v>63</v>
      </c>
      <c r="K133" s="467">
        <v>45793</v>
      </c>
      <c r="L133" s="469" t="s">
        <v>57</v>
      </c>
      <c r="M133" s="993">
        <v>53589.8</v>
      </c>
      <c r="N133" s="96"/>
      <c r="O133" s="469" t="s">
        <v>57</v>
      </c>
      <c r="P133" s="746" t="s">
        <v>86</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109</v>
      </c>
      <c r="C134" s="51">
        <v>45930</v>
      </c>
      <c r="D134" s="51" t="s">
        <v>129</v>
      </c>
      <c r="E134" s="51">
        <v>45884</v>
      </c>
      <c r="F134" s="50" t="s">
        <v>163</v>
      </c>
      <c r="G134" s="379"/>
      <c r="H134" s="52">
        <v>69</v>
      </c>
      <c r="I134" s="380" t="s">
        <v>219</v>
      </c>
      <c r="J134" s="52" t="s">
        <v>63</v>
      </c>
      <c r="K134" s="375">
        <v>45884</v>
      </c>
      <c r="L134" s="376" t="s">
        <v>57</v>
      </c>
      <c r="M134" s="429">
        <v>67441</v>
      </c>
      <c r="N134" s="96"/>
      <c r="O134" s="376" t="s">
        <v>57</v>
      </c>
      <c r="P134" s="737" t="s">
        <v>86</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109</v>
      </c>
      <c r="C135" s="51">
        <v>45868</v>
      </c>
      <c r="D135" s="587" t="s">
        <v>129</v>
      </c>
      <c r="E135" s="375">
        <v>45796</v>
      </c>
      <c r="F135" s="587" t="s">
        <v>163</v>
      </c>
      <c r="G135" s="374" t="s">
        <v>995</v>
      </c>
      <c r="H135" s="376">
        <v>58</v>
      </c>
      <c r="I135" s="376" t="s">
        <v>219</v>
      </c>
      <c r="J135" s="376" t="s">
        <v>63</v>
      </c>
      <c r="K135" s="375">
        <v>45797</v>
      </c>
      <c r="L135" s="376" t="s">
        <v>57</v>
      </c>
      <c r="M135" s="429">
        <v>43097.65</v>
      </c>
      <c r="N135" s="733"/>
      <c r="O135" s="376" t="s">
        <v>57</v>
      </c>
      <c r="P135" s="737" t="s">
        <v>86</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109</v>
      </c>
      <c r="C136" s="476">
        <v>45930</v>
      </c>
      <c r="D136" s="476" t="s">
        <v>129</v>
      </c>
      <c r="E136" s="823">
        <v>45880</v>
      </c>
      <c r="F136" s="428" t="s">
        <v>163</v>
      </c>
      <c r="G136" s="475" t="s">
        <v>998</v>
      </c>
      <c r="H136" s="478">
        <v>62</v>
      </c>
      <c r="I136" s="478" t="s">
        <v>219</v>
      </c>
      <c r="J136" s="478" t="s">
        <v>63</v>
      </c>
      <c r="K136" s="467">
        <v>45880</v>
      </c>
      <c r="L136" s="469" t="s">
        <v>57</v>
      </c>
      <c r="M136" s="993">
        <v>56807.95</v>
      </c>
      <c r="N136" s="733"/>
      <c r="O136" s="469" t="s">
        <v>57</v>
      </c>
      <c r="P136" s="746" t="s">
        <v>86</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109</v>
      </c>
      <c r="C137" s="51">
        <v>45930</v>
      </c>
      <c r="D137" s="375" t="s">
        <v>129</v>
      </c>
      <c r="E137" s="647">
        <v>45882</v>
      </c>
      <c r="F137" s="647" t="s">
        <v>163</v>
      </c>
      <c r="G137" s="374" t="s">
        <v>1001</v>
      </c>
      <c r="H137" s="376">
        <v>85</v>
      </c>
      <c r="I137" s="376" t="s">
        <v>219</v>
      </c>
      <c r="J137" s="376" t="s">
        <v>63</v>
      </c>
      <c r="K137" s="375">
        <v>45882</v>
      </c>
      <c r="L137" s="376" t="s">
        <v>57</v>
      </c>
      <c r="M137" s="429">
        <v>59869.5</v>
      </c>
      <c r="N137" s="733"/>
      <c r="O137" s="376" t="s">
        <v>57</v>
      </c>
      <c r="P137" s="585" t="s">
        <v>86</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109</v>
      </c>
      <c r="C138" s="51">
        <v>45930</v>
      </c>
      <c r="D138" s="375" t="s">
        <v>129</v>
      </c>
      <c r="E138" s="375">
        <v>45896</v>
      </c>
      <c r="F138" s="587" t="s">
        <v>163</v>
      </c>
      <c r="G138" s="374" t="s">
        <v>728</v>
      </c>
      <c r="H138" s="376">
        <v>72</v>
      </c>
      <c r="I138" s="376" t="s">
        <v>219</v>
      </c>
      <c r="J138" s="376" t="s">
        <v>63</v>
      </c>
      <c r="K138" s="375">
        <v>45897</v>
      </c>
      <c r="L138" s="376" t="s">
        <v>57</v>
      </c>
      <c r="M138" s="429">
        <v>50874.95</v>
      </c>
      <c r="N138" s="733"/>
      <c r="O138" s="376" t="s">
        <v>57</v>
      </c>
      <c r="P138" s="593" t="s">
        <v>86</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109</v>
      </c>
      <c r="C139" s="51">
        <v>45930</v>
      </c>
      <c r="D139" s="375" t="s">
        <v>129</v>
      </c>
      <c r="E139" s="647">
        <v>45910</v>
      </c>
      <c r="F139" s="374" t="s">
        <v>110</v>
      </c>
      <c r="G139" s="669"/>
      <c r="H139" s="376">
        <v>54</v>
      </c>
      <c r="I139" s="665" t="s">
        <v>219</v>
      </c>
      <c r="J139" s="376" t="s">
        <v>63</v>
      </c>
      <c r="K139" s="375">
        <v>45903</v>
      </c>
      <c r="L139" s="376" t="s">
        <v>57</v>
      </c>
      <c r="M139" s="429">
        <v>27186</v>
      </c>
      <c r="N139" s="733"/>
      <c r="O139" s="376" t="s">
        <v>57</v>
      </c>
      <c r="P139" s="737" t="s">
        <v>86</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109</v>
      </c>
      <c r="C140" s="51">
        <v>45899</v>
      </c>
      <c r="D140" s="381" t="s">
        <v>141</v>
      </c>
      <c r="E140" s="51">
        <v>45887</v>
      </c>
      <c r="F140" s="381" t="s">
        <v>163</v>
      </c>
      <c r="G140" s="379" t="s">
        <v>1008</v>
      </c>
      <c r="H140" s="52">
        <v>70</v>
      </c>
      <c r="I140" s="380" t="s">
        <v>219</v>
      </c>
      <c r="J140" s="52" t="s">
        <v>63</v>
      </c>
      <c r="K140" s="375">
        <v>45887</v>
      </c>
      <c r="L140" s="376" t="s">
        <v>57</v>
      </c>
      <c r="M140" s="429">
        <v>69889</v>
      </c>
      <c r="N140" s="96"/>
      <c r="O140" s="376" t="s">
        <v>57</v>
      </c>
      <c r="P140" s="585" t="s">
        <v>86</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109</v>
      </c>
      <c r="C141" s="51">
        <v>45899</v>
      </c>
      <c r="D141" s="51" t="s">
        <v>129</v>
      </c>
      <c r="E141" s="51">
        <v>45887</v>
      </c>
      <c r="F141" s="50" t="s">
        <v>110</v>
      </c>
      <c r="G141" s="379" t="s">
        <v>1011</v>
      </c>
      <c r="H141" s="52">
        <v>84</v>
      </c>
      <c r="I141" s="380" t="s">
        <v>219</v>
      </c>
      <c r="J141" s="52" t="s">
        <v>63</v>
      </c>
      <c r="K141" s="375">
        <v>45887</v>
      </c>
      <c r="L141" s="376" t="s">
        <v>57</v>
      </c>
      <c r="M141" s="429">
        <v>52110</v>
      </c>
      <c r="N141" s="733"/>
      <c r="O141" s="376" t="s">
        <v>57</v>
      </c>
      <c r="P141" s="585" t="s">
        <v>86</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109</v>
      </c>
      <c r="C142" s="51">
        <v>45930</v>
      </c>
      <c r="D142" s="51" t="s">
        <v>129</v>
      </c>
      <c r="E142" s="51">
        <v>45896</v>
      </c>
      <c r="F142" s="381" t="s">
        <v>163</v>
      </c>
      <c r="G142" s="379"/>
      <c r="H142" s="52">
        <v>87</v>
      </c>
      <c r="I142" s="380" t="s">
        <v>219</v>
      </c>
      <c r="J142" s="52" t="s">
        <v>63</v>
      </c>
      <c r="K142" s="375">
        <v>45897</v>
      </c>
      <c r="L142" s="376" t="s">
        <v>57</v>
      </c>
      <c r="M142" s="429">
        <v>52204</v>
      </c>
      <c r="N142" s="733"/>
      <c r="O142" s="376" t="s">
        <v>57</v>
      </c>
      <c r="P142" s="737" t="s">
        <v>86</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109</v>
      </c>
      <c r="C143" s="51">
        <v>45930</v>
      </c>
      <c r="D143" s="51" t="s">
        <v>129</v>
      </c>
      <c r="E143" s="51">
        <v>45915</v>
      </c>
      <c r="F143" s="656" t="s">
        <v>163</v>
      </c>
      <c r="G143" s="668"/>
      <c r="H143" s="52">
        <v>53</v>
      </c>
      <c r="I143" s="658" t="s">
        <v>219</v>
      </c>
      <c r="J143" s="52" t="s">
        <v>63</v>
      </c>
      <c r="K143" s="375">
        <v>45912</v>
      </c>
      <c r="L143" s="376" t="s">
        <v>57</v>
      </c>
      <c r="M143" s="429">
        <v>47676</v>
      </c>
      <c r="N143" s="733"/>
      <c r="O143" s="376" t="s">
        <v>57</v>
      </c>
      <c r="P143" s="737" t="s">
        <v>86</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109</v>
      </c>
      <c r="C144" s="51">
        <v>45945</v>
      </c>
      <c r="D144" s="51" t="s">
        <v>129</v>
      </c>
      <c r="E144" s="51">
        <v>45945</v>
      </c>
      <c r="F144" s="50" t="s">
        <v>142</v>
      </c>
      <c r="G144" s="668"/>
      <c r="H144" s="52">
        <v>59</v>
      </c>
      <c r="I144" s="658" t="s">
        <v>219</v>
      </c>
      <c r="J144" s="52" t="s">
        <v>63</v>
      </c>
      <c r="K144" s="375">
        <v>45933</v>
      </c>
      <c r="L144" s="376" t="s">
        <v>57</v>
      </c>
      <c r="M144" s="429">
        <v>44697.599999999999</v>
      </c>
      <c r="N144" s="733"/>
      <c r="O144" s="376" t="s">
        <v>57</v>
      </c>
      <c r="P144" s="737" t="s">
        <v>86</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109</v>
      </c>
      <c r="C145" s="51">
        <v>45960</v>
      </c>
      <c r="D145" s="51" t="s">
        <v>202</v>
      </c>
      <c r="E145" s="51">
        <v>45950</v>
      </c>
      <c r="F145" s="50" t="s">
        <v>142</v>
      </c>
      <c r="G145" s="668"/>
      <c r="H145" s="52">
        <v>82</v>
      </c>
      <c r="I145" s="658" t="s">
        <v>219</v>
      </c>
      <c r="J145" s="52" t="s">
        <v>63</v>
      </c>
      <c r="K145" s="375">
        <v>45933</v>
      </c>
      <c r="L145" s="376" t="s">
        <v>57</v>
      </c>
      <c r="M145" s="429">
        <v>58864</v>
      </c>
      <c r="N145" s="733"/>
      <c r="O145" s="376" t="s">
        <v>57</v>
      </c>
      <c r="P145" s="737" t="s">
        <v>86</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109</v>
      </c>
      <c r="C146" s="51">
        <v>45930</v>
      </c>
      <c r="D146" s="656" t="s">
        <v>84</v>
      </c>
      <c r="E146" s="51">
        <v>45902</v>
      </c>
      <c r="F146" s="50" t="s">
        <v>110</v>
      </c>
      <c r="G146" s="50"/>
      <c r="H146" s="52">
        <v>0</v>
      </c>
      <c r="I146" s="52" t="s">
        <v>219</v>
      </c>
      <c r="J146" s="52" t="s">
        <v>63</v>
      </c>
      <c r="K146" s="375">
        <v>45902</v>
      </c>
      <c r="L146" s="376" t="s">
        <v>57</v>
      </c>
      <c r="M146" s="429">
        <v>12695</v>
      </c>
      <c r="N146" s="733"/>
      <c r="O146" s="376" t="s">
        <v>57</v>
      </c>
      <c r="P146" s="737" t="s">
        <v>86</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109</v>
      </c>
      <c r="C147" s="936">
        <v>45838</v>
      </c>
      <c r="D147" s="1157" t="s">
        <v>129</v>
      </c>
      <c r="E147" s="936">
        <v>45817</v>
      </c>
      <c r="F147" s="1157" t="s">
        <v>110</v>
      </c>
      <c r="G147" s="1170" t="s">
        <v>1023</v>
      </c>
      <c r="H147" s="953">
        <v>0</v>
      </c>
      <c r="I147" s="1025" t="s">
        <v>219</v>
      </c>
      <c r="J147" s="953" t="s">
        <v>63</v>
      </c>
      <c r="K147" s="1171">
        <v>45821</v>
      </c>
      <c r="L147" s="1025" t="s">
        <v>57</v>
      </c>
      <c r="M147" s="955">
        <v>23436.55</v>
      </c>
      <c r="N147" s="733"/>
      <c r="O147" s="1025" t="s">
        <v>57</v>
      </c>
      <c r="P147" s="764" t="s">
        <v>86</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109</v>
      </c>
      <c r="C148" s="963">
        <v>45899</v>
      </c>
      <c r="D148" s="936" t="s">
        <v>84</v>
      </c>
      <c r="E148" s="936">
        <v>45876</v>
      </c>
      <c r="F148" s="936" t="s">
        <v>110</v>
      </c>
      <c r="G148" s="1024" t="s">
        <v>1026</v>
      </c>
      <c r="H148" s="953">
        <v>0</v>
      </c>
      <c r="I148" s="1025" t="s">
        <v>219</v>
      </c>
      <c r="J148" s="953" t="s">
        <v>63</v>
      </c>
      <c r="K148" s="936">
        <v>45876</v>
      </c>
      <c r="L148" s="953" t="s">
        <v>57</v>
      </c>
      <c r="M148" s="955">
        <v>1462.85</v>
      </c>
      <c r="N148" s="96"/>
      <c r="O148" s="953" t="s">
        <v>57</v>
      </c>
      <c r="P148" s="764" t="s">
        <v>86</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109</v>
      </c>
      <c r="C149" s="57">
        <v>45899</v>
      </c>
      <c r="D149" s="883" t="s">
        <v>129</v>
      </c>
      <c r="E149" s="883">
        <v>45882</v>
      </c>
      <c r="F149" s="1013" t="s">
        <v>163</v>
      </c>
      <c r="G149" s="1019" t="s">
        <v>771</v>
      </c>
      <c r="H149" s="788">
        <v>0</v>
      </c>
      <c r="I149" s="800" t="s">
        <v>219</v>
      </c>
      <c r="J149" s="788" t="s">
        <v>63</v>
      </c>
      <c r="K149" s="375">
        <v>45882</v>
      </c>
      <c r="L149" s="376" t="s">
        <v>57</v>
      </c>
      <c r="M149" s="429">
        <v>13056.5</v>
      </c>
      <c r="N149" s="781"/>
      <c r="O149" s="376" t="s">
        <v>57</v>
      </c>
      <c r="P149" s="585" t="s">
        <v>86</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109</v>
      </c>
      <c r="C150" s="57">
        <v>45868</v>
      </c>
      <c r="D150" s="768" t="s">
        <v>84</v>
      </c>
      <c r="E150" s="883">
        <v>45853</v>
      </c>
      <c r="F150" s="1012" t="s">
        <v>110</v>
      </c>
      <c r="G150" s="1022" t="s">
        <v>1029</v>
      </c>
      <c r="H150" s="788">
        <v>0</v>
      </c>
      <c r="I150" s="788" t="s">
        <v>219</v>
      </c>
      <c r="J150" s="788" t="s">
        <v>63</v>
      </c>
      <c r="K150" s="467">
        <v>45853</v>
      </c>
      <c r="L150" s="469" t="s">
        <v>57</v>
      </c>
      <c r="M150" s="993">
        <v>68216.5</v>
      </c>
      <c r="N150" s="775"/>
      <c r="O150" s="469" t="s">
        <v>57</v>
      </c>
      <c r="P150" s="746" t="s">
        <v>86</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109</v>
      </c>
      <c r="C151" s="51">
        <v>45960</v>
      </c>
      <c r="D151" s="51" t="s">
        <v>84</v>
      </c>
      <c r="E151" s="51">
        <v>45945</v>
      </c>
      <c r="F151" s="50" t="s">
        <v>110</v>
      </c>
      <c r="G151" s="668" t="s">
        <v>1032</v>
      </c>
      <c r="H151" s="52">
        <v>0</v>
      </c>
      <c r="I151" s="52" t="s">
        <v>219</v>
      </c>
      <c r="J151" s="52" t="s">
        <v>63</v>
      </c>
      <c r="K151" s="375">
        <v>45936</v>
      </c>
      <c r="L151" s="376" t="s">
        <v>57</v>
      </c>
      <c r="M151" s="429">
        <v>4235.8</v>
      </c>
      <c r="N151" s="733"/>
      <c r="O151" s="376" t="s">
        <v>57</v>
      </c>
      <c r="P151" s="585" t="s">
        <v>86</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109</v>
      </c>
      <c r="C152" s="57">
        <v>45930</v>
      </c>
      <c r="D152" s="57" t="s">
        <v>129</v>
      </c>
      <c r="E152" s="57">
        <v>45874</v>
      </c>
      <c r="F152" s="769" t="s">
        <v>163</v>
      </c>
      <c r="G152" s="771"/>
      <c r="H152" s="772">
        <v>208</v>
      </c>
      <c r="I152" s="778" t="s">
        <v>219</v>
      </c>
      <c r="J152" s="772" t="s">
        <v>56</v>
      </c>
      <c r="K152" s="467">
        <v>45876</v>
      </c>
      <c r="L152" s="469" t="s">
        <v>57</v>
      </c>
      <c r="M152" s="993">
        <v>124980</v>
      </c>
      <c r="N152" s="781"/>
      <c r="O152" s="469" t="s">
        <v>57</v>
      </c>
      <c r="P152" s="746" t="s">
        <v>86</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219</v>
      </c>
      <c r="J153" s="772" t="s">
        <v>63</v>
      </c>
      <c r="K153" s="503">
        <v>45716</v>
      </c>
      <c r="L153" s="116" t="s">
        <v>57</v>
      </c>
      <c r="M153" s="773">
        <v>45321.5</v>
      </c>
      <c r="N153" s="781"/>
      <c r="O153" s="116" t="s">
        <v>57</v>
      </c>
      <c r="P153" s="763" t="s">
        <v>86</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219</v>
      </c>
      <c r="J154" s="788" t="s">
        <v>63</v>
      </c>
      <c r="K154" s="1015">
        <v>45741</v>
      </c>
      <c r="L154" s="854" t="s">
        <v>57</v>
      </c>
      <c r="M154" s="1016">
        <v>41813</v>
      </c>
      <c r="N154" s="781"/>
      <c r="O154" s="854" t="s">
        <v>57</v>
      </c>
      <c r="P154" s="1008" t="s">
        <v>86</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141</v>
      </c>
      <c r="E155" s="57">
        <v>45708</v>
      </c>
      <c r="F155" s="769" t="s">
        <v>801</v>
      </c>
      <c r="G155" s="776" t="s">
        <v>1042</v>
      </c>
      <c r="H155" s="772">
        <v>82</v>
      </c>
      <c r="I155" s="778" t="s">
        <v>219</v>
      </c>
      <c r="J155" s="772" t="s">
        <v>63</v>
      </c>
      <c r="K155" s="496">
        <v>45698</v>
      </c>
      <c r="L155" s="504" t="s">
        <v>57</v>
      </c>
      <c r="M155" s="773">
        <v>71979</v>
      </c>
      <c r="N155" s="775"/>
      <c r="O155" s="504" t="s">
        <v>57</v>
      </c>
      <c r="P155" s="780" t="s">
        <v>86</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141</v>
      </c>
      <c r="E156" s="476">
        <v>45708</v>
      </c>
      <c r="F156" s="428" t="s">
        <v>801</v>
      </c>
      <c r="G156" s="477" t="s">
        <v>1044</v>
      </c>
      <c r="H156" s="478">
        <v>0</v>
      </c>
      <c r="I156" s="469" t="s">
        <v>86</v>
      </c>
      <c r="J156" s="478" t="s">
        <v>63</v>
      </c>
      <c r="K156" s="476">
        <v>45712</v>
      </c>
      <c r="L156" s="478" t="s">
        <v>57</v>
      </c>
      <c r="M156" s="774">
        <v>14262</v>
      </c>
      <c r="N156" s="733"/>
      <c r="O156" s="478" t="s">
        <v>57</v>
      </c>
      <c r="P156" s="746" t="s">
        <v>86</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208</v>
      </c>
      <c r="G157" s="771" t="s">
        <v>1046</v>
      </c>
      <c r="H157" s="772">
        <v>0</v>
      </c>
      <c r="I157" s="772" t="s">
        <v>219</v>
      </c>
      <c r="J157" s="772" t="s">
        <v>63</v>
      </c>
      <c r="K157" s="476">
        <v>45714</v>
      </c>
      <c r="L157" s="478" t="s">
        <v>57</v>
      </c>
      <c r="M157" s="774">
        <v>93462.85</v>
      </c>
      <c r="N157" s="775"/>
      <c r="O157" s="478" t="s">
        <v>57</v>
      </c>
      <c r="P157" s="746" t="s">
        <v>86</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129</v>
      </c>
      <c r="E158" s="57">
        <v>45772</v>
      </c>
      <c r="F158" s="768" t="s">
        <v>68</v>
      </c>
      <c r="G158" s="768" t="s">
        <v>1048</v>
      </c>
      <c r="H158" s="772">
        <v>0</v>
      </c>
      <c r="I158" s="772" t="s">
        <v>219</v>
      </c>
      <c r="J158" s="772" t="s">
        <v>63</v>
      </c>
      <c r="K158" s="475" t="s">
        <v>52</v>
      </c>
      <c r="L158" s="469" t="s">
        <v>57</v>
      </c>
      <c r="M158" s="993">
        <v>4397.6499999999996</v>
      </c>
      <c r="N158" s="775"/>
      <c r="O158" s="469" t="s">
        <v>57</v>
      </c>
      <c r="P158" s="746" t="s">
        <v>86</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4" t="s">
        <v>1050</v>
      </c>
      <c r="B159" s="390" t="s">
        <v>318</v>
      </c>
      <c r="C159" s="51">
        <v>46045</v>
      </c>
      <c r="D159" s="656" t="s">
        <v>129</v>
      </c>
      <c r="E159" s="51"/>
      <c r="F159" s="50" t="s">
        <v>319</v>
      </c>
      <c r="G159" s="379"/>
      <c r="H159" s="1320">
        <v>80</v>
      </c>
      <c r="I159" s="658" t="s">
        <v>219</v>
      </c>
      <c r="J159" s="52" t="s">
        <v>63</v>
      </c>
      <c r="K159" s="51" t="s">
        <v>52</v>
      </c>
      <c r="L159" s="478" t="s">
        <v>57</v>
      </c>
      <c r="M159" s="1448">
        <v>170</v>
      </c>
      <c r="N159" s="733"/>
      <c r="O159" s="478" t="s">
        <v>57</v>
      </c>
      <c r="P159" s="1323" t="s">
        <v>86</v>
      </c>
      <c r="Q159" s="471" t="s">
        <v>52</v>
      </c>
      <c r="R159" s="1073">
        <v>7137</v>
      </c>
      <c r="S159" s="497">
        <v>7141</v>
      </c>
      <c r="T159" s="1003">
        <v>0</v>
      </c>
      <c r="U159" s="71">
        <v>1</v>
      </c>
      <c r="V159" s="124">
        <v>45964</v>
      </c>
      <c r="W159" s="34">
        <v>1</v>
      </c>
      <c r="X159" s="1441">
        <v>1</v>
      </c>
      <c r="Y159" s="355">
        <v>1</v>
      </c>
      <c r="Z159" s="471">
        <v>45999</v>
      </c>
      <c r="AA159" s="1083" t="s">
        <v>1051</v>
      </c>
      <c r="AB159" s="425"/>
      <c r="AC159" s="425"/>
      <c r="AD159" s="870"/>
    </row>
    <row r="160" spans="1:30" ht="39.75" customHeight="1">
      <c r="A160" s="1325" t="s">
        <v>1052</v>
      </c>
      <c r="B160" s="1321" t="s">
        <v>318</v>
      </c>
      <c r="C160" s="57">
        <v>46045</v>
      </c>
      <c r="D160" s="789" t="s">
        <v>129</v>
      </c>
      <c r="E160" s="57"/>
      <c r="F160" s="768" t="s">
        <v>319</v>
      </c>
      <c r="G160" s="771"/>
      <c r="H160" s="1322">
        <v>85</v>
      </c>
      <c r="I160" s="787" t="s">
        <v>219</v>
      </c>
      <c r="J160" s="772" t="s">
        <v>63</v>
      </c>
      <c r="K160" s="476" t="s">
        <v>52</v>
      </c>
      <c r="L160" s="478" t="s">
        <v>57</v>
      </c>
      <c r="M160" s="1448">
        <v>29180.45</v>
      </c>
      <c r="N160" s="775"/>
      <c r="O160" s="478" t="s">
        <v>57</v>
      </c>
      <c r="P160" s="746" t="s">
        <v>86</v>
      </c>
      <c r="Q160" s="124" t="s">
        <v>52</v>
      </c>
      <c r="R160" s="1003">
        <v>6249</v>
      </c>
      <c r="S160" s="1451">
        <v>6183</v>
      </c>
      <c r="T160" s="1474">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62" t="s">
        <v>1054</v>
      </c>
      <c r="B161" s="973" t="s">
        <v>318</v>
      </c>
      <c r="C161" s="467">
        <v>46045</v>
      </c>
      <c r="D161" s="640" t="s">
        <v>129</v>
      </c>
      <c r="E161" s="467"/>
      <c r="F161" s="768" t="s">
        <v>319</v>
      </c>
      <c r="G161" s="468"/>
      <c r="H161" s="1067">
        <v>62</v>
      </c>
      <c r="I161" s="825" t="s">
        <v>219</v>
      </c>
      <c r="J161" s="478" t="s">
        <v>63</v>
      </c>
      <c r="K161" s="476" t="s">
        <v>52</v>
      </c>
      <c r="L161" s="478" t="s">
        <v>57</v>
      </c>
      <c r="M161" s="1448">
        <v>170</v>
      </c>
      <c r="N161" s="733"/>
      <c r="O161" s="478" t="s">
        <v>57</v>
      </c>
      <c r="P161" s="1463" t="s">
        <v>86</v>
      </c>
      <c r="Q161" s="124" t="s">
        <v>52</v>
      </c>
      <c r="R161" s="1003">
        <v>4095</v>
      </c>
      <c r="S161" s="1451">
        <v>4088</v>
      </c>
      <c r="T161" s="1474">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73" t="s">
        <v>1055</v>
      </c>
      <c r="B162" s="450" t="s">
        <v>318</v>
      </c>
      <c r="C162" s="375">
        <v>46045</v>
      </c>
      <c r="D162" s="969" t="s">
        <v>129</v>
      </c>
      <c r="E162" s="375"/>
      <c r="F162" s="768" t="s">
        <v>319</v>
      </c>
      <c r="G162" s="635"/>
      <c r="H162" s="1059">
        <v>80</v>
      </c>
      <c r="I162" s="970" t="s">
        <v>219</v>
      </c>
      <c r="J162" s="971" t="s">
        <v>63</v>
      </c>
      <c r="K162" s="476" t="s">
        <v>52</v>
      </c>
      <c r="L162" s="971" t="s">
        <v>57</v>
      </c>
      <c r="M162" s="1449">
        <v>25891</v>
      </c>
      <c r="N162" s="1471"/>
      <c r="O162" s="52" t="s">
        <v>57</v>
      </c>
      <c r="P162" s="1450" t="s">
        <v>86</v>
      </c>
      <c r="Q162" s="124" t="s">
        <v>52</v>
      </c>
      <c r="R162" s="1003">
        <v>5254</v>
      </c>
      <c r="S162" s="895">
        <v>5254</v>
      </c>
      <c r="T162" s="1475">
        <v>0</v>
      </c>
      <c r="U162" s="1472">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5" t="s">
        <v>1056</v>
      </c>
      <c r="B163" s="1321" t="s">
        <v>318</v>
      </c>
      <c r="C163" s="57">
        <v>46045</v>
      </c>
      <c r="D163" s="789" t="s">
        <v>129</v>
      </c>
      <c r="E163" s="57"/>
      <c r="F163" s="768" t="s">
        <v>319</v>
      </c>
      <c r="G163" s="771"/>
      <c r="H163" s="1322">
        <v>83</v>
      </c>
      <c r="I163" s="787" t="s">
        <v>219</v>
      </c>
      <c r="J163" s="772" t="s">
        <v>63</v>
      </c>
      <c r="K163" s="476" t="s">
        <v>52</v>
      </c>
      <c r="L163" s="971" t="s">
        <v>57</v>
      </c>
      <c r="M163" s="1449">
        <v>170</v>
      </c>
      <c r="N163" s="775"/>
      <c r="O163" s="52" t="s">
        <v>57</v>
      </c>
      <c r="P163" s="1450" t="s">
        <v>86</v>
      </c>
      <c r="Q163" s="995" t="s">
        <v>52</v>
      </c>
      <c r="R163" s="1423">
        <v>5947</v>
      </c>
      <c r="S163" s="1476">
        <v>5947</v>
      </c>
      <c r="T163" s="1446">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5" t="s">
        <v>1058</v>
      </c>
      <c r="B164" s="1321" t="s">
        <v>318</v>
      </c>
      <c r="C164" s="57">
        <v>46045</v>
      </c>
      <c r="D164" s="789" t="s">
        <v>129</v>
      </c>
      <c r="E164" s="57"/>
      <c r="F164" s="768" t="s">
        <v>319</v>
      </c>
      <c r="G164" s="771"/>
      <c r="H164" s="1322">
        <v>85</v>
      </c>
      <c r="I164" s="787" t="s">
        <v>219</v>
      </c>
      <c r="J164" s="772" t="s">
        <v>63</v>
      </c>
      <c r="K164" s="476" t="s">
        <v>52</v>
      </c>
      <c r="L164" s="971" t="s">
        <v>57</v>
      </c>
      <c r="M164" s="1449">
        <v>30788</v>
      </c>
      <c r="N164" s="775"/>
      <c r="O164" s="52" t="s">
        <v>57</v>
      </c>
      <c r="P164" s="1450" t="s">
        <v>86</v>
      </c>
      <c r="Q164" s="471" t="s">
        <v>52</v>
      </c>
      <c r="R164" s="1003">
        <v>5599</v>
      </c>
      <c r="S164" s="1451">
        <v>5599</v>
      </c>
      <c r="T164" s="1447">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5"/>
      <c r="B165" s="1321"/>
      <c r="C165" s="57"/>
      <c r="D165" s="789"/>
      <c r="E165" s="57"/>
      <c r="F165" s="768"/>
      <c r="G165" s="771"/>
      <c r="H165" s="1322"/>
      <c r="I165" s="787"/>
      <c r="J165" s="772"/>
      <c r="K165" s="476"/>
      <c r="L165" s="478"/>
      <c r="M165" s="1449"/>
      <c r="N165" s="775"/>
      <c r="O165" s="73"/>
      <c r="P165" s="1450"/>
      <c r="Q165" s="471"/>
      <c r="R165" s="1003"/>
      <c r="S165" s="895"/>
      <c r="T165" s="1446"/>
      <c r="U165" s="22"/>
      <c r="V165" s="124"/>
      <c r="W165" s="355"/>
      <c r="X165" s="1441"/>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383</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207</v>
      </c>
      <c r="C170" s="476">
        <v>45807</v>
      </c>
      <c r="D170" s="465" t="s">
        <v>51</v>
      </c>
      <c r="E170" s="475" t="s">
        <v>52</v>
      </c>
      <c r="F170" s="465" t="s">
        <v>850</v>
      </c>
      <c r="G170" s="680" t="s">
        <v>662</v>
      </c>
      <c r="H170" s="469">
        <v>60</v>
      </c>
      <c r="I170" s="825" t="s">
        <v>219</v>
      </c>
      <c r="J170" s="478" t="s">
        <v>56</v>
      </c>
      <c r="K170" s="840"/>
      <c r="L170" s="467">
        <v>45716</v>
      </c>
      <c r="M170" s="478" t="s">
        <v>57</v>
      </c>
      <c r="N170" s="542">
        <v>2075.6999999999998</v>
      </c>
      <c r="O170" s="478" t="s">
        <v>57</v>
      </c>
      <c r="P170" s="915" t="s">
        <v>86</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207</v>
      </c>
      <c r="C171" s="476">
        <v>45807</v>
      </c>
      <c r="D171" s="475" t="s">
        <v>51</v>
      </c>
      <c r="E171" s="475" t="s">
        <v>52</v>
      </c>
      <c r="F171" s="475" t="s">
        <v>850</v>
      </c>
      <c r="G171" s="821" t="s">
        <v>1064</v>
      </c>
      <c r="H171" s="478">
        <v>79</v>
      </c>
      <c r="I171" s="825" t="s">
        <v>219</v>
      </c>
      <c r="J171" s="478" t="s">
        <v>56</v>
      </c>
      <c r="K171" s="487"/>
      <c r="L171" s="467">
        <v>45716</v>
      </c>
      <c r="M171" s="478" t="s">
        <v>57</v>
      </c>
      <c r="N171" s="543">
        <v>2947.5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207</v>
      </c>
      <c r="C172" s="476">
        <v>45807</v>
      </c>
      <c r="D172" s="475" t="s">
        <v>51</v>
      </c>
      <c r="E172" s="475" t="s">
        <v>52</v>
      </c>
      <c r="F172" s="475" t="s">
        <v>850</v>
      </c>
      <c r="G172" s="821" t="s">
        <v>1066</v>
      </c>
      <c r="H172" s="478">
        <v>83</v>
      </c>
      <c r="I172" s="825" t="s">
        <v>219</v>
      </c>
      <c r="J172" s="478" t="s">
        <v>56</v>
      </c>
      <c r="K172" s="487"/>
      <c r="L172" s="467">
        <v>45716</v>
      </c>
      <c r="M172" s="478" t="s">
        <v>57</v>
      </c>
      <c r="N172" s="543">
        <v>2908.95</v>
      </c>
      <c r="O172" s="478" t="s">
        <v>57</v>
      </c>
      <c r="P172" s="916" t="s">
        <v>86</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86</v>
      </c>
      <c r="J173" s="478" t="s">
        <v>56</v>
      </c>
      <c r="K173" s="478"/>
      <c r="L173" s="826">
        <v>45716</v>
      </c>
      <c r="M173" s="478" t="s">
        <v>57</v>
      </c>
      <c r="N173" s="543">
        <v>1134</v>
      </c>
      <c r="O173" s="478" t="s">
        <v>57</v>
      </c>
      <c r="P173" s="917" t="s">
        <v>86</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86</v>
      </c>
      <c r="J174" s="478" t="s">
        <v>56</v>
      </c>
      <c r="K174" s="487"/>
      <c r="L174" s="467">
        <v>45716</v>
      </c>
      <c r="M174" s="478" t="s">
        <v>57</v>
      </c>
      <c r="N174" s="543">
        <v>870</v>
      </c>
      <c r="O174" s="478" t="s">
        <v>57</v>
      </c>
      <c r="P174" s="917" t="s">
        <v>86</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219</v>
      </c>
      <c r="J175" s="478" t="s">
        <v>63</v>
      </c>
      <c r="K175" s="478"/>
      <c r="L175" s="826">
        <v>45716</v>
      </c>
      <c r="M175" s="825" t="s">
        <v>57</v>
      </c>
      <c r="N175" s="543">
        <v>2025.6</v>
      </c>
      <c r="O175" s="825" t="s">
        <v>57</v>
      </c>
      <c r="P175" s="917" t="s">
        <v>86</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86</v>
      </c>
      <c r="J176" s="478" t="s">
        <v>56</v>
      </c>
      <c r="K176" s="478"/>
      <c r="L176" s="476">
        <v>45715</v>
      </c>
      <c r="M176" s="478" t="s">
        <v>57</v>
      </c>
      <c r="N176" s="543">
        <v>3801.75</v>
      </c>
      <c r="O176" s="478" t="s">
        <v>57</v>
      </c>
      <c r="P176" s="917" t="s">
        <v>86</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109</v>
      </c>
      <c r="C179" s="902"/>
      <c r="D179" s="903" t="s">
        <v>84</v>
      </c>
      <c r="E179" s="903">
        <v>45768</v>
      </c>
      <c r="F179" s="904" t="s">
        <v>163</v>
      </c>
      <c r="G179" s="901"/>
      <c r="H179" s="905">
        <v>0</v>
      </c>
      <c r="I179" s="906" t="s">
        <v>86</v>
      </c>
      <c r="J179" s="905" t="s">
        <v>56</v>
      </c>
      <c r="K179" s="902"/>
      <c r="L179" s="907" t="s">
        <v>56</v>
      </c>
      <c r="M179" s="905" t="s">
        <v>92</v>
      </c>
      <c r="N179" s="908">
        <v>0</v>
      </c>
      <c r="O179" s="905" t="s">
        <v>92</v>
      </c>
      <c r="P179" s="909" t="s">
        <v>86</v>
      </c>
      <c r="Q179" s="910" t="s">
        <v>56</v>
      </c>
      <c r="R179" s="911" t="s">
        <v>158</v>
      </c>
      <c r="S179" s="911" t="s">
        <v>158</v>
      </c>
      <c r="T179" s="911" t="s">
        <v>158</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109</v>
      </c>
      <c r="C180" s="859"/>
      <c r="D180" s="852" t="s">
        <v>84</v>
      </c>
      <c r="E180" s="852">
        <v>45768</v>
      </c>
      <c r="F180" s="851" t="s">
        <v>163</v>
      </c>
      <c r="G180" s="853"/>
      <c r="H180" s="854">
        <v>0</v>
      </c>
      <c r="I180" s="860" t="s">
        <v>86</v>
      </c>
      <c r="J180" s="854" t="s">
        <v>56</v>
      </c>
      <c r="K180" s="859"/>
      <c r="L180" s="861" t="s">
        <v>56</v>
      </c>
      <c r="M180" s="854" t="s">
        <v>92</v>
      </c>
      <c r="N180" s="855">
        <v>0</v>
      </c>
      <c r="O180" s="854" t="s">
        <v>92</v>
      </c>
      <c r="P180" s="856" t="s">
        <v>86</v>
      </c>
      <c r="Q180" s="79" t="s">
        <v>56</v>
      </c>
      <c r="R180" s="328" t="s">
        <v>158</v>
      </c>
      <c r="S180" s="328" t="s">
        <v>158</v>
      </c>
      <c r="T180" s="328" t="s">
        <v>158</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129</v>
      </c>
      <c r="K6">
        <v>22274</v>
      </c>
      <c r="N6" t="s">
        <v>129</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141</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401</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401</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535</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265</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1005</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265</v>
      </c>
      <c r="D767">
        <v>362</v>
      </c>
      <c r="E767">
        <v>399</v>
      </c>
      <c r="G767">
        <v>761</v>
      </c>
    </row>
    <row r="768" spans="1:7">
      <c r="A768" t="s">
        <v>1013</v>
      </c>
    </row>
    <row r="769" spans="1:7">
      <c r="A769" t="s">
        <v>1003</v>
      </c>
    </row>
    <row r="770" spans="1:7">
      <c r="A770" t="s">
        <v>404</v>
      </c>
      <c r="C770">
        <v>120</v>
      </c>
      <c r="D770">
        <v>190</v>
      </c>
      <c r="G770">
        <v>310</v>
      </c>
    </row>
    <row r="771" spans="1:7">
      <c r="A771" t="s">
        <v>384</v>
      </c>
      <c r="B771">
        <v>839</v>
      </c>
      <c r="D771">
        <v>616</v>
      </c>
      <c r="E771">
        <v>969</v>
      </c>
      <c r="F771">
        <v>552</v>
      </c>
      <c r="G771">
        <v>2976</v>
      </c>
    </row>
    <row r="772" spans="1:7">
      <c r="A772" t="s">
        <v>1005</v>
      </c>
      <c r="B772">
        <v>1285</v>
      </c>
      <c r="G772">
        <v>1285</v>
      </c>
    </row>
    <row r="773" spans="1:7">
      <c r="A773" t="s">
        <v>554</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984</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407</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1015</v>
      </c>
      <c r="B826">
        <v>1545</v>
      </c>
      <c r="C826">
        <v>995</v>
      </c>
      <c r="G826">
        <v>2540</v>
      </c>
    </row>
    <row r="827" spans="1:7">
      <c r="A827" t="s">
        <v>547</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580</v>
      </c>
    </row>
    <row r="842" spans="1:7">
      <c r="A842" t="s">
        <v>1015</v>
      </c>
    </row>
    <row r="843" spans="1:7">
      <c r="A843" t="s">
        <v>156</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390</v>
      </c>
      <c r="B847">
        <v>60</v>
      </c>
      <c r="C847">
        <v>219</v>
      </c>
      <c r="G847">
        <v>279</v>
      </c>
    </row>
    <row r="848" spans="1:7">
      <c r="A848" t="s">
        <v>1031</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586</v>
      </c>
      <c r="C851">
        <v>974</v>
      </c>
      <c r="D851">
        <v>1312</v>
      </c>
      <c r="E851">
        <v>359</v>
      </c>
      <c r="G851">
        <v>2645</v>
      </c>
    </row>
    <row r="852" spans="1:7">
      <c r="A852" t="s">
        <v>1017</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77</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586</v>
      </c>
      <c r="C868">
        <v>230</v>
      </c>
      <c r="G868">
        <v>230</v>
      </c>
    </row>
    <row r="869" spans="1:7">
      <c r="A869" t="s">
        <v>1017</v>
      </c>
      <c r="B869">
        <v>853</v>
      </c>
      <c r="G869">
        <v>853</v>
      </c>
    </row>
    <row r="870" spans="1:7">
      <c r="A870" t="s">
        <v>400</v>
      </c>
      <c r="B870">
        <v>1186</v>
      </c>
      <c r="C870">
        <v>1564</v>
      </c>
      <c r="D870">
        <v>1012</v>
      </c>
      <c r="E870">
        <v>588</v>
      </c>
      <c r="G870">
        <v>4350</v>
      </c>
    </row>
    <row r="871" spans="1:7">
      <c r="A871" t="s">
        <v>1019</v>
      </c>
      <c r="C871">
        <v>1007</v>
      </c>
      <c r="D871">
        <v>1672</v>
      </c>
      <c r="E871">
        <v>1544</v>
      </c>
      <c r="G871">
        <v>4223</v>
      </c>
    </row>
    <row r="872" spans="1:7">
      <c r="A872" t="s">
        <v>592</v>
      </c>
      <c r="C872">
        <v>1182</v>
      </c>
      <c r="D872">
        <v>1604</v>
      </c>
      <c r="E872">
        <v>1268</v>
      </c>
      <c r="G872">
        <v>4054</v>
      </c>
    </row>
    <row r="873" spans="1:7">
      <c r="A873" t="s">
        <v>978</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265</v>
      </c>
    </row>
    <row r="885" spans="1:7">
      <c r="A885" t="s">
        <v>384</v>
      </c>
    </row>
    <row r="886" spans="1:7">
      <c r="A886" t="s">
        <v>77</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1019</v>
      </c>
      <c r="B892">
        <v>587</v>
      </c>
      <c r="C892">
        <v>115</v>
      </c>
      <c r="G892">
        <v>702</v>
      </c>
    </row>
    <row r="893" spans="1:7">
      <c r="A893" t="s">
        <v>584</v>
      </c>
      <c r="C893">
        <v>1509</v>
      </c>
      <c r="D893">
        <v>1087</v>
      </c>
      <c r="E893">
        <v>777</v>
      </c>
      <c r="G893">
        <v>3373</v>
      </c>
    </row>
    <row r="894" spans="1:7">
      <c r="A894" t="s">
        <v>592</v>
      </c>
      <c r="B894">
        <v>1310</v>
      </c>
      <c r="G894">
        <v>1310</v>
      </c>
    </row>
    <row r="895" spans="1:7">
      <c r="A895" t="s">
        <v>978</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393</v>
      </c>
      <c r="D899">
        <v>3179</v>
      </c>
      <c r="G899">
        <v>3179</v>
      </c>
    </row>
    <row r="900" spans="1:7">
      <c r="A900" t="s">
        <v>617</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384</v>
      </c>
    </row>
    <row r="911" spans="1:7">
      <c r="A911" t="s">
        <v>407</v>
      </c>
      <c r="F911">
        <v>569</v>
      </c>
      <c r="G911">
        <v>569</v>
      </c>
    </row>
    <row r="912" spans="1:7">
      <c r="A912" t="s">
        <v>645</v>
      </c>
    </row>
    <row r="913" spans="1:7">
      <c r="A913" t="s">
        <v>390</v>
      </c>
      <c r="D913">
        <v>150</v>
      </c>
      <c r="G913">
        <v>150</v>
      </c>
    </row>
    <row r="914" spans="1:7">
      <c r="A914" t="s">
        <v>400</v>
      </c>
    </row>
    <row r="915" spans="1:7">
      <c r="A915" t="s">
        <v>592</v>
      </c>
      <c r="B915">
        <v>701</v>
      </c>
      <c r="G915">
        <v>701</v>
      </c>
    </row>
    <row r="916" spans="1:7">
      <c r="A916" t="s">
        <v>978</v>
      </c>
      <c r="B916">
        <v>463</v>
      </c>
      <c r="C916">
        <v>633</v>
      </c>
      <c r="D916">
        <v>625</v>
      </c>
      <c r="G916">
        <v>1721</v>
      </c>
    </row>
    <row r="917" spans="1:7">
      <c r="A917" t="s">
        <v>398</v>
      </c>
    </row>
    <row r="918" spans="1:7">
      <c r="A918" t="s">
        <v>393</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411</v>
      </c>
      <c r="B924">
        <v>207</v>
      </c>
      <c r="G924">
        <v>207</v>
      </c>
    </row>
    <row r="925" spans="1:7">
      <c r="A925" t="s">
        <v>649</v>
      </c>
      <c r="C925">
        <v>1691</v>
      </c>
      <c r="D925">
        <v>1998</v>
      </c>
      <c r="E925">
        <v>760</v>
      </c>
      <c r="F925">
        <v>3975</v>
      </c>
      <c r="G925">
        <v>8424</v>
      </c>
    </row>
    <row r="926" spans="1:7">
      <c r="A926" t="s">
        <v>620</v>
      </c>
      <c r="D926">
        <v>1031</v>
      </c>
      <c r="G926">
        <v>1031</v>
      </c>
    </row>
    <row r="927" spans="1:7">
      <c r="A927" t="s">
        <v>409</v>
      </c>
      <c r="E927">
        <v>1063</v>
      </c>
      <c r="F927">
        <v>1263</v>
      </c>
      <c r="G927">
        <v>2326</v>
      </c>
    </row>
    <row r="928" spans="1:7">
      <c r="A928" t="s">
        <v>647</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645</v>
      </c>
      <c r="B940">
        <v>560</v>
      </c>
      <c r="G940">
        <v>560</v>
      </c>
    </row>
    <row r="941" spans="1:7">
      <c r="A941" t="s">
        <v>400</v>
      </c>
    </row>
    <row r="942" spans="1:7">
      <c r="A942" t="s">
        <v>592</v>
      </c>
      <c r="B942">
        <v>138</v>
      </c>
      <c r="G942">
        <v>138</v>
      </c>
    </row>
    <row r="943" spans="1:7">
      <c r="A943" t="s">
        <v>398</v>
      </c>
    </row>
    <row r="944" spans="1:7">
      <c r="A944" t="s">
        <v>393</v>
      </c>
      <c r="B944">
        <v>96</v>
      </c>
      <c r="G944">
        <v>96</v>
      </c>
    </row>
    <row r="945" spans="1:7">
      <c r="A945" t="s">
        <v>617</v>
      </c>
      <c r="B945">
        <v>632</v>
      </c>
      <c r="G945">
        <v>632</v>
      </c>
    </row>
    <row r="946" spans="1:7">
      <c r="A946" t="s">
        <v>442</v>
      </c>
      <c r="B946">
        <v>558</v>
      </c>
      <c r="G946">
        <v>558</v>
      </c>
    </row>
    <row r="947" spans="1:7">
      <c r="A947" t="s">
        <v>229</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588</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229</v>
      </c>
      <c r="B973">
        <v>420</v>
      </c>
      <c r="G973">
        <v>420</v>
      </c>
    </row>
    <row r="974" spans="1:7">
      <c r="A974" t="s">
        <v>620</v>
      </c>
    </row>
    <row r="975" spans="1:7">
      <c r="A975" t="s">
        <v>395</v>
      </c>
      <c r="C975">
        <v>1917</v>
      </c>
      <c r="E975">
        <v>272</v>
      </c>
      <c r="G975">
        <v>2189</v>
      </c>
    </row>
    <row r="976" spans="1:7">
      <c r="A976" t="s">
        <v>588</v>
      </c>
      <c r="B976">
        <v>956</v>
      </c>
      <c r="G976">
        <v>956</v>
      </c>
    </row>
    <row r="977" spans="1:7">
      <c r="A977" t="s">
        <v>211</v>
      </c>
      <c r="E977">
        <v>195</v>
      </c>
      <c r="G977">
        <v>195</v>
      </c>
    </row>
    <row r="978" spans="1:7">
      <c r="A978" t="s">
        <v>424</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516</v>
      </c>
      <c r="C1005">
        <v>68</v>
      </c>
      <c r="G1005">
        <v>68</v>
      </c>
    </row>
    <row r="1006" spans="1:7">
      <c r="A1006" t="s">
        <v>1136</v>
      </c>
    </row>
    <row r="1007" spans="1:7">
      <c r="A1007" t="s">
        <v>387</v>
      </c>
    </row>
    <row r="1008" spans="1:7">
      <c r="A1008" t="s">
        <v>978</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433</v>
      </c>
      <c r="B1022">
        <v>572</v>
      </c>
      <c r="G1022">
        <v>572</v>
      </c>
    </row>
    <row r="1023" spans="1:7">
      <c r="A1023" t="s">
        <v>1154</v>
      </c>
      <c r="B1023">
        <v>1718</v>
      </c>
      <c r="C1023">
        <v>2478</v>
      </c>
      <c r="D1023">
        <v>1567</v>
      </c>
      <c r="G1023">
        <v>5763</v>
      </c>
    </row>
    <row r="1024" spans="1:7">
      <c r="A1024" t="s">
        <v>481</v>
      </c>
      <c r="C1024">
        <v>3411</v>
      </c>
      <c r="G1024">
        <v>3411</v>
      </c>
    </row>
    <row r="1025" spans="1:7">
      <c r="A1025" t="s">
        <v>201</v>
      </c>
      <c r="B1025">
        <v>82</v>
      </c>
      <c r="G1025">
        <v>82</v>
      </c>
    </row>
    <row r="1026" spans="1:7">
      <c r="A1026" t="s">
        <v>484</v>
      </c>
      <c r="C1026">
        <v>3311</v>
      </c>
      <c r="G1026">
        <v>3311</v>
      </c>
    </row>
    <row r="1027" spans="1:7">
      <c r="A1027" t="s">
        <v>455</v>
      </c>
    </row>
    <row r="1028" spans="1:7">
      <c r="A1028" t="s">
        <v>427</v>
      </c>
      <c r="C1028">
        <v>2568</v>
      </c>
      <c r="G1028">
        <v>2568</v>
      </c>
    </row>
    <row r="1029" spans="1:7">
      <c r="A1029" t="s">
        <v>609</v>
      </c>
      <c r="B1029">
        <v>286</v>
      </c>
      <c r="C1029">
        <v>357</v>
      </c>
      <c r="D1029">
        <v>331</v>
      </c>
      <c r="G1029">
        <v>974</v>
      </c>
    </row>
    <row r="1030" spans="1:7">
      <c r="A1030" t="s">
        <v>421</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317</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436</v>
      </c>
      <c r="E1070">
        <v>1431</v>
      </c>
      <c r="G1070">
        <v>1431</v>
      </c>
    </row>
    <row r="1071" spans="1:7">
      <c r="A1071" t="s">
        <v>575</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427</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436</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415</v>
      </c>
      <c r="C1096">
        <v>1640</v>
      </c>
      <c r="D1096">
        <v>1177</v>
      </c>
      <c r="G1096">
        <v>2817</v>
      </c>
    </row>
    <row r="1097" spans="1:7">
      <c r="A1097" t="s">
        <v>490</v>
      </c>
      <c r="C1097">
        <v>1980</v>
      </c>
      <c r="D1097">
        <v>1251</v>
      </c>
      <c r="E1097">
        <v>3172</v>
      </c>
      <c r="G1097">
        <v>6403</v>
      </c>
    </row>
    <row r="1098" spans="1:7">
      <c r="A1098" t="s">
        <v>325</v>
      </c>
      <c r="C1098">
        <v>1111</v>
      </c>
      <c r="D1098">
        <v>1373</v>
      </c>
      <c r="E1098">
        <v>1090</v>
      </c>
      <c r="F1098">
        <v>1204</v>
      </c>
      <c r="G1098">
        <v>4778</v>
      </c>
    </row>
    <row r="1099" spans="1:7">
      <c r="A1099" t="s">
        <v>566</v>
      </c>
      <c r="C1099">
        <v>1500</v>
      </c>
      <c r="D1099">
        <v>1084</v>
      </c>
      <c r="G1099">
        <v>2584</v>
      </c>
    </row>
    <row r="1100" spans="1:7">
      <c r="A1100" t="s">
        <v>418</v>
      </c>
      <c r="D1100">
        <v>817</v>
      </c>
      <c r="E1100">
        <v>1820</v>
      </c>
      <c r="G1100">
        <v>2637</v>
      </c>
    </row>
    <row r="1101" spans="1:7">
      <c r="A1101" t="s">
        <v>560</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325</v>
      </c>
      <c r="F1123">
        <v>1235</v>
      </c>
      <c r="G1123">
        <v>1235</v>
      </c>
    </row>
    <row r="1124" spans="1:7">
      <c r="A1124" t="s">
        <v>566</v>
      </c>
    </row>
    <row r="1125" spans="1:7">
      <c r="A1125" t="s">
        <v>560</v>
      </c>
      <c r="B1125">
        <v>689</v>
      </c>
      <c r="C1125">
        <v>586</v>
      </c>
      <c r="D1125">
        <v>199</v>
      </c>
      <c r="G1125">
        <v>1474</v>
      </c>
    </row>
    <row r="1126" spans="1:7">
      <c r="A1126" t="s">
        <v>299</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493</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322</v>
      </c>
      <c r="B1145">
        <v>551</v>
      </c>
      <c r="G1145">
        <v>551</v>
      </c>
    </row>
    <row r="1146" spans="1:7">
      <c r="A1146" t="s">
        <v>1159</v>
      </c>
    </row>
    <row r="1147" spans="1:7">
      <c r="A1147" t="s">
        <v>299</v>
      </c>
      <c r="B1147">
        <v>154</v>
      </c>
      <c r="G1147">
        <v>154</v>
      </c>
    </row>
    <row r="1148" spans="1:7">
      <c r="A1148" t="s">
        <v>572</v>
      </c>
      <c r="B1148">
        <v>342</v>
      </c>
      <c r="G1148">
        <v>342</v>
      </c>
    </row>
    <row r="1149" spans="1:7">
      <c r="A1149" t="s">
        <v>493</v>
      </c>
    </row>
    <row r="1150" spans="1:7">
      <c r="A1150" t="s">
        <v>334</v>
      </c>
      <c r="B1150">
        <v>3523</v>
      </c>
      <c r="C1150">
        <v>2384</v>
      </c>
      <c r="G1150">
        <v>5907</v>
      </c>
    </row>
    <row r="1151" spans="1:7">
      <c r="A1151" t="s">
        <v>328</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471</v>
      </c>
    </row>
    <row r="1162" spans="1:7">
      <c r="A1162" t="s">
        <v>463</v>
      </c>
    </row>
    <row r="1163" spans="1:7">
      <c r="A1163" t="s">
        <v>465</v>
      </c>
    </row>
    <row r="1164" spans="1:7">
      <c r="A1164" t="s">
        <v>468</v>
      </c>
    </row>
    <row r="1165" spans="1:7">
      <c r="A1165" t="s">
        <v>436</v>
      </c>
    </row>
    <row r="1166" spans="1:7">
      <c r="A1166" t="s">
        <v>322</v>
      </c>
      <c r="B1166">
        <v>738</v>
      </c>
      <c r="C1166">
        <v>466</v>
      </c>
      <c r="G1166">
        <v>1204</v>
      </c>
    </row>
    <row r="1167" spans="1:7">
      <c r="A1167" t="s">
        <v>499</v>
      </c>
    </row>
    <row r="1168" spans="1:7">
      <c r="A1168" t="s">
        <v>299</v>
      </c>
      <c r="D1168">
        <v>173</v>
      </c>
      <c r="G1168">
        <v>173</v>
      </c>
    </row>
    <row r="1169" spans="1:7">
      <c r="A1169" t="s">
        <v>328</v>
      </c>
      <c r="B1169">
        <v>1297</v>
      </c>
      <c r="G1169">
        <v>1297</v>
      </c>
    </row>
    <row r="1170" spans="1:7">
      <c r="A1170" t="s">
        <v>612</v>
      </c>
      <c r="B1170">
        <v>100</v>
      </c>
      <c r="G1170">
        <v>100</v>
      </c>
    </row>
    <row r="1171" spans="1:7">
      <c r="A1171" t="s">
        <v>331</v>
      </c>
      <c r="B1171">
        <v>2583</v>
      </c>
      <c r="C1171">
        <v>3099</v>
      </c>
      <c r="G1171">
        <v>5682</v>
      </c>
    </row>
    <row r="1172" spans="1:7">
      <c r="A1172" t="s">
        <v>603</v>
      </c>
      <c r="B1172">
        <v>1188</v>
      </c>
      <c r="G1172">
        <v>1188</v>
      </c>
    </row>
    <row r="1173" spans="1:7">
      <c r="A1173" t="s">
        <v>606</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row>
    <row r="1180" spans="1:7">
      <c r="A1180" t="s">
        <v>1128</v>
      </c>
      <c r="B1180">
        <v>248</v>
      </c>
      <c r="G1180">
        <v>248</v>
      </c>
    </row>
    <row r="1181" spans="1:7">
      <c r="A1181" t="s">
        <v>1163</v>
      </c>
      <c r="B1181">
        <v>1353</v>
      </c>
      <c r="G1181">
        <v>1353</v>
      </c>
    </row>
    <row r="1182" spans="1:7">
      <c r="A1182" t="s">
        <v>269</v>
      </c>
      <c r="B1182">
        <v>1105</v>
      </c>
      <c r="G1182">
        <v>1105</v>
      </c>
    </row>
    <row r="1183" spans="1:7">
      <c r="A1183" t="s">
        <v>1084</v>
      </c>
      <c r="B1183">
        <v>2706</v>
      </c>
      <c r="G1183">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row>
    <row r="1189" spans="1:6">
      <c r="A1189"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tabSelected="1" workbookViewId="0">
      <pane ySplit="1" topLeftCell="A2482" activePane="bottomLeft" state="frozen"/>
      <selection pane="bottomLeft" activeCell="E2501" sqref="E250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129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129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129</v>
      </c>
      <c r="C18" s="152">
        <v>45702</v>
      </c>
      <c r="D18" s="143">
        <v>23</v>
      </c>
      <c r="E18" s="143"/>
      <c r="F18" s="143"/>
      <c r="G18" t="str">
        <f t="shared" si="0"/>
        <v>February</v>
      </c>
    </row>
    <row r="19" spans="1:7" ht="15.75">
      <c r="A19" s="117" t="s">
        <v>835</v>
      </c>
      <c r="B19" s="243" t="s">
        <v>141</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129</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141</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129</v>
      </c>
      <c r="C48" s="153">
        <v>45709</v>
      </c>
      <c r="D48" s="117">
        <v>823</v>
      </c>
      <c r="E48" s="117"/>
      <c r="F48" s="118" t="s">
        <v>1175</v>
      </c>
      <c r="G48" t="str">
        <f t="shared" si="0"/>
        <v>February</v>
      </c>
    </row>
    <row r="49" spans="1:7">
      <c r="A49" s="117" t="s">
        <v>835</v>
      </c>
      <c r="B49" s="243" t="s">
        <v>141</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129</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129</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129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129</v>
      </c>
      <c r="C71" s="153">
        <v>45713</v>
      </c>
      <c r="D71" s="117"/>
      <c r="E71" s="117"/>
      <c r="F71" s="118"/>
      <c r="G71" t="str">
        <f t="shared" si="1"/>
        <v>February</v>
      </c>
    </row>
    <row r="72" spans="1:7">
      <c r="A72" s="117" t="s">
        <v>835</v>
      </c>
      <c r="B72" s="243" t="s">
        <v>141</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129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129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129</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129</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129</v>
      </c>
      <c r="C96" s="153">
        <v>45714</v>
      </c>
      <c r="D96" s="117"/>
      <c r="E96" s="117"/>
      <c r="F96" s="118"/>
      <c r="G96" t="str">
        <f t="shared" si="1"/>
        <v>February</v>
      </c>
    </row>
    <row r="97" spans="1:7">
      <c r="A97" s="117" t="s">
        <v>835</v>
      </c>
      <c r="B97" s="243" t="s">
        <v>141</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129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129</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129</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129</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129</v>
      </c>
      <c r="C127" s="122">
        <v>45715</v>
      </c>
      <c r="D127" s="118">
        <v>1422</v>
      </c>
      <c r="E127" s="118"/>
      <c r="F127" s="134" t="s">
        <v>1183</v>
      </c>
      <c r="G127" t="str">
        <f t="shared" si="1"/>
        <v>February</v>
      </c>
    </row>
    <row r="128" spans="1:7">
      <c r="A128" s="117" t="s">
        <v>835</v>
      </c>
      <c r="B128" s="243" t="s">
        <v>141</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129</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129</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129</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129</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129</v>
      </c>
      <c r="C158" s="122">
        <v>45716</v>
      </c>
      <c r="D158" s="123">
        <v>946</v>
      </c>
      <c r="E158" s="123"/>
      <c r="F158" s="109" t="s">
        <v>1175</v>
      </c>
      <c r="G158" t="str">
        <f t="shared" si="2"/>
        <v>February</v>
      </c>
    </row>
    <row r="159" spans="1:7">
      <c r="A159" s="117" t="s">
        <v>835</v>
      </c>
      <c r="B159" s="243" t="s">
        <v>141</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129</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129</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129</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129</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129</v>
      </c>
      <c r="C189" s="122">
        <v>45719</v>
      </c>
      <c r="D189" s="123" t="s">
        <v>1194</v>
      </c>
      <c r="E189" s="123"/>
      <c r="F189" s="118"/>
      <c r="G189" t="str">
        <f t="shared" si="2"/>
        <v>March</v>
      </c>
    </row>
    <row r="190" spans="1:7">
      <c r="A190" s="117" t="s">
        <v>835</v>
      </c>
      <c r="B190" s="243" t="s">
        <v>141</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129</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129</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129</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141</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129</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129</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129</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129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129</v>
      </c>
      <c r="C238" s="122">
        <v>45721</v>
      </c>
      <c r="D238" s="123">
        <v>0</v>
      </c>
      <c r="E238" s="123"/>
      <c r="F238" s="118"/>
      <c r="G238" t="str">
        <f t="shared" si="3"/>
        <v>March</v>
      </c>
    </row>
    <row r="239" spans="1:7">
      <c r="A239" s="117" t="s">
        <v>835</v>
      </c>
      <c r="B239" s="243" t="s">
        <v>141</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129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129</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129</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129</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129</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129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129</v>
      </c>
      <c r="C275" s="122">
        <v>45722</v>
      </c>
      <c r="D275" s="134">
        <v>0</v>
      </c>
      <c r="E275" s="134"/>
      <c r="F275" s="118"/>
      <c r="G275" t="str">
        <f t="shared" si="4"/>
        <v>March</v>
      </c>
    </row>
    <row r="276" spans="1:7">
      <c r="A276" s="117" t="s">
        <v>835</v>
      </c>
      <c r="B276" s="243" t="s">
        <v>141</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129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129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129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129</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129</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129</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129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129</v>
      </c>
      <c r="C315" s="56">
        <v>45723</v>
      </c>
      <c r="D315" s="134">
        <v>0</v>
      </c>
      <c r="E315" s="134"/>
      <c r="G315" t="str">
        <f t="shared" si="4"/>
        <v>March</v>
      </c>
    </row>
    <row r="316" spans="1:7">
      <c r="A316" s="117" t="s">
        <v>835</v>
      </c>
      <c r="B316" s="243" t="s">
        <v>141</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129</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129</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129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129</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129</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129</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129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129</v>
      </c>
      <c r="C356" s="56">
        <v>45726</v>
      </c>
      <c r="D356" s="134">
        <v>0</v>
      </c>
      <c r="E356" s="134"/>
      <c r="G356" t="str">
        <f t="shared" si="5"/>
        <v>March</v>
      </c>
    </row>
    <row r="357" spans="1:7">
      <c r="A357" s="117" t="s">
        <v>835</v>
      </c>
      <c r="B357" s="243" t="s">
        <v>141</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129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129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129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129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129</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129</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129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129</v>
      </c>
      <c r="C397" s="56">
        <v>45727</v>
      </c>
      <c r="D397" s="123">
        <v>0</v>
      </c>
      <c r="E397" s="123"/>
      <c r="G397" t="str">
        <f t="shared" si="6"/>
        <v>March</v>
      </c>
    </row>
    <row r="398" spans="1:7">
      <c r="A398" s="117" t="s">
        <v>835</v>
      </c>
      <c r="B398" s="243" t="s">
        <v>141</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129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129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129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129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129</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129</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129</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129</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129</v>
      </c>
      <c r="C443" s="56">
        <v>45728</v>
      </c>
      <c r="D443" s="123" t="s">
        <v>1194</v>
      </c>
      <c r="E443" s="123"/>
      <c r="G443" t="str">
        <f t="shared" si="6"/>
        <v>March</v>
      </c>
    </row>
    <row r="444" spans="1:7">
      <c r="A444" s="117" t="s">
        <v>835</v>
      </c>
      <c r="B444" s="243" t="s">
        <v>141</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129</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129</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129</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129</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129</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129</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141</v>
      </c>
      <c r="C478" s="56">
        <v>45728</v>
      </c>
      <c r="D478" s="150">
        <v>1246</v>
      </c>
      <c r="E478" s="150"/>
      <c r="F478" s="109" t="s">
        <v>1230</v>
      </c>
      <c r="G478" t="str">
        <f t="shared" si="7"/>
        <v>March</v>
      </c>
    </row>
    <row r="479" spans="1:7" ht="15.75">
      <c r="A479" s="118" t="s">
        <v>708</v>
      </c>
      <c r="B479" s="242" t="s">
        <v>129</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129</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129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129</v>
      </c>
      <c r="C493" s="56">
        <v>45729</v>
      </c>
      <c r="D493" s="123"/>
      <c r="E493" s="123"/>
      <c r="G493" t="str">
        <f t="shared" si="7"/>
        <v>March</v>
      </c>
    </row>
    <row r="494" spans="1:7">
      <c r="A494" s="117" t="s">
        <v>835</v>
      </c>
      <c r="B494" s="243" t="s">
        <v>141</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129</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129</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129</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129</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129</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129</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141</v>
      </c>
      <c r="C528" s="56">
        <v>45729</v>
      </c>
      <c r="D528" s="123">
        <v>664</v>
      </c>
      <c r="E528" s="123"/>
      <c r="F528" s="43" t="s">
        <v>1192</v>
      </c>
      <c r="G528" t="str">
        <f t="shared" si="8"/>
        <v>March</v>
      </c>
    </row>
    <row r="529" spans="1:7" ht="15.75">
      <c r="A529" s="118" t="s">
        <v>708</v>
      </c>
      <c r="B529" s="242" t="s">
        <v>129</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129</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129</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129</v>
      </c>
      <c r="C544" s="56">
        <v>45730</v>
      </c>
      <c r="D544" s="123"/>
      <c r="E544" s="123"/>
      <c r="F544" s="123" t="s">
        <v>1194</v>
      </c>
      <c r="G544" t="str">
        <f t="shared" si="8"/>
        <v>March</v>
      </c>
    </row>
    <row r="545" spans="1:7">
      <c r="A545" s="117" t="s">
        <v>835</v>
      </c>
      <c r="B545" s="243" t="s">
        <v>141</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129</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129</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129</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129</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129</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129</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141</v>
      </c>
      <c r="C579" s="56">
        <v>45730</v>
      </c>
      <c r="D579" s="123">
        <v>834</v>
      </c>
      <c r="E579" s="123"/>
      <c r="F579" s="109" t="s">
        <v>1245</v>
      </c>
      <c r="G579" t="str">
        <f t="shared" ref="G579:G642" si="9">TEXT(C579,"mmmm")</f>
        <v>March</v>
      </c>
    </row>
    <row r="580" spans="1:7" ht="15.75">
      <c r="A580" s="118" t="s">
        <v>708</v>
      </c>
      <c r="B580" s="242" t="s">
        <v>129</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129</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129</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129</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129</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129</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141</v>
      </c>
      <c r="C612" s="56">
        <v>45733</v>
      </c>
      <c r="D612" s="43">
        <v>1095</v>
      </c>
      <c r="E612" s="43"/>
      <c r="F612" s="123" t="s">
        <v>1249</v>
      </c>
      <c r="G612" t="str">
        <f t="shared" si="9"/>
        <v>March</v>
      </c>
    </row>
    <row r="613" spans="1:7" ht="15.75">
      <c r="A613" s="118" t="s">
        <v>708</v>
      </c>
      <c r="B613" s="242" t="s">
        <v>129</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129</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129</v>
      </c>
      <c r="C621" s="56">
        <v>45734</v>
      </c>
      <c r="E621" s="43"/>
      <c r="F621" s="134" t="s">
        <v>1252</v>
      </c>
      <c r="G621" t="str">
        <f t="shared" si="9"/>
        <v>March</v>
      </c>
    </row>
    <row r="622" spans="1:7" ht="15.75">
      <c r="A622" s="118" t="s">
        <v>946</v>
      </c>
      <c r="B622" s="242" t="s">
        <v>129</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141</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141</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141</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141</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141</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141</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129</v>
      </c>
      <c r="C677" s="56">
        <v>45740</v>
      </c>
      <c r="D677" s="142">
        <v>1430</v>
      </c>
      <c r="E677" s="109" t="s">
        <v>1173</v>
      </c>
      <c r="F677" s="109" t="s">
        <v>1282</v>
      </c>
      <c r="G677" t="str">
        <f t="shared" si="10"/>
        <v>March</v>
      </c>
    </row>
    <row r="678" spans="1:7" ht="15.75">
      <c r="A678" s="141" t="s">
        <v>819</v>
      </c>
      <c r="B678" s="242" t="s">
        <v>129</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141</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129</v>
      </c>
      <c r="C690" s="56">
        <v>45741</v>
      </c>
      <c r="D690" s="142">
        <v>1383</v>
      </c>
      <c r="E690" s="109" t="s">
        <v>1290</v>
      </c>
      <c r="F690" s="109" t="s">
        <v>1291</v>
      </c>
      <c r="G690" t="str">
        <f t="shared" si="10"/>
        <v>March</v>
      </c>
    </row>
    <row r="691" spans="1:7" ht="15.75">
      <c r="A691" s="141" t="s">
        <v>819</v>
      </c>
      <c r="B691" s="242" t="s">
        <v>129</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129</v>
      </c>
      <c r="C706" s="56">
        <v>45741</v>
      </c>
      <c r="D706" s="155">
        <v>1740</v>
      </c>
      <c r="E706" s="43"/>
      <c r="G706" t="str">
        <f t="shared" si="10"/>
        <v>March</v>
      </c>
    </row>
    <row r="707" spans="1:7">
      <c r="A707" s="134" t="s">
        <v>401</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129</v>
      </c>
      <c r="C713" s="56">
        <v>45742</v>
      </c>
      <c r="D713" s="209">
        <v>1334</v>
      </c>
      <c r="E713" s="109" t="s">
        <v>1212</v>
      </c>
      <c r="F713" s="109" t="s">
        <v>1173</v>
      </c>
      <c r="G713" t="str">
        <f t="shared" si="11"/>
        <v>March</v>
      </c>
    </row>
    <row r="714" spans="1:7" ht="15.75">
      <c r="A714" s="141" t="s">
        <v>819</v>
      </c>
      <c r="B714" s="242" t="s">
        <v>129</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129</v>
      </c>
      <c r="C725" s="56">
        <v>45742</v>
      </c>
      <c r="D725" s="209">
        <v>2934</v>
      </c>
      <c r="E725" s="43"/>
      <c r="F725" s="109" t="s">
        <v>1305</v>
      </c>
      <c r="G725" t="str">
        <f t="shared" si="11"/>
        <v>March</v>
      </c>
    </row>
    <row r="726" spans="1:7">
      <c r="A726" s="134" t="s">
        <v>401</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129</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129</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129</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129</v>
      </c>
      <c r="C758" s="56">
        <v>45744</v>
      </c>
      <c r="D758" s="210"/>
      <c r="E758" s="43"/>
      <c r="F758" s="210" t="s">
        <v>1315</v>
      </c>
      <c r="G758" t="str">
        <f t="shared" si="11"/>
        <v>March</v>
      </c>
    </row>
    <row r="759" spans="1:13">
      <c r="A759" s="134" t="s">
        <v>401</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129</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129</v>
      </c>
      <c r="C775" s="56">
        <v>45747</v>
      </c>
      <c r="D775" s="141">
        <v>418</v>
      </c>
      <c r="E775" s="43"/>
      <c r="G775" t="str">
        <f t="shared" si="12"/>
        <v>March</v>
      </c>
      <c r="H775" s="254"/>
      <c r="I775" s="254"/>
      <c r="J775" s="254"/>
      <c r="K775" s="164"/>
    </row>
    <row r="776" spans="1:11">
      <c r="A776" s="134" t="s">
        <v>401</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129</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129</v>
      </c>
      <c r="C789" s="56">
        <v>45748</v>
      </c>
      <c r="D789" s="141" t="s">
        <v>1332</v>
      </c>
      <c r="E789" s="43"/>
      <c r="G789" t="str">
        <f t="shared" si="12"/>
        <v>April</v>
      </c>
      <c r="H789" s="164"/>
      <c r="I789" s="164"/>
      <c r="J789" s="164"/>
      <c r="K789" s="164"/>
    </row>
    <row r="790" spans="1:11" ht="15.75">
      <c r="A790" s="141" t="s">
        <v>664</v>
      </c>
      <c r="B790" s="242" t="s">
        <v>129</v>
      </c>
      <c r="C790" s="56">
        <v>45748</v>
      </c>
      <c r="D790" s="141"/>
      <c r="E790" s="43"/>
      <c r="F790" s="141" t="s">
        <v>1333</v>
      </c>
      <c r="G790" t="str">
        <f t="shared" si="12"/>
        <v>April</v>
      </c>
      <c r="H790" s="164"/>
      <c r="I790" s="164"/>
      <c r="J790" s="164"/>
      <c r="K790" s="164"/>
    </row>
    <row r="791" spans="1:11">
      <c r="A791" s="134" t="s">
        <v>401</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129</v>
      </c>
      <c r="C803" s="56">
        <v>45749</v>
      </c>
      <c r="D803" s="142">
        <v>1394</v>
      </c>
      <c r="E803" s="43"/>
      <c r="F803" s="43" t="s">
        <v>1172</v>
      </c>
      <c r="G803" t="str">
        <f t="shared" si="12"/>
        <v>April</v>
      </c>
    </row>
    <row r="804" spans="1:11" ht="15.75">
      <c r="A804" s="141" t="s">
        <v>664</v>
      </c>
      <c r="B804" s="242" t="s">
        <v>129</v>
      </c>
      <c r="C804" s="56">
        <v>45749</v>
      </c>
      <c r="D804" s="141">
        <v>0</v>
      </c>
      <c r="E804" s="43"/>
      <c r="F804" s="141" t="s">
        <v>1333</v>
      </c>
      <c r="G804" t="str">
        <f t="shared" si="12"/>
        <v>April</v>
      </c>
    </row>
    <row r="805" spans="1:11">
      <c r="A805" s="134" t="s">
        <v>401</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141</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129</v>
      </c>
      <c r="C816" s="56">
        <v>45750</v>
      </c>
      <c r="D816" s="155">
        <v>1334</v>
      </c>
      <c r="E816" s="43"/>
      <c r="F816" s="43" t="s">
        <v>1341</v>
      </c>
      <c r="G816" t="str">
        <f t="shared" si="12"/>
        <v>April</v>
      </c>
    </row>
    <row r="817" spans="1:7" ht="15.75">
      <c r="A817" s="141" t="s">
        <v>710</v>
      </c>
      <c r="B817" s="242" t="s">
        <v>129</v>
      </c>
      <c r="C817" s="56">
        <v>45750</v>
      </c>
      <c r="D817" s="155">
        <v>1970</v>
      </c>
      <c r="E817" s="43"/>
      <c r="F817" s="43" t="s">
        <v>1342</v>
      </c>
      <c r="G817" t="str">
        <f t="shared" si="12"/>
        <v>April</v>
      </c>
    </row>
    <row r="818" spans="1:7" ht="15.75">
      <c r="A818" s="141" t="s">
        <v>664</v>
      </c>
      <c r="B818" s="242" t="s">
        <v>129</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141</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129</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129</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129</v>
      </c>
      <c r="C845" s="56">
        <v>45754</v>
      </c>
      <c r="D845" s="43">
        <v>618</v>
      </c>
      <c r="E845" s="43"/>
      <c r="F845" s="43" t="s">
        <v>1353</v>
      </c>
      <c r="G845" t="str">
        <f t="shared" si="13"/>
        <v>April</v>
      </c>
    </row>
    <row r="846" spans="1:7" ht="15.75">
      <c r="A846" s="141" t="s">
        <v>712</v>
      </c>
      <c r="B846" s="242" t="s">
        <v>129</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129</v>
      </c>
      <c r="C851" s="56">
        <v>45755</v>
      </c>
      <c r="D851" s="43">
        <v>700</v>
      </c>
      <c r="E851" s="43"/>
      <c r="F851" s="43" t="s">
        <v>1177</v>
      </c>
      <c r="G851" t="str">
        <f t="shared" si="13"/>
        <v>April</v>
      </c>
    </row>
    <row r="852" spans="1:7" ht="15.75">
      <c r="A852" s="141" t="s">
        <v>712</v>
      </c>
      <c r="B852" s="242" t="s">
        <v>129</v>
      </c>
      <c r="C852" s="56">
        <v>45755</v>
      </c>
      <c r="D852" s="155">
        <v>1520</v>
      </c>
      <c r="E852" s="43"/>
      <c r="F852" s="43" t="s">
        <v>1258</v>
      </c>
      <c r="G852" t="str">
        <f t="shared" si="13"/>
        <v>April</v>
      </c>
    </row>
    <row r="853" spans="1:7" ht="15.75">
      <c r="A853" s="141" t="s">
        <v>764</v>
      </c>
      <c r="B853" s="242" t="s">
        <v>129</v>
      </c>
      <c r="C853" s="56">
        <v>45755</v>
      </c>
      <c r="D853" s="43">
        <v>150</v>
      </c>
      <c r="E853" s="43"/>
      <c r="G853" t="str">
        <f t="shared" si="13"/>
        <v>April</v>
      </c>
    </row>
    <row r="854" spans="1:7" ht="15.75">
      <c r="A854" s="141" t="s">
        <v>664</v>
      </c>
      <c r="B854" s="242" t="s">
        <v>129</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129</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129</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141</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129</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141</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129</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129</v>
      </c>
      <c r="C890" s="56">
        <v>45761</v>
      </c>
      <c r="D890" s="155">
        <v>1335</v>
      </c>
      <c r="E890" s="43"/>
      <c r="F890" s="43" t="s">
        <v>1172</v>
      </c>
      <c r="G890" t="str">
        <f t="shared" si="13"/>
        <v>April</v>
      </c>
    </row>
    <row r="891" spans="1:7" ht="15.75">
      <c r="A891" s="141" t="s">
        <v>900</v>
      </c>
      <c r="B891" s="242" t="s">
        <v>129</v>
      </c>
      <c r="C891" s="56">
        <v>45761</v>
      </c>
      <c r="E891" s="43"/>
      <c r="G891" t="str">
        <f t="shared" si="13"/>
        <v>April</v>
      </c>
    </row>
    <row r="892" spans="1:7">
      <c r="A892" s="141" t="s">
        <v>902</v>
      </c>
      <c r="B892" s="243" t="s">
        <v>141</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129</v>
      </c>
      <c r="C900" s="56">
        <v>45762</v>
      </c>
      <c r="D900" s="155">
        <v>1133</v>
      </c>
      <c r="E900" s="43"/>
      <c r="F900" s="43" t="s">
        <v>1373</v>
      </c>
      <c r="G900" t="str">
        <f t="shared" si="14"/>
        <v>April</v>
      </c>
    </row>
    <row r="901" spans="1:7" ht="15.75">
      <c r="A901" s="141" t="s">
        <v>900</v>
      </c>
      <c r="B901" s="242" t="s">
        <v>129</v>
      </c>
      <c r="C901" s="56">
        <v>45762</v>
      </c>
      <c r="D901" s="155">
        <v>1526</v>
      </c>
      <c r="E901" s="43"/>
      <c r="F901" s="43" t="s">
        <v>1374</v>
      </c>
      <c r="G901" t="str">
        <f t="shared" si="14"/>
        <v>April</v>
      </c>
    </row>
    <row r="902" spans="1:7">
      <c r="A902" s="141" t="s">
        <v>902</v>
      </c>
      <c r="B902" s="243" t="s">
        <v>141</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129</v>
      </c>
      <c r="C914" s="56">
        <v>45763</v>
      </c>
      <c r="D914" s="155">
        <v>1624</v>
      </c>
      <c r="E914" s="43"/>
      <c r="F914" s="43" t="s">
        <v>1381</v>
      </c>
      <c r="G914" t="str">
        <f t="shared" si="14"/>
        <v>April</v>
      </c>
    </row>
    <row r="915" spans="1:7" ht="15.75">
      <c r="A915" s="141" t="s">
        <v>900</v>
      </c>
      <c r="B915" s="242" t="s">
        <v>129</v>
      </c>
      <c r="C915" s="56">
        <v>45763</v>
      </c>
      <c r="D915" s="155">
        <v>1503</v>
      </c>
      <c r="E915" s="43"/>
      <c r="F915" s="43" t="s">
        <v>1382</v>
      </c>
      <c r="G915" t="str">
        <f t="shared" si="14"/>
        <v>April</v>
      </c>
    </row>
    <row r="916" spans="1:7">
      <c r="A916" s="141" t="s">
        <v>902</v>
      </c>
      <c r="B916" s="243" t="s">
        <v>141</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141</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141</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129</v>
      </c>
      <c r="C928" s="56">
        <v>45764</v>
      </c>
      <c r="E928" s="43"/>
      <c r="F928" s="141" t="s">
        <v>1388</v>
      </c>
      <c r="G928" t="str">
        <f t="shared" si="14"/>
        <v>April</v>
      </c>
    </row>
    <row r="929" spans="1:7">
      <c r="A929" s="141" t="s">
        <v>900</v>
      </c>
      <c r="B929" s="141" t="s">
        <v>129</v>
      </c>
      <c r="C929" s="56">
        <v>45764</v>
      </c>
      <c r="D929" s="155">
        <v>1590</v>
      </c>
      <c r="E929" s="43"/>
      <c r="F929" s="43" t="s">
        <v>1183</v>
      </c>
      <c r="G929" t="str">
        <f t="shared" si="14"/>
        <v>April</v>
      </c>
    </row>
    <row r="930" spans="1:7">
      <c r="A930" s="305" t="s">
        <v>902</v>
      </c>
      <c r="B930" s="305" t="s">
        <v>141</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141</v>
      </c>
      <c r="C934" s="310">
        <v>45764</v>
      </c>
      <c r="D934" s="43">
        <v>433</v>
      </c>
      <c r="E934" s="43"/>
      <c r="F934" s="78" t="s">
        <v>1192</v>
      </c>
      <c r="G934" t="str">
        <f t="shared" si="14"/>
        <v>April</v>
      </c>
    </row>
    <row r="935" spans="1:7">
      <c r="A935" s="308" t="s">
        <v>694</v>
      </c>
      <c r="B935" s="141" t="s">
        <v>129</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129</v>
      </c>
      <c r="C940" s="56">
        <v>45765</v>
      </c>
      <c r="D940" s="43">
        <v>350</v>
      </c>
      <c r="E940" s="43"/>
      <c r="F940" s="43" t="s">
        <v>1174</v>
      </c>
      <c r="G940" t="str">
        <f t="shared" si="14"/>
        <v>April</v>
      </c>
    </row>
    <row r="941" spans="1:7">
      <c r="A941" s="141" t="s">
        <v>900</v>
      </c>
      <c r="B941" s="141" t="s">
        <v>129</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129</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129</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141</v>
      </c>
      <c r="C955" s="56">
        <v>45768</v>
      </c>
      <c r="D955" s="155">
        <v>1285</v>
      </c>
      <c r="F955" s="43" t="s">
        <v>1406</v>
      </c>
      <c r="G955" t="str">
        <f t="shared" si="15"/>
        <v>April</v>
      </c>
    </row>
    <row r="956" spans="1:7">
      <c r="A956" s="304" t="s">
        <v>900</v>
      </c>
      <c r="B956" s="305" t="s">
        <v>129</v>
      </c>
      <c r="C956" s="56">
        <v>45768</v>
      </c>
      <c r="F956" s="154" t="s">
        <v>1407</v>
      </c>
      <c r="G956" t="str">
        <f t="shared" si="15"/>
        <v>April</v>
      </c>
    </row>
    <row r="957" spans="1:7">
      <c r="A957" s="304" t="s">
        <v>902</v>
      </c>
      <c r="B957" s="141" t="s">
        <v>141</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141</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141</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129</v>
      </c>
      <c r="C973" s="319">
        <v>45769</v>
      </c>
      <c r="D973" s="43">
        <v>932</v>
      </c>
      <c r="F973" s="43" t="s">
        <v>1175</v>
      </c>
      <c r="G973" t="str">
        <f t="shared" si="15"/>
        <v>April</v>
      </c>
    </row>
    <row r="974" spans="1:7">
      <c r="A974" s="154" t="s">
        <v>796</v>
      </c>
      <c r="B974" s="141" t="s">
        <v>129</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141</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129</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141</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129</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141</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129</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141</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141</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129</v>
      </c>
      <c r="C1029" s="56">
        <v>45776</v>
      </c>
      <c r="D1029" s="155">
        <v>1520</v>
      </c>
      <c r="F1029" s="43" t="s">
        <v>1172</v>
      </c>
      <c r="G1029" t="str">
        <f t="shared" si="16"/>
        <v>April</v>
      </c>
    </row>
    <row r="1030" spans="1:7">
      <c r="A1030" s="311" t="s">
        <v>694</v>
      </c>
      <c r="B1030" s="311" t="s">
        <v>129</v>
      </c>
      <c r="C1030" s="56">
        <v>45776</v>
      </c>
      <c r="D1030" s="43">
        <v>470</v>
      </c>
      <c r="F1030" s="43" t="s">
        <v>1167</v>
      </c>
      <c r="G1030" t="str">
        <f t="shared" si="16"/>
        <v>April</v>
      </c>
    </row>
    <row r="1031" spans="1:7">
      <c r="A1031" s="247" t="s">
        <v>744</v>
      </c>
      <c r="B1031" s="311" t="s">
        <v>129</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141</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129</v>
      </c>
      <c r="C1040" s="56">
        <v>45777</v>
      </c>
      <c r="D1040" s="155">
        <v>1216</v>
      </c>
      <c r="E1040" s="43"/>
      <c r="F1040" s="43" t="s">
        <v>1188</v>
      </c>
      <c r="G1040" t="str">
        <f t="shared" si="16"/>
        <v>April</v>
      </c>
    </row>
    <row r="1041" spans="1:7">
      <c r="A1041" s="141" t="s">
        <v>744</v>
      </c>
      <c r="B1041" s="141" t="s">
        <v>129</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141</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129</v>
      </c>
      <c r="C1051" s="56">
        <v>45778</v>
      </c>
      <c r="D1051" s="155">
        <v>1098</v>
      </c>
      <c r="E1051" s="43"/>
      <c r="F1051" s="43" t="s">
        <v>1466</v>
      </c>
      <c r="G1051" t="str">
        <f t="shared" si="16"/>
        <v>May</v>
      </c>
    </row>
    <row r="1052" spans="1:7">
      <c r="A1052" s="154" t="s">
        <v>744</v>
      </c>
      <c r="B1052" s="141" t="s">
        <v>129</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141</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129</v>
      </c>
      <c r="C1067" s="56">
        <v>45782</v>
      </c>
      <c r="D1067" s="155">
        <v>1053</v>
      </c>
      <c r="F1067" s="43" t="s">
        <v>1476</v>
      </c>
      <c r="G1067" t="str">
        <f t="shared" si="17"/>
        <v>May</v>
      </c>
    </row>
    <row r="1068" spans="1:7">
      <c r="A1068" s="154" t="s">
        <v>746</v>
      </c>
      <c r="B1068" s="318" t="s">
        <v>129</v>
      </c>
      <c r="C1068" s="56">
        <v>45782</v>
      </c>
      <c r="D1068" s="43">
        <v>575</v>
      </c>
      <c r="F1068" s="43" t="s">
        <v>1477</v>
      </c>
      <c r="G1068" t="str">
        <f t="shared" si="17"/>
        <v>May</v>
      </c>
    </row>
    <row r="1069" spans="1:7">
      <c r="A1069" s="345" t="s">
        <v>694</v>
      </c>
      <c r="B1069" s="349" t="s">
        <v>129</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141</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129</v>
      </c>
      <c r="C1078" s="56">
        <v>45783</v>
      </c>
      <c r="D1078" s="43">
        <v>812</v>
      </c>
      <c r="F1078" s="43" t="s">
        <v>1483</v>
      </c>
      <c r="G1078" t="str">
        <f t="shared" si="18"/>
        <v>May</v>
      </c>
    </row>
    <row r="1079" spans="1:7">
      <c r="A1079" s="154" t="s">
        <v>746</v>
      </c>
      <c r="B1079" s="318" t="s">
        <v>129</v>
      </c>
      <c r="C1079" s="56">
        <v>45783</v>
      </c>
      <c r="D1079" s="155">
        <v>1847</v>
      </c>
      <c r="F1079" s="43" t="s">
        <v>1484</v>
      </c>
      <c r="G1079" t="str">
        <f t="shared" si="18"/>
        <v>May</v>
      </c>
    </row>
    <row r="1080" spans="1:7">
      <c r="A1080" s="345" t="s">
        <v>742</v>
      </c>
      <c r="B1080" s="349" t="s">
        <v>129</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129</v>
      </c>
      <c r="C1089" s="56">
        <v>45784</v>
      </c>
      <c r="D1089" s="155">
        <v>1052</v>
      </c>
      <c r="F1089" s="43" t="s">
        <v>1488</v>
      </c>
      <c r="G1089" t="str">
        <f>TEXT(C1089,"mmmm")</f>
        <v>May</v>
      </c>
    </row>
    <row r="1090" spans="1:7">
      <c r="A1090" s="345" t="s">
        <v>742</v>
      </c>
      <c r="B1090" s="349" t="s">
        <v>129</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129</v>
      </c>
      <c r="C1100" s="56">
        <v>45785</v>
      </c>
      <c r="D1100" s="155">
        <v>1483</v>
      </c>
      <c r="F1100" s="43" t="s">
        <v>1494</v>
      </c>
      <c r="G1100" t="str">
        <f t="shared" si="19"/>
        <v>May</v>
      </c>
    </row>
    <row r="1101" spans="1:7">
      <c r="A1101" s="345" t="s">
        <v>746</v>
      </c>
      <c r="B1101" s="304" t="s">
        <v>129</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129</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129</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129</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141</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129</v>
      </c>
      <c r="C1148" s="56">
        <v>45796</v>
      </c>
      <c r="D1148" s="43">
        <v>270</v>
      </c>
      <c r="F1148" s="43" t="s">
        <v>1233</v>
      </c>
      <c r="G1148" t="str">
        <f t="shared" si="21"/>
        <v>May</v>
      </c>
    </row>
    <row r="1149" spans="1:7">
      <c r="A1149" s="345" t="s">
        <v>773</v>
      </c>
      <c r="B1149" s="304" t="s">
        <v>129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129</v>
      </c>
      <c r="C1158" s="56">
        <v>45797</v>
      </c>
      <c r="D1158" s="155">
        <v>1430</v>
      </c>
      <c r="F1158" s="43" t="s">
        <v>1255</v>
      </c>
      <c r="G1158" t="str">
        <f t="shared" si="21"/>
        <v>May</v>
      </c>
    </row>
    <row r="1159" spans="1:7">
      <c r="A1159" s="134" t="s">
        <v>803</v>
      </c>
      <c r="B1159" s="141" t="s">
        <v>141</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129</v>
      </c>
      <c r="C1164" s="56">
        <v>45798</v>
      </c>
      <c r="D1164" s="43">
        <v>678</v>
      </c>
      <c r="E1164" s="321">
        <v>2850</v>
      </c>
      <c r="F1164" s="43" t="s">
        <v>1525</v>
      </c>
      <c r="G1164" t="str">
        <f t="shared" si="21"/>
        <v>May</v>
      </c>
    </row>
    <row r="1165" spans="1:7">
      <c r="A1165" s="345" t="s">
        <v>773</v>
      </c>
      <c r="B1165" s="304" t="s">
        <v>129</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129</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141</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129</v>
      </c>
      <c r="C1183" s="56">
        <v>45804</v>
      </c>
      <c r="D1183" s="43">
        <v>948</v>
      </c>
      <c r="F1183" s="43" t="s">
        <v>1534</v>
      </c>
      <c r="G1183" t="str">
        <f t="shared" si="21"/>
        <v>May</v>
      </c>
    </row>
    <row r="1184" spans="1:7">
      <c r="A1184" s="304" t="s">
        <v>676</v>
      </c>
      <c r="B1184" s="304" t="s">
        <v>129</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129</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129</v>
      </c>
      <c r="C1195" s="56">
        <v>45806</v>
      </c>
      <c r="D1195" s="155">
        <v>2248</v>
      </c>
      <c r="F1195" s="43" t="s">
        <v>1539</v>
      </c>
      <c r="G1195" t="str">
        <f t="shared" si="22"/>
        <v>May</v>
      </c>
    </row>
    <row r="1196" spans="1:7">
      <c r="A1196" s="318" t="s">
        <v>773</v>
      </c>
      <c r="B1196" s="307" t="s">
        <v>129</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129</v>
      </c>
      <c r="C1203" s="56">
        <v>45810</v>
      </c>
      <c r="D1203" s="43">
        <v>800</v>
      </c>
      <c r="G1203" t="s">
        <v>1542</v>
      </c>
    </row>
    <row r="1204" spans="1:7">
      <c r="A1204" s="349" t="s">
        <v>989</v>
      </c>
      <c r="B1204" s="307" t="s">
        <v>1093</v>
      </c>
      <c r="C1204" s="56">
        <v>45810</v>
      </c>
      <c r="D1204" s="43">
        <v>275</v>
      </c>
      <c r="G1204" t="s">
        <v>1542</v>
      </c>
    </row>
    <row r="1205" spans="1:7">
      <c r="A1205" s="349" t="s">
        <v>773</v>
      </c>
      <c r="B1205" s="141" t="s">
        <v>129</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141</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129</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141</v>
      </c>
      <c r="C1216" s="56">
        <v>45812</v>
      </c>
      <c r="D1216" s="43">
        <v>83</v>
      </c>
      <c r="G1216" t="s">
        <v>1542</v>
      </c>
    </row>
    <row r="1217" spans="1:7">
      <c r="A1217" s="304" t="s">
        <v>512</v>
      </c>
      <c r="B1217" s="304" t="s">
        <v>141</v>
      </c>
      <c r="C1217" s="56">
        <v>45812</v>
      </c>
      <c r="F1217" s="141" t="s">
        <v>1547</v>
      </c>
      <c r="G1217" t="s">
        <v>1542</v>
      </c>
    </row>
    <row r="1218" spans="1:7">
      <c r="A1218" s="141" t="s">
        <v>981</v>
      </c>
      <c r="B1218" s="141" t="s">
        <v>129</v>
      </c>
      <c r="C1218" s="56">
        <v>45812</v>
      </c>
      <c r="D1218" s="155">
        <v>1401</v>
      </c>
      <c r="G1218" t="s">
        <v>1542</v>
      </c>
    </row>
    <row r="1219" spans="1:7">
      <c r="A1219" s="349" t="s">
        <v>989</v>
      </c>
      <c r="B1219" s="304" t="s">
        <v>1093</v>
      </c>
      <c r="C1219" s="56">
        <v>45812</v>
      </c>
      <c r="D1219" s="43">
        <v>310</v>
      </c>
      <c r="G1219" t="s">
        <v>1542</v>
      </c>
    </row>
    <row r="1220" spans="1:7">
      <c r="A1220" s="349" t="s">
        <v>748</v>
      </c>
      <c r="B1220" s="307" t="s">
        <v>129</v>
      </c>
      <c r="C1220" s="56">
        <v>45812</v>
      </c>
      <c r="D1220" s="43">
        <v>610</v>
      </c>
      <c r="F1220" s="43" t="s">
        <v>1548</v>
      </c>
      <c r="G1220" t="s">
        <v>1542</v>
      </c>
    </row>
    <row r="1221" spans="1:7">
      <c r="A1221" s="345" t="s">
        <v>773</v>
      </c>
      <c r="B1221" s="304" t="s">
        <v>129</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129</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129</v>
      </c>
      <c r="C1230" s="56">
        <v>45817</v>
      </c>
      <c r="D1230" s="155">
        <v>1100</v>
      </c>
      <c r="G1230" t="s">
        <v>1542</v>
      </c>
    </row>
    <row r="1231" spans="1:7">
      <c r="A1231" s="304" t="s">
        <v>796</v>
      </c>
      <c r="B1231" s="304" t="s">
        <v>129</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129</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129</v>
      </c>
      <c r="C1238" s="56">
        <v>45819</v>
      </c>
      <c r="D1238" s="155">
        <v>1975</v>
      </c>
      <c r="F1238" s="43" t="s">
        <v>1540</v>
      </c>
      <c r="G1238" t="s">
        <v>1542</v>
      </c>
    </row>
    <row r="1239" spans="1:7">
      <c r="A1239" s="364" t="s">
        <v>676</v>
      </c>
      <c r="B1239" s="305" t="s">
        <v>129</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129</v>
      </c>
      <c r="C1241" s="56">
        <v>45820</v>
      </c>
      <c r="D1241" s="155">
        <v>1395</v>
      </c>
      <c r="F1241" s="43" t="s">
        <v>1540</v>
      </c>
      <c r="G1241" t="s">
        <v>1542</v>
      </c>
    </row>
    <row r="1242" spans="1:7">
      <c r="A1242" s="372" t="s">
        <v>764</v>
      </c>
      <c r="B1242" s="247" t="s">
        <v>129</v>
      </c>
      <c r="C1242" s="56">
        <v>45820</v>
      </c>
      <c r="F1242" s="43" t="s">
        <v>1238</v>
      </c>
      <c r="G1242" t="s">
        <v>1542</v>
      </c>
    </row>
    <row r="1243" spans="1:7">
      <c r="A1243" s="148" t="s">
        <v>989</v>
      </c>
      <c r="B1243" s="371" t="s">
        <v>1093</v>
      </c>
      <c r="C1243" s="56">
        <v>45820</v>
      </c>
      <c r="D1243" s="43">
        <v>395</v>
      </c>
      <c r="G1243" t="s">
        <v>1542</v>
      </c>
    </row>
    <row r="1244" spans="1:7">
      <c r="A1244" s="316" t="s">
        <v>764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141</v>
      </c>
      <c r="C1248" s="56">
        <v>45824</v>
      </c>
      <c r="D1248" s="155">
        <v>1394</v>
      </c>
      <c r="F1248" s="43" t="s">
        <v>1173</v>
      </c>
      <c r="G1248" t="s">
        <v>1542</v>
      </c>
    </row>
    <row r="1249" spans="1:7">
      <c r="A1249" s="320" t="s">
        <v>981</v>
      </c>
      <c r="B1249" s="311" t="s">
        <v>129</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129</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141</v>
      </c>
      <c r="C1253" s="56">
        <v>45825</v>
      </c>
      <c r="D1253" s="155">
        <v>1756</v>
      </c>
      <c r="F1253" s="43" t="s">
        <v>1175</v>
      </c>
      <c r="G1253" t="s">
        <v>1542</v>
      </c>
    </row>
    <row r="1254" spans="1:7">
      <c r="A1254" s="320" t="s">
        <v>981</v>
      </c>
      <c r="B1254" s="311" t="s">
        <v>129</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129</v>
      </c>
      <c r="C1256" s="56">
        <v>45825</v>
      </c>
      <c r="D1256" s="155">
        <v>1465</v>
      </c>
      <c r="F1256" s="43" t="s">
        <v>1559</v>
      </c>
      <c r="G1256" t="s">
        <v>1542</v>
      </c>
    </row>
    <row r="1257" spans="1:7">
      <c r="A1257" s="311" t="s">
        <v>676</v>
      </c>
      <c r="B1257" s="311" t="s">
        <v>129</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129</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129</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129</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141</v>
      </c>
      <c r="C1278" s="56">
        <v>45832</v>
      </c>
      <c r="D1278" s="155">
        <v>1946</v>
      </c>
      <c r="F1278" s="43" t="s">
        <v>1562</v>
      </c>
      <c r="G1278" t="s">
        <v>1542</v>
      </c>
    </row>
    <row r="1279" spans="1:7">
      <c r="A1279" s="141" t="s">
        <v>994</v>
      </c>
      <c r="B1279" s="311" t="s">
        <v>129</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129</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141</v>
      </c>
      <c r="C1284" s="56">
        <v>45833</v>
      </c>
      <c r="D1284" s="43">
        <v>649</v>
      </c>
      <c r="F1284" s="43" t="s">
        <v>1566</v>
      </c>
      <c r="G1284" t="s">
        <v>1542</v>
      </c>
    </row>
    <row r="1285" spans="1:7">
      <c r="A1285" s="141" t="s">
        <v>994</v>
      </c>
      <c r="B1285" s="311" t="s">
        <v>129</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141</v>
      </c>
      <c r="C1289" s="56">
        <v>45834</v>
      </c>
      <c r="F1289" s="316" t="s">
        <v>1568</v>
      </c>
      <c r="G1289" t="s">
        <v>1542</v>
      </c>
    </row>
    <row r="1290" spans="1:7">
      <c r="A1290" s="349" t="s">
        <v>803</v>
      </c>
      <c r="B1290" s="307" t="s">
        <v>141</v>
      </c>
      <c r="C1290" s="56">
        <v>45834</v>
      </c>
      <c r="F1290" s="320" t="s">
        <v>1568</v>
      </c>
      <c r="G1290" t="s">
        <v>1542</v>
      </c>
    </row>
    <row r="1291" spans="1:7">
      <c r="A1291" s="141" t="s">
        <v>994</v>
      </c>
      <c r="B1291" s="311" t="s">
        <v>129</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129</v>
      </c>
      <c r="C1293" s="56">
        <v>45834</v>
      </c>
      <c r="D1293" s="155">
        <v>1296</v>
      </c>
      <c r="F1293" s="43" t="s">
        <v>1559</v>
      </c>
      <c r="G1293" t="s">
        <v>1542</v>
      </c>
    </row>
    <row r="1294" spans="1:7">
      <c r="A1294" s="304" t="s">
        <v>754</v>
      </c>
      <c r="B1294" s="304" t="s">
        <v>129</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141</v>
      </c>
      <c r="C1299" s="56">
        <v>45835</v>
      </c>
      <c r="F1299" s="316" t="s">
        <v>1568</v>
      </c>
      <c r="G1299" t="s">
        <v>1542</v>
      </c>
    </row>
    <row r="1300" spans="1:7">
      <c r="A1300" s="141" t="s">
        <v>754</v>
      </c>
      <c r="B1300" s="141" t="s">
        <v>129</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129</v>
      </c>
      <c r="C1306" s="56">
        <v>45839</v>
      </c>
      <c r="E1306" s="139">
        <v>53</v>
      </c>
      <c r="F1306" s="43" t="s">
        <v>1576</v>
      </c>
      <c r="G1306" t="s">
        <v>1575</v>
      </c>
    </row>
    <row r="1307" spans="1:7">
      <c r="A1307" s="346" t="s">
        <v>673</v>
      </c>
      <c r="B1307" s="315" t="s">
        <v>129</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129</v>
      </c>
      <c r="C1312" s="56">
        <v>45840</v>
      </c>
      <c r="D1312" s="43">
        <v>355</v>
      </c>
      <c r="F1312" s="43" t="s">
        <v>1175</v>
      </c>
      <c r="G1312" t="s">
        <v>1575</v>
      </c>
    </row>
    <row r="1313" spans="1:7">
      <c r="A1313" s="304" t="s">
        <v>673</v>
      </c>
      <c r="B1313" s="304" t="s">
        <v>129</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402</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129</v>
      </c>
      <c r="C1320" s="56">
        <v>45845</v>
      </c>
      <c r="D1320" s="43">
        <v>846</v>
      </c>
      <c r="G1320" t="s">
        <v>1575</v>
      </c>
    </row>
    <row r="1321" spans="1:7">
      <c r="A1321" s="304" t="s">
        <v>681</v>
      </c>
      <c r="B1321" s="304" t="s">
        <v>129</v>
      </c>
      <c r="C1321" s="56">
        <v>45845</v>
      </c>
      <c r="D1321" s="155">
        <v>1644</v>
      </c>
      <c r="E1321" s="201"/>
      <c r="G1321" t="s">
        <v>1575</v>
      </c>
    </row>
    <row r="1322" spans="1:7">
      <c r="A1322" s="141" t="s">
        <v>529</v>
      </c>
      <c r="B1322" s="157" t="s">
        <v>402</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129</v>
      </c>
      <c r="C1324" s="56">
        <v>45846</v>
      </c>
      <c r="D1324" s="43">
        <v>827</v>
      </c>
      <c r="F1324" s="43" t="s">
        <v>1582</v>
      </c>
      <c r="G1324" t="s">
        <v>1575</v>
      </c>
    </row>
    <row r="1325" spans="1:7">
      <c r="A1325" s="397" t="s">
        <v>681</v>
      </c>
      <c r="B1325" s="399" t="s">
        <v>129</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402</v>
      </c>
      <c r="C1331" s="56">
        <v>45849</v>
      </c>
      <c r="D1331" s="43">
        <v>198</v>
      </c>
      <c r="G1331" t="s">
        <v>1575</v>
      </c>
    </row>
    <row r="1332" spans="1:7">
      <c r="A1332" s="247" t="s">
        <v>779</v>
      </c>
      <c r="B1332" s="398" t="s">
        <v>1093</v>
      </c>
      <c r="C1332" s="56">
        <v>45852</v>
      </c>
      <c r="F1332" s="43" t="s">
        <v>1238</v>
      </c>
      <c r="G1332" t="s">
        <v>1575</v>
      </c>
    </row>
    <row r="1333" spans="1:7">
      <c r="A1333" s="615" t="s">
        <v>535</v>
      </c>
      <c r="B1333" s="157" t="s">
        <v>402</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129</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989</v>
      </c>
      <c r="B1344" s="311" t="s">
        <v>1093</v>
      </c>
      <c r="C1344" s="56">
        <v>45855</v>
      </c>
      <c r="D1344" s="155">
        <v>1972</v>
      </c>
      <c r="G1344" t="s">
        <v>1575</v>
      </c>
    </row>
    <row r="1345" spans="1:7">
      <c r="A1345" s="346" t="s">
        <v>727</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141</v>
      </c>
      <c r="C1351" s="56">
        <v>45859</v>
      </c>
      <c r="D1351" s="43">
        <v>385</v>
      </c>
      <c r="G1351" t="s">
        <v>1575</v>
      </c>
    </row>
    <row r="1352" spans="1:7">
      <c r="A1352" s="397" t="s">
        <v>722</v>
      </c>
      <c r="B1352" s="399" t="s">
        <v>129</v>
      </c>
      <c r="C1352" s="56">
        <v>45859</v>
      </c>
      <c r="D1352" s="155">
        <v>1070</v>
      </c>
      <c r="F1352" s="43" t="s">
        <v>1173</v>
      </c>
      <c r="G1352" t="s">
        <v>1575</v>
      </c>
    </row>
    <row r="1353" spans="1:7">
      <c r="A1353" s="414" t="s">
        <v>727</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129</v>
      </c>
      <c r="C1356" s="56">
        <v>45860</v>
      </c>
      <c r="D1356" s="155">
        <v>1224</v>
      </c>
      <c r="F1356" s="43" t="s">
        <v>1591</v>
      </c>
      <c r="G1356" t="s">
        <v>1575</v>
      </c>
    </row>
    <row r="1357" spans="1:7">
      <c r="A1357" s="305" t="s">
        <v>727</v>
      </c>
      <c r="B1357" s="304" t="s">
        <v>129</v>
      </c>
      <c r="C1357" s="56">
        <v>45860</v>
      </c>
      <c r="D1357" s="155">
        <v>1714</v>
      </c>
      <c r="F1357" s="43" t="s">
        <v>1184</v>
      </c>
      <c r="G1357" t="s">
        <v>1575</v>
      </c>
    </row>
    <row r="1358" spans="1:7">
      <c r="A1358" s="141" t="s">
        <v>989</v>
      </c>
      <c r="B1358" s="398" t="s">
        <v>141</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129</v>
      </c>
      <c r="C1365" s="56">
        <v>45861</v>
      </c>
      <c r="D1365" s="43">
        <v>235</v>
      </c>
      <c r="F1365" s="43" t="s">
        <v>1593</v>
      </c>
      <c r="G1365" t="s">
        <v>1575</v>
      </c>
    </row>
    <row r="1366" spans="1:7">
      <c r="A1366" s="305" t="s">
        <v>727</v>
      </c>
      <c r="B1366" s="304" t="s">
        <v>129</v>
      </c>
      <c r="C1366" s="56">
        <v>45861</v>
      </c>
      <c r="D1366" s="43">
        <v>678</v>
      </c>
      <c r="F1366" s="43" t="s">
        <v>1594</v>
      </c>
      <c r="G1366" t="s">
        <v>1575</v>
      </c>
    </row>
    <row r="1367" spans="1:7">
      <c r="A1367" s="141" t="s">
        <v>681</v>
      </c>
      <c r="B1367" s="398" t="s">
        <v>141</v>
      </c>
      <c r="C1367" s="56">
        <v>45861</v>
      </c>
      <c r="D1367" s="43">
        <v>579</v>
      </c>
      <c r="G1367" t="s">
        <v>1575</v>
      </c>
    </row>
    <row r="1368" spans="1:7">
      <c r="A1368" s="305" t="s">
        <v>730</v>
      </c>
      <c r="B1368" s="304" t="s">
        <v>129</v>
      </c>
      <c r="C1368" s="56">
        <v>45861</v>
      </c>
      <c r="D1368" s="43">
        <v>363</v>
      </c>
      <c r="F1368" s="43" t="s">
        <v>1595</v>
      </c>
      <c r="G1368" t="s">
        <v>1575</v>
      </c>
    </row>
    <row r="1369" spans="1:7">
      <c r="A1369" s="141" t="s">
        <v>981</v>
      </c>
      <c r="B1369" s="141" t="s">
        <v>129</v>
      </c>
      <c r="C1369" s="56">
        <v>45861</v>
      </c>
      <c r="D1369" s="43">
        <v>853</v>
      </c>
      <c r="F1369" s="43" t="s">
        <v>1221</v>
      </c>
      <c r="G1369" t="s">
        <v>1575</v>
      </c>
    </row>
    <row r="1370" spans="1:7">
      <c r="A1370" s="123" t="s">
        <v>535</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129</v>
      </c>
      <c r="C1374" s="56">
        <v>45862</v>
      </c>
      <c r="D1374" s="155">
        <v>1077</v>
      </c>
      <c r="F1374" s="43" t="s">
        <v>1599</v>
      </c>
      <c r="G1374" t="s">
        <v>1575</v>
      </c>
    </row>
    <row r="1375" spans="1:7">
      <c r="A1375" s="141" t="s">
        <v>681</v>
      </c>
      <c r="B1375" s="398" t="s">
        <v>141</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129</v>
      </c>
      <c r="C1377" s="56">
        <v>45862</v>
      </c>
      <c r="D1377" s="155">
        <v>1279</v>
      </c>
      <c r="F1377" s="43" t="s">
        <v>1221</v>
      </c>
      <c r="G1377" t="s">
        <v>1575</v>
      </c>
    </row>
    <row r="1378" spans="1:7">
      <c r="A1378" s="123" t="s">
        <v>535</v>
      </c>
      <c r="B1378" s="318" t="s">
        <v>402</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129</v>
      </c>
      <c r="C1382" s="56">
        <v>45863</v>
      </c>
      <c r="F1382" s="304" t="s">
        <v>1604</v>
      </c>
      <c r="G1382" t="s">
        <v>1575</v>
      </c>
    </row>
    <row r="1383" spans="1:7">
      <c r="A1383" s="141" t="s">
        <v>722</v>
      </c>
      <c r="B1383" s="304" t="s">
        <v>129</v>
      </c>
      <c r="C1383" s="56">
        <v>45863</v>
      </c>
      <c r="F1383" s="307" t="s">
        <v>1604</v>
      </c>
      <c r="G1383" t="s">
        <v>1575</v>
      </c>
    </row>
    <row r="1384" spans="1:7">
      <c r="A1384" s="305" t="s">
        <v>736</v>
      </c>
      <c r="B1384" s="305" t="s">
        <v>129</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402</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129</v>
      </c>
      <c r="C1388" s="56">
        <v>45866</v>
      </c>
      <c r="D1388" s="43">
        <v>817</v>
      </c>
      <c r="G1388" t="s">
        <v>1575</v>
      </c>
    </row>
    <row r="1389" spans="1:7">
      <c r="A1389" s="141" t="s">
        <v>730</v>
      </c>
      <c r="B1389" s="304" t="s">
        <v>129</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141</v>
      </c>
      <c r="C1391" s="56">
        <v>45866</v>
      </c>
      <c r="D1391" s="155">
        <v>1181</v>
      </c>
      <c r="G1391" t="s">
        <v>1575</v>
      </c>
    </row>
    <row r="1392" spans="1:7">
      <c r="A1392" s="123" t="s">
        <v>535</v>
      </c>
      <c r="B1392" s="157" t="s">
        <v>402</v>
      </c>
      <c r="C1392" s="56">
        <v>45866</v>
      </c>
      <c r="D1392" s="43">
        <v>345</v>
      </c>
      <c r="G1392" t="s">
        <v>1575</v>
      </c>
    </row>
    <row r="1393" spans="1:7">
      <c r="A1393" s="616" t="s">
        <v>681</v>
      </c>
      <c r="B1393" s="69" t="s">
        <v>141</v>
      </c>
      <c r="C1393" s="56">
        <v>45867</v>
      </c>
      <c r="D1393" s="155">
        <v>1933</v>
      </c>
      <c r="G1393" t="s">
        <v>1575</v>
      </c>
    </row>
    <row r="1394" spans="1:7">
      <c r="A1394" s="430" t="s">
        <v>981</v>
      </c>
      <c r="B1394" s="247" t="s">
        <v>129</v>
      </c>
      <c r="C1394" s="56">
        <v>45867</v>
      </c>
      <c r="E1394" s="321">
        <v>5590</v>
      </c>
      <c r="F1394" s="43" t="s">
        <v>1607</v>
      </c>
      <c r="G1394" t="s">
        <v>1575</v>
      </c>
    </row>
    <row r="1395" spans="1:7">
      <c r="A1395" s="431" t="s">
        <v>730</v>
      </c>
      <c r="B1395" s="433" t="s">
        <v>129</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141</v>
      </c>
      <c r="C1397" s="56">
        <v>45868</v>
      </c>
      <c r="D1397" s="155">
        <v>1951</v>
      </c>
      <c r="G1397" t="s">
        <v>1575</v>
      </c>
    </row>
    <row r="1398" spans="1:7">
      <c r="A1398" s="141" t="s">
        <v>681</v>
      </c>
      <c r="B1398" s="304" t="s">
        <v>129</v>
      </c>
      <c r="C1398" s="56">
        <v>45868</v>
      </c>
      <c r="D1398" s="43">
        <v>902</v>
      </c>
      <c r="G1398" t="s">
        <v>1575</v>
      </c>
    </row>
    <row r="1399" spans="1:7">
      <c r="A1399" s="304" t="s">
        <v>981</v>
      </c>
      <c r="B1399" s="304" t="s">
        <v>129</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402</v>
      </c>
      <c r="C1402" s="56">
        <v>45868</v>
      </c>
      <c r="D1402" s="43">
        <v>314</v>
      </c>
      <c r="G1402" t="s">
        <v>1575</v>
      </c>
    </row>
    <row r="1403" spans="1:7">
      <c r="A1403" s="318" t="s">
        <v>835</v>
      </c>
      <c r="B1403" s="311" t="s">
        <v>1093</v>
      </c>
      <c r="C1403" s="56">
        <v>45869</v>
      </c>
      <c r="F1403" s="320" t="s">
        <v>1315</v>
      </c>
      <c r="G1403" t="s">
        <v>1575</v>
      </c>
    </row>
    <row r="1404" spans="1:7">
      <c r="A1404" s="141" t="s">
        <v>681</v>
      </c>
      <c r="B1404" s="141" t="s">
        <v>141</v>
      </c>
      <c r="C1404" s="56">
        <v>45869</v>
      </c>
      <c r="D1404" s="43">
        <v>725</v>
      </c>
      <c r="G1404" t="s">
        <v>1575</v>
      </c>
    </row>
    <row r="1405" spans="1:7">
      <c r="A1405" s="305" t="s">
        <v>681</v>
      </c>
      <c r="B1405" s="305" t="s">
        <v>129</v>
      </c>
      <c r="C1405" s="56">
        <v>45869</v>
      </c>
      <c r="D1405" s="43">
        <v>862</v>
      </c>
      <c r="G1405" t="s">
        <v>1575</v>
      </c>
    </row>
    <row r="1406" spans="1:7">
      <c r="A1406" s="311" t="s">
        <v>989</v>
      </c>
      <c r="B1406" s="311" t="s">
        <v>1611</v>
      </c>
      <c r="C1406" s="56">
        <v>45869</v>
      </c>
      <c r="E1406" s="321">
        <v>2691</v>
      </c>
      <c r="G1406" t="s">
        <v>1575</v>
      </c>
    </row>
    <row r="1407" spans="1:7">
      <c r="A1407" s="346" t="s">
        <v>540</v>
      </c>
      <c r="B1407" s="157" t="s">
        <v>402</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402</v>
      </c>
      <c r="C1411" s="56">
        <v>45870</v>
      </c>
      <c r="D1411" s="155">
        <v>1377</v>
      </c>
      <c r="G1411" t="s">
        <v>1614</v>
      </c>
    </row>
    <row r="1412" spans="1:7">
      <c r="A1412" s="616" t="s">
        <v>681</v>
      </c>
      <c r="B1412" s="69" t="s">
        <v>1611</v>
      </c>
      <c r="C1412" s="56">
        <v>45873</v>
      </c>
      <c r="E1412" s="321">
        <v>13125</v>
      </c>
      <c r="G1412" t="s">
        <v>1614</v>
      </c>
    </row>
    <row r="1413" spans="1:7">
      <c r="A1413" s="432" t="s">
        <v>761</v>
      </c>
      <c r="B1413" s="438" t="s">
        <v>129</v>
      </c>
      <c r="C1413" s="56">
        <v>45873</v>
      </c>
      <c r="D1413" s="43">
        <v>918</v>
      </c>
      <c r="G1413" t="s">
        <v>1614</v>
      </c>
    </row>
    <row r="1414" spans="1:7">
      <c r="A1414" s="311" t="s">
        <v>986</v>
      </c>
      <c r="B1414" s="311" t="s">
        <v>129</v>
      </c>
      <c r="C1414" s="56">
        <v>45874</v>
      </c>
      <c r="D1414" s="155">
        <v>2675</v>
      </c>
      <c r="G1414" t="s">
        <v>1614</v>
      </c>
    </row>
    <row r="1415" spans="1:7">
      <c r="A1415" s="311" t="s">
        <v>540</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129</v>
      </c>
      <c r="C1417" s="56">
        <v>45875</v>
      </c>
      <c r="D1417" s="155">
        <v>1964</v>
      </c>
      <c r="G1417" t="s">
        <v>1614</v>
      </c>
    </row>
    <row r="1418" spans="1:7">
      <c r="A1418" s="547" t="s">
        <v>540</v>
      </c>
      <c r="B1418" s="311" t="s">
        <v>402</v>
      </c>
      <c r="C1418" s="56">
        <v>45875</v>
      </c>
      <c r="D1418" s="43">
        <v>840</v>
      </c>
      <c r="G1418" t="s">
        <v>1614</v>
      </c>
    </row>
    <row r="1419" spans="1:7">
      <c r="A1419" s="141" t="s">
        <v>526</v>
      </c>
      <c r="B1419" s="548" t="s">
        <v>402</v>
      </c>
      <c r="C1419" s="56">
        <v>45875</v>
      </c>
      <c r="F1419" s="43" t="s">
        <v>1617</v>
      </c>
      <c r="G1419" t="s">
        <v>1614</v>
      </c>
    </row>
    <row r="1420" spans="1:7">
      <c r="A1420" s="387" t="s">
        <v>986</v>
      </c>
      <c r="B1420" s="415" t="s">
        <v>129</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129</v>
      </c>
      <c r="C1422" s="56">
        <v>45876</v>
      </c>
      <c r="D1422" s="43">
        <v>674</v>
      </c>
      <c r="G1422" t="s">
        <v>1614</v>
      </c>
    </row>
    <row r="1423" spans="1:7">
      <c r="A1423" s="525" t="s">
        <v>540</v>
      </c>
      <c r="B1423" s="525" t="s">
        <v>402</v>
      </c>
      <c r="C1423" s="56">
        <v>45876</v>
      </c>
      <c r="D1423" s="43">
        <v>531</v>
      </c>
      <c r="G1423" t="s">
        <v>1614</v>
      </c>
    </row>
    <row r="1424" spans="1:7">
      <c r="A1424" s="247" t="s">
        <v>1112</v>
      </c>
      <c r="B1424" s="157" t="s">
        <v>1093</v>
      </c>
      <c r="C1424" s="56">
        <v>45877</v>
      </c>
      <c r="F1424" s="43" t="s">
        <v>1588</v>
      </c>
      <c r="G1424" t="s">
        <v>1614</v>
      </c>
    </row>
    <row r="1425" spans="1:7">
      <c r="A1425" s="311" t="s">
        <v>986</v>
      </c>
      <c r="B1425" s="311" t="s">
        <v>129</v>
      </c>
      <c r="C1425" s="56">
        <v>45877</v>
      </c>
      <c r="F1425" s="311" t="s">
        <v>1238</v>
      </c>
      <c r="G1425" t="s">
        <v>1614</v>
      </c>
    </row>
    <row r="1426" spans="1:7">
      <c r="A1426" s="549" t="s">
        <v>540</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129</v>
      </c>
      <c r="C1428" s="56">
        <v>45880</v>
      </c>
      <c r="D1428" s="155">
        <v>1175</v>
      </c>
      <c r="G1428" t="s">
        <v>1614</v>
      </c>
    </row>
    <row r="1429" spans="1:7">
      <c r="A1429" s="304" t="s">
        <v>776</v>
      </c>
      <c r="B1429" s="304" t="s">
        <v>1093</v>
      </c>
      <c r="C1429" s="56">
        <v>45880</v>
      </c>
      <c r="D1429" s="43">
        <v>288</v>
      </c>
      <c r="G1429" t="s">
        <v>1614</v>
      </c>
    </row>
    <row r="1430" spans="1:7">
      <c r="A1430" s="549" t="s">
        <v>540</v>
      </c>
      <c r="B1430" s="311" t="s">
        <v>402</v>
      </c>
      <c r="C1430" s="56">
        <v>45880</v>
      </c>
      <c r="D1430" s="43">
        <v>571</v>
      </c>
      <c r="G1430" t="s">
        <v>1614</v>
      </c>
    </row>
    <row r="1431" spans="1:7">
      <c r="A1431" s="88" t="s">
        <v>1112</v>
      </c>
      <c r="B1431" s="398" t="s">
        <v>1093</v>
      </c>
      <c r="C1431" s="56">
        <v>45881</v>
      </c>
      <c r="D1431" s="43">
        <v>35</v>
      </c>
      <c r="G1431" t="s">
        <v>1614</v>
      </c>
    </row>
    <row r="1432" spans="1:7">
      <c r="A1432" s="396" t="s">
        <v>761</v>
      </c>
      <c r="B1432" s="228" t="s">
        <v>129</v>
      </c>
      <c r="C1432" s="56">
        <v>45881</v>
      </c>
      <c r="D1432" s="155">
        <v>1154</v>
      </c>
      <c r="G1432" t="s">
        <v>1614</v>
      </c>
    </row>
    <row r="1433" spans="1:7">
      <c r="A1433" s="238" t="s">
        <v>776</v>
      </c>
      <c r="B1433" s="131" t="s">
        <v>1093</v>
      </c>
      <c r="C1433" s="56">
        <v>45881</v>
      </c>
      <c r="D1433" s="43">
        <v>380</v>
      </c>
      <c r="G1433" t="s">
        <v>1614</v>
      </c>
    </row>
    <row r="1434" spans="1:7">
      <c r="A1434" s="91" t="s">
        <v>767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540</v>
      </c>
      <c r="B1436" s="311" t="s">
        <v>402</v>
      </c>
      <c r="C1436" s="56">
        <v>45881</v>
      </c>
      <c r="D1436" s="155">
        <v>1293</v>
      </c>
      <c r="G1436" t="s">
        <v>1614</v>
      </c>
    </row>
    <row r="1437" spans="1:7">
      <c r="A1437" s="247" t="s">
        <v>980</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129</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129</v>
      </c>
      <c r="C1441" s="56">
        <v>45882</v>
      </c>
      <c r="D1441" s="155">
        <v>1031</v>
      </c>
      <c r="F1441" s="43" t="s">
        <v>1621</v>
      </c>
      <c r="G1441" t="s">
        <v>1614</v>
      </c>
    </row>
    <row r="1442" spans="1:7">
      <c r="A1442" s="305" t="s">
        <v>767</v>
      </c>
      <c r="B1442" s="305" t="s">
        <v>129</v>
      </c>
      <c r="C1442" s="56">
        <v>45882</v>
      </c>
      <c r="D1442" s="43">
        <v>12</v>
      </c>
      <c r="F1442" s="305" t="s">
        <v>1535</v>
      </c>
      <c r="G1442" t="s">
        <v>1614</v>
      </c>
    </row>
    <row r="1443" spans="1:7">
      <c r="A1443" s="247" t="s">
        <v>540</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776</v>
      </c>
      <c r="B1446" s="131" t="s">
        <v>1093</v>
      </c>
      <c r="C1446" s="56">
        <v>45883</v>
      </c>
      <c r="D1446" s="43">
        <v>163</v>
      </c>
      <c r="G1446" t="s">
        <v>1614</v>
      </c>
    </row>
    <row r="1447" spans="1:7">
      <c r="A1447" s="549" t="s">
        <v>540</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129</v>
      </c>
      <c r="C1459" s="56">
        <v>45887</v>
      </c>
      <c r="D1459" s="155">
        <v>1109</v>
      </c>
      <c r="F1459" s="43" t="s">
        <v>1627</v>
      </c>
      <c r="G1459" t="s">
        <v>1614</v>
      </c>
    </row>
    <row r="1460" spans="1:7">
      <c r="A1460" s="549" t="s">
        <v>540</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790</v>
      </c>
      <c r="B1464" s="315" t="s">
        <v>1093</v>
      </c>
      <c r="C1464" s="56">
        <v>45888</v>
      </c>
      <c r="D1464" s="43">
        <v>416</v>
      </c>
      <c r="G1464" t="s">
        <v>1614</v>
      </c>
    </row>
    <row r="1465" spans="1:7">
      <c r="A1465" s="525" t="s">
        <v>997</v>
      </c>
      <c r="B1465" s="311" t="s">
        <v>129</v>
      </c>
      <c r="C1465" s="56">
        <v>45888</v>
      </c>
      <c r="D1465" s="155">
        <v>1460</v>
      </c>
      <c r="F1465" s="43" t="s">
        <v>1628</v>
      </c>
      <c r="G1465" t="s">
        <v>1614</v>
      </c>
    </row>
    <row r="1466" spans="1:7">
      <c r="A1466" s="549" t="s">
        <v>540</v>
      </c>
      <c r="B1466" s="311" t="s">
        <v>402</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790</v>
      </c>
      <c r="B1472" s="131" t="s">
        <v>1093</v>
      </c>
      <c r="C1472" s="56">
        <v>45889</v>
      </c>
      <c r="D1472" s="43">
        <v>216</v>
      </c>
      <c r="G1472" t="s">
        <v>1614</v>
      </c>
    </row>
    <row r="1473" spans="1:7">
      <c r="A1473" s="578" t="s">
        <v>997</v>
      </c>
      <c r="B1473" s="322" t="s">
        <v>129</v>
      </c>
      <c r="C1473" s="56">
        <v>45889</v>
      </c>
      <c r="D1473" s="155">
        <v>1428</v>
      </c>
      <c r="F1473" s="43" t="s">
        <v>1535</v>
      </c>
      <c r="G1473" t="s">
        <v>1614</v>
      </c>
    </row>
    <row r="1474" spans="1:7">
      <c r="A1474" s="549" t="s">
        <v>540</v>
      </c>
      <c r="B1474" s="311" t="s">
        <v>402</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790</v>
      </c>
      <c r="B1479" s="131" t="s">
        <v>1093</v>
      </c>
      <c r="C1479" s="56">
        <v>45890</v>
      </c>
      <c r="F1479" s="43" t="s">
        <v>1371</v>
      </c>
      <c r="G1479" t="s">
        <v>1614</v>
      </c>
    </row>
    <row r="1480" spans="1:7">
      <c r="A1480" s="578" t="s">
        <v>997</v>
      </c>
      <c r="B1480" s="322" t="s">
        <v>129</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402</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402</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787</v>
      </c>
      <c r="B1493" s="131" t="s">
        <v>1093</v>
      </c>
      <c r="C1493" s="56">
        <v>45894</v>
      </c>
      <c r="F1493" s="311" t="s">
        <v>1635</v>
      </c>
      <c r="G1493" t="s">
        <v>1614</v>
      </c>
    </row>
    <row r="1494" spans="1:7">
      <c r="A1494" s="578" t="s">
        <v>1000</v>
      </c>
      <c r="B1494" s="322" t="s">
        <v>129</v>
      </c>
      <c r="C1494" s="56">
        <v>45894</v>
      </c>
      <c r="D1494" s="43">
        <v>735</v>
      </c>
      <c r="F1494" s="43" t="s">
        <v>1636</v>
      </c>
      <c r="G1494" t="s">
        <v>1614</v>
      </c>
    </row>
    <row r="1495" spans="1:7">
      <c r="A1495" s="549" t="s">
        <v>540</v>
      </c>
      <c r="B1495" s="311" t="s">
        <v>402</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129</v>
      </c>
      <c r="C1502" s="56">
        <v>45895</v>
      </c>
      <c r="D1502" s="43">
        <v>558</v>
      </c>
      <c r="F1502" s="337" t="s">
        <v>1171</v>
      </c>
      <c r="G1502" t="s">
        <v>1614</v>
      </c>
    </row>
    <row r="1503" spans="1:7">
      <c r="A1503" s="616" t="s">
        <v>739</v>
      </c>
      <c r="B1503" s="43" t="s">
        <v>129</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402</v>
      </c>
      <c r="C1505" s="56">
        <v>45895</v>
      </c>
      <c r="F1505" s="43" t="s">
        <v>1315</v>
      </c>
      <c r="G1505" t="s">
        <v>1614</v>
      </c>
    </row>
    <row r="1506" spans="1:7">
      <c r="A1506" s="396" t="s">
        <v>1007</v>
      </c>
      <c r="B1506" s="228" t="s">
        <v>141</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129</v>
      </c>
      <c r="C1509" s="56">
        <v>45896</v>
      </c>
      <c r="D1509" s="155">
        <v>1248</v>
      </c>
      <c r="F1509" s="43" t="s">
        <v>1641</v>
      </c>
      <c r="G1509" t="s">
        <v>1614</v>
      </c>
    </row>
    <row r="1510" spans="1:7">
      <c r="A1510" s="616" t="s">
        <v>739</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535</v>
      </c>
      <c r="B1513" s="141" t="s">
        <v>402</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129</v>
      </c>
      <c r="C1516" s="56">
        <v>45897</v>
      </c>
      <c r="D1516" s="155">
        <v>1453</v>
      </c>
      <c r="F1516" s="43" t="s">
        <v>1645</v>
      </c>
      <c r="G1516" t="s">
        <v>1614</v>
      </c>
    </row>
    <row r="1517" spans="1:7">
      <c r="A1517" s="69" t="s">
        <v>1010</v>
      </c>
      <c r="B1517" s="43" t="s">
        <v>129</v>
      </c>
      <c r="C1517" s="56">
        <v>45897</v>
      </c>
      <c r="D1517" s="155">
        <v>1260</v>
      </c>
      <c r="F1517" s="43" t="s">
        <v>1646</v>
      </c>
      <c r="G1517" t="s">
        <v>1614</v>
      </c>
    </row>
    <row r="1518" spans="1:7">
      <c r="A1518" s="549" t="s">
        <v>540</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535</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402</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402</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129</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129</v>
      </c>
      <c r="C1535" s="56">
        <v>45903</v>
      </c>
      <c r="D1535" s="155">
        <v>1491</v>
      </c>
      <c r="F1535" s="43" t="s">
        <v>1658</v>
      </c>
      <c r="G1535" t="s">
        <v>1652</v>
      </c>
    </row>
    <row r="1536" spans="1:7">
      <c r="A1536" s="315" t="s">
        <v>1000</v>
      </c>
      <c r="B1536" s="315" t="s">
        <v>129</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129</v>
      </c>
      <c r="C1543" s="56">
        <v>45904</v>
      </c>
      <c r="D1543" s="155">
        <v>1549</v>
      </c>
      <c r="F1543" s="43" t="s">
        <v>1664</v>
      </c>
      <c r="G1543" t="s">
        <v>1652</v>
      </c>
    </row>
    <row r="1544" spans="1:7">
      <c r="A1544" s="616" t="s">
        <v>552</v>
      </c>
      <c r="B1544" s="43" t="s">
        <v>129</v>
      </c>
      <c r="C1544" s="56">
        <v>45904</v>
      </c>
      <c r="D1544" s="43">
        <v>903</v>
      </c>
      <c r="F1544" s="43" t="s">
        <v>1665</v>
      </c>
      <c r="G1544" t="s">
        <v>1652</v>
      </c>
    </row>
    <row r="1545" spans="1:7">
      <c r="A1545" s="651" t="s">
        <v>722</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129</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992</v>
      </c>
      <c r="B1554" s="682" t="s">
        <v>129</v>
      </c>
      <c r="C1554" s="56">
        <v>45908</v>
      </c>
      <c r="D1554" s="43">
        <v>918</v>
      </c>
      <c r="F1554" s="43" t="s">
        <v>1670</v>
      </c>
      <c r="G1554" t="s">
        <v>1652</v>
      </c>
    </row>
    <row r="1555" spans="1:7">
      <c r="A1555" s="396" t="s">
        <v>552</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782</v>
      </c>
      <c r="B1557" s="682" t="s">
        <v>129</v>
      </c>
      <c r="C1557" s="56">
        <v>45909</v>
      </c>
      <c r="D1557" s="43">
        <v>329</v>
      </c>
      <c r="G1557" t="s">
        <v>1652</v>
      </c>
    </row>
    <row r="1558" spans="1:7">
      <c r="A1558" s="88" t="s">
        <v>1117</v>
      </c>
      <c r="B1558" s="398" t="s">
        <v>1093</v>
      </c>
      <c r="C1558" s="56">
        <v>45910</v>
      </c>
      <c r="D1558" s="43">
        <v>299</v>
      </c>
      <c r="G1558" t="s">
        <v>1652</v>
      </c>
    </row>
    <row r="1559" spans="1:7">
      <c r="A1559" s="396" t="s">
        <v>552</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782</v>
      </c>
      <c r="B1561" s="682" t="s">
        <v>1533</v>
      </c>
      <c r="C1561" s="56">
        <v>45910</v>
      </c>
      <c r="D1561" s="43">
        <v>333</v>
      </c>
      <c r="G1561" t="s">
        <v>1652</v>
      </c>
    </row>
    <row r="1562" spans="1:7">
      <c r="A1562" s="710" t="s">
        <v>1013</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129</v>
      </c>
      <c r="C1577" s="56">
        <v>45915</v>
      </c>
      <c r="D1577" s="155">
        <v>1238</v>
      </c>
      <c r="F1577" s="69"/>
      <c r="G1577" t="s">
        <v>1652</v>
      </c>
    </row>
    <row r="1578" spans="1:7">
      <c r="A1578" s="681" t="s">
        <v>1021</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129</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129</v>
      </c>
      <c r="C1590" s="56">
        <v>45917</v>
      </c>
      <c r="D1590" s="155">
        <v>1250</v>
      </c>
      <c r="F1590" s="731" t="s">
        <v>1680</v>
      </c>
      <c r="G1590" t="s">
        <v>1652</v>
      </c>
    </row>
    <row r="1591" spans="1:7">
      <c r="A1591" s="734" t="s">
        <v>552</v>
      </c>
      <c r="B1591" s="315" t="s">
        <v>141</v>
      </c>
      <c r="C1591" s="56">
        <v>45917</v>
      </c>
      <c r="D1591" s="43">
        <v>250</v>
      </c>
      <c r="F1591" s="731" t="s">
        <v>1681</v>
      </c>
      <c r="G1591" t="s">
        <v>1652</v>
      </c>
    </row>
    <row r="1592" spans="1:7">
      <c r="A1592" s="141" t="s">
        <v>1003</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129</v>
      </c>
      <c r="C1599" s="56">
        <v>45918</v>
      </c>
      <c r="D1599" s="43">
        <v>361</v>
      </c>
      <c r="F1599" s="731" t="s">
        <v>1685</v>
      </c>
      <c r="G1599" t="s">
        <v>1652</v>
      </c>
    </row>
    <row r="1600" spans="1:7">
      <c r="A1600" s="69" t="s">
        <v>1003</v>
      </c>
      <c r="B1600" s="682" t="s">
        <v>129</v>
      </c>
      <c r="C1600" s="56">
        <v>45918</v>
      </c>
      <c r="D1600" s="155">
        <v>1204</v>
      </c>
      <c r="F1600" s="731" t="s">
        <v>1686</v>
      </c>
      <c r="G1600" t="s">
        <v>1652</v>
      </c>
    </row>
    <row r="1601" spans="1:7">
      <c r="A1601" s="69" t="s">
        <v>554</v>
      </c>
      <c r="B1601" s="682" t="s">
        <v>129</v>
      </c>
      <c r="C1601" s="56">
        <v>45918</v>
      </c>
      <c r="D1601" s="155">
        <v>562</v>
      </c>
      <c r="F1601" s="731"/>
      <c r="G1601" t="s">
        <v>1652</v>
      </c>
    </row>
    <row r="1602" spans="1:7">
      <c r="A1602" s="69" t="s">
        <v>1005</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129</v>
      </c>
      <c r="C1613" s="56">
        <v>45922</v>
      </c>
      <c r="D1613" s="43">
        <v>978</v>
      </c>
      <c r="F1613" s="731" t="s">
        <v>1690</v>
      </c>
      <c r="G1613" t="s">
        <v>1652</v>
      </c>
    </row>
    <row r="1614" spans="1:7">
      <c r="A1614" s="305" t="s">
        <v>1005</v>
      </c>
      <c r="B1614" s="742" t="s">
        <v>129</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535</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129</v>
      </c>
      <c r="C1622" s="56">
        <v>45923</v>
      </c>
      <c r="D1622" s="43">
        <v>675</v>
      </c>
      <c r="F1622" s="69"/>
      <c r="G1622" t="s">
        <v>1652</v>
      </c>
    </row>
    <row r="1623" spans="1:7">
      <c r="A1623" s="69" t="s">
        <v>557</v>
      </c>
      <c r="B1623" s="749" t="s">
        <v>129</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891</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129</v>
      </c>
      <c r="C1631" s="336">
        <v>45924</v>
      </c>
      <c r="D1631" s="155">
        <v>1205</v>
      </c>
      <c r="F1631" s="69" t="s">
        <v>1698</v>
      </c>
      <c r="G1631" t="s">
        <v>1652</v>
      </c>
    </row>
    <row r="1632" spans="1:7">
      <c r="A1632" s="69" t="s">
        <v>557</v>
      </c>
      <c r="B1632" s="395" t="s">
        <v>129</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129</v>
      </c>
      <c r="C1634" s="56">
        <v>45924</v>
      </c>
      <c r="D1634" s="161"/>
      <c r="F1634" s="337" t="s">
        <v>1700</v>
      </c>
      <c r="G1634" t="s">
        <v>1652</v>
      </c>
    </row>
    <row r="1635" spans="1:7">
      <c r="A1635" s="69" t="s">
        <v>554</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222</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129</v>
      </c>
      <c r="C1647" s="56">
        <v>45925</v>
      </c>
      <c r="D1647" s="155">
        <v>1000</v>
      </c>
      <c r="F1647" s="30"/>
      <c r="G1647" t="s">
        <v>1652</v>
      </c>
    </row>
    <row r="1648" spans="1:7">
      <c r="A1648" s="69" t="s">
        <v>557</v>
      </c>
      <c r="B1648" s="749" t="s">
        <v>129</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129</v>
      </c>
      <c r="C1667" s="56">
        <v>45929</v>
      </c>
      <c r="D1667" s="43">
        <v>600</v>
      </c>
      <c r="F1667" s="43" t="s">
        <v>1712</v>
      </c>
      <c r="G1667" t="s">
        <v>1652</v>
      </c>
    </row>
    <row r="1668" spans="1:7">
      <c r="A1668" s="311" t="s">
        <v>563</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563</v>
      </c>
      <c r="B1674" s="311" t="s">
        <v>129</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384</v>
      </c>
      <c r="B1682" s="304" t="s">
        <v>385</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526</v>
      </c>
      <c r="B1686" s="349" t="s">
        <v>222</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129</v>
      </c>
      <c r="C1692" s="56">
        <v>45931</v>
      </c>
      <c r="D1692" s="155">
        <v>1118</v>
      </c>
      <c r="G1692" t="s">
        <v>1718</v>
      </c>
    </row>
    <row r="1693" spans="1:7">
      <c r="A1693" s="134" t="s">
        <v>384</v>
      </c>
      <c r="B1693" s="141" t="s">
        <v>385</v>
      </c>
      <c r="C1693" s="56">
        <v>45931</v>
      </c>
      <c r="D1693" s="43">
        <v>312</v>
      </c>
      <c r="G1693" t="s">
        <v>1718</v>
      </c>
    </row>
    <row r="1694" spans="1:7">
      <c r="A1694" s="549" t="s">
        <v>526</v>
      </c>
      <c r="B1694" s="141" t="s">
        <v>222</v>
      </c>
      <c r="C1694" s="56">
        <v>45931</v>
      </c>
      <c r="D1694" s="43">
        <v>753</v>
      </c>
      <c r="G1694" t="s">
        <v>1718</v>
      </c>
    </row>
    <row r="1695" spans="1:7">
      <c r="A1695" s="305" t="s">
        <v>407</v>
      </c>
      <c r="B1695" s="348" t="s">
        <v>222</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129</v>
      </c>
      <c r="C1701" s="56">
        <v>45932</v>
      </c>
      <c r="D1701" s="155">
        <v>1472</v>
      </c>
      <c r="F1701" s="43" t="s">
        <v>1673</v>
      </c>
      <c r="G1701" t="s">
        <v>1718</v>
      </c>
    </row>
    <row r="1702" spans="1:7">
      <c r="A1702" s="799" t="s">
        <v>724</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526</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891</v>
      </c>
      <c r="C1725" s="56">
        <v>45936</v>
      </c>
      <c r="D1725" s="43">
        <v>225</v>
      </c>
      <c r="G1725" t="s">
        <v>1718</v>
      </c>
    </row>
    <row r="1726" spans="1:7">
      <c r="A1726" s="547" t="s">
        <v>526</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129</v>
      </c>
      <c r="C1743" s="56">
        <v>45938</v>
      </c>
      <c r="D1743" s="43">
        <v>308</v>
      </c>
      <c r="F1743" s="43" t="s">
        <v>1734</v>
      </c>
      <c r="G1743" t="s">
        <v>1718</v>
      </c>
    </row>
    <row r="1744" spans="1:7">
      <c r="A1744" s="645" t="s">
        <v>563</v>
      </c>
      <c r="B1744" s="141" t="s">
        <v>129</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407</v>
      </c>
      <c r="B1748" s="317" t="s">
        <v>222</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129</v>
      </c>
      <c r="C1753" s="56">
        <v>45939</v>
      </c>
      <c r="F1753" s="616" t="s">
        <v>1238</v>
      </c>
      <c r="G1753" t="s">
        <v>1718</v>
      </c>
    </row>
    <row r="1754" spans="1:7">
      <c r="A1754" s="148" t="s">
        <v>547</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387</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582</v>
      </c>
      <c r="B1773" s="305" t="s">
        <v>129</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156</v>
      </c>
      <c r="B1781" s="306" t="s">
        <v>129</v>
      </c>
      <c r="C1781" s="56">
        <v>45944</v>
      </c>
      <c r="D1781" s="43">
        <v>150</v>
      </c>
      <c r="G1781" t="s">
        <v>1718</v>
      </c>
    </row>
    <row r="1782" spans="1:7">
      <c r="A1782" s="802" t="s">
        <v>582</v>
      </c>
      <c r="B1782" s="141" t="s">
        <v>129</v>
      </c>
      <c r="C1782" s="310">
        <v>45944</v>
      </c>
      <c r="D1782" s="43">
        <v>510</v>
      </c>
      <c r="F1782" s="43" t="s">
        <v>1745</v>
      </c>
      <c r="G1782" t="s">
        <v>1718</v>
      </c>
    </row>
    <row r="1783" spans="1:7">
      <c r="A1783" s="802" t="s">
        <v>586</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129</v>
      </c>
      <c r="C1791" s="56">
        <v>45945</v>
      </c>
      <c r="D1791" s="155">
        <v>1312</v>
      </c>
      <c r="F1791" s="43" t="s">
        <v>1750</v>
      </c>
      <c r="G1791" t="s">
        <v>1718</v>
      </c>
    </row>
    <row r="1792" spans="1:7">
      <c r="A1792" s="924" t="s">
        <v>1017</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129</v>
      </c>
      <c r="C1800" s="310">
        <v>45946</v>
      </c>
      <c r="D1800" s="43">
        <v>359</v>
      </c>
      <c r="F1800" s="43" t="s">
        <v>1757</v>
      </c>
      <c r="G1800" t="s">
        <v>1718</v>
      </c>
    </row>
    <row r="1801" spans="1:7">
      <c r="A1801" s="929" t="s">
        <v>1017</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129</v>
      </c>
      <c r="C1826" s="56">
        <v>45951</v>
      </c>
      <c r="D1826" s="155">
        <v>1007</v>
      </c>
      <c r="F1826" s="43" t="s">
        <v>1769</v>
      </c>
      <c r="G1826" t="s">
        <v>1718</v>
      </c>
    </row>
    <row r="1827" spans="1:7">
      <c r="A1827" s="169" t="s">
        <v>592</v>
      </c>
      <c r="B1827" s="43" t="s">
        <v>129</v>
      </c>
      <c r="C1827" s="56">
        <v>45951</v>
      </c>
      <c r="D1827" s="155">
        <v>1182</v>
      </c>
      <c r="F1827" s="43" t="s">
        <v>1770</v>
      </c>
      <c r="G1827" t="s">
        <v>1718</v>
      </c>
    </row>
    <row r="1828" spans="1:7">
      <c r="A1828" s="322" t="s">
        <v>526</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129</v>
      </c>
      <c r="C1835" s="56">
        <v>45952</v>
      </c>
      <c r="D1835" s="155">
        <v>1604</v>
      </c>
      <c r="F1835" s="43" t="s">
        <v>1774</v>
      </c>
      <c r="G1835" t="s">
        <v>1718</v>
      </c>
    </row>
    <row r="1836" spans="1:7">
      <c r="A1836" s="950" t="s">
        <v>1019</v>
      </c>
      <c r="B1836" s="395" t="s">
        <v>129</v>
      </c>
      <c r="C1836" s="56">
        <v>45952</v>
      </c>
      <c r="D1836" s="155">
        <v>1672</v>
      </c>
      <c r="F1836" s="43" t="s">
        <v>1775</v>
      </c>
      <c r="G1836" t="s">
        <v>1718</v>
      </c>
    </row>
    <row r="1837" spans="1:7">
      <c r="A1837" s="925" t="s">
        <v>526</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129</v>
      </c>
      <c r="C1846" s="56">
        <v>45953</v>
      </c>
      <c r="D1846" s="155">
        <v>1268</v>
      </c>
      <c r="F1846" s="43" t="s">
        <v>1782</v>
      </c>
      <c r="G1846" t="s">
        <v>1718</v>
      </c>
    </row>
    <row r="1847" spans="1:7">
      <c r="A1847" s="961" t="s">
        <v>1019</v>
      </c>
      <c r="B1847" s="395" t="s">
        <v>129</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129</v>
      </c>
      <c r="C1866" s="56">
        <v>45957</v>
      </c>
      <c r="D1866" s="43">
        <v>587</v>
      </c>
      <c r="F1866" s="43" t="s">
        <v>1794</v>
      </c>
      <c r="G1866" t="s">
        <v>1718</v>
      </c>
    </row>
    <row r="1867" spans="1:7">
      <c r="A1867" s="961" t="s">
        <v>592</v>
      </c>
      <c r="B1867" s="395" t="s">
        <v>129</v>
      </c>
      <c r="C1867" s="56">
        <v>45957</v>
      </c>
      <c r="D1867" s="155">
        <v>1310</v>
      </c>
      <c r="F1867" s="43" t="s">
        <v>1795</v>
      </c>
      <c r="G1867" t="s">
        <v>1718</v>
      </c>
    </row>
    <row r="1868" spans="1:7">
      <c r="A1868" s="169" t="s">
        <v>547</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129</v>
      </c>
      <c r="C1879" s="56">
        <v>45958</v>
      </c>
      <c r="D1879" s="155">
        <v>1509</v>
      </c>
      <c r="F1879" s="43" t="s">
        <v>1800</v>
      </c>
      <c r="G1879" t="s">
        <v>1718</v>
      </c>
    </row>
    <row r="1880" spans="1:7">
      <c r="A1880" s="961" t="s">
        <v>578</v>
      </c>
      <c r="B1880" s="395" t="s">
        <v>129</v>
      </c>
      <c r="C1880" s="56">
        <v>45958</v>
      </c>
      <c r="D1880" s="155">
        <v>1678</v>
      </c>
      <c r="F1880" s="43" t="s">
        <v>1801</v>
      </c>
      <c r="G1880" t="s">
        <v>1718</v>
      </c>
    </row>
    <row r="1881" spans="1:7">
      <c r="A1881" s="961" t="s">
        <v>1019</v>
      </c>
      <c r="B1881" s="395" t="s">
        <v>129</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129</v>
      </c>
      <c r="C1904" s="56">
        <v>45960</v>
      </c>
      <c r="D1904" s="43">
        <v>777</v>
      </c>
      <c r="F1904" s="43" t="s">
        <v>1818</v>
      </c>
      <c r="G1904" t="s">
        <v>1718</v>
      </c>
    </row>
    <row r="1905" spans="1:7">
      <c r="A1905" s="43" t="s">
        <v>578</v>
      </c>
      <c r="B1905" s="988" t="s">
        <v>129</v>
      </c>
      <c r="C1905" s="56">
        <v>45960</v>
      </c>
      <c r="D1905" s="43">
        <v>394</v>
      </c>
      <c r="E1905" s="321">
        <v>1275</v>
      </c>
      <c r="F1905" s="43" t="s">
        <v>1819</v>
      </c>
      <c r="G1905" t="s">
        <v>1718</v>
      </c>
    </row>
    <row r="1906" spans="1:7">
      <c r="A1906" s="989" t="s">
        <v>617</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129</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129</v>
      </c>
      <c r="C1928" s="56">
        <v>45964</v>
      </c>
      <c r="D1928" s="155">
        <v>1420</v>
      </c>
      <c r="F1928" s="43" t="s">
        <v>1540</v>
      </c>
      <c r="G1928" t="s">
        <v>1828</v>
      </c>
    </row>
    <row r="1929" spans="1:7">
      <c r="A1929" s="346" t="s">
        <v>592</v>
      </c>
      <c r="B1929" s="349" t="s">
        <v>129</v>
      </c>
      <c r="C1929" s="56">
        <v>45964</v>
      </c>
      <c r="D1929" s="43">
        <v>701</v>
      </c>
      <c r="F1929" s="43" t="s">
        <v>1661</v>
      </c>
      <c r="G1929" t="s">
        <v>1828</v>
      </c>
    </row>
    <row r="1930" spans="1:7">
      <c r="A1930" s="141" t="s">
        <v>590</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233</v>
      </c>
      <c r="C1943" s="56">
        <v>45965</v>
      </c>
      <c r="D1943" s="43">
        <v>778</v>
      </c>
      <c r="G1943" t="s">
        <v>1828</v>
      </c>
    </row>
    <row r="1944" spans="1:7">
      <c r="A1944" s="148" t="s">
        <v>649</v>
      </c>
      <c r="B1944" s="43" t="s">
        <v>1709</v>
      </c>
      <c r="C1944" s="56">
        <v>45965</v>
      </c>
      <c r="D1944" s="43">
        <v>550</v>
      </c>
      <c r="G1944" t="s">
        <v>1828</v>
      </c>
    </row>
    <row r="1945" spans="1:7">
      <c r="A1945" s="961" t="s">
        <v>590</v>
      </c>
      <c r="B1945" s="43" t="s">
        <v>129</v>
      </c>
      <c r="C1945" s="56">
        <v>45965</v>
      </c>
      <c r="D1945" s="155">
        <v>1120</v>
      </c>
      <c r="F1945" s="43" t="s">
        <v>1836</v>
      </c>
      <c r="G1945" t="s">
        <v>1828</v>
      </c>
    </row>
    <row r="1946" spans="1:7">
      <c r="A1946" s="141" t="s">
        <v>617</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233</v>
      </c>
      <c r="C1957" s="56">
        <v>45966</v>
      </c>
      <c r="D1957" s="43">
        <v>885</v>
      </c>
      <c r="G1957" t="s">
        <v>1828</v>
      </c>
    </row>
    <row r="1958" spans="1:7">
      <c r="A1958" s="141" t="s">
        <v>590</v>
      </c>
      <c r="B1958" s="141" t="s">
        <v>129</v>
      </c>
      <c r="C1958" s="56">
        <v>45966</v>
      </c>
      <c r="D1958" s="155">
        <v>1488</v>
      </c>
      <c r="F1958" s="43" t="s">
        <v>1841</v>
      </c>
      <c r="G1958" t="s">
        <v>1828</v>
      </c>
    </row>
    <row r="1959" spans="1:7">
      <c r="A1959" s="304" t="s">
        <v>617</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129</v>
      </c>
      <c r="C1962" s="56">
        <v>45966</v>
      </c>
      <c r="D1962" s="155">
        <v>1031</v>
      </c>
      <c r="G1962" t="s">
        <v>1828</v>
      </c>
    </row>
    <row r="1963" spans="1:7">
      <c r="A1963" s="141" t="s">
        <v>978</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471</v>
      </c>
      <c r="B1990" s="43" t="s">
        <v>129</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129</v>
      </c>
      <c r="C1994" s="56">
        <v>45971</v>
      </c>
      <c r="D1994" s="155">
        <v>1351</v>
      </c>
      <c r="G1994" t="s">
        <v>1828</v>
      </c>
    </row>
    <row r="1995" spans="1:7">
      <c r="A1995" s="315" t="s">
        <v>592</v>
      </c>
      <c r="B1995" s="315" t="s">
        <v>129</v>
      </c>
      <c r="C1995" s="56">
        <v>45971</v>
      </c>
      <c r="D1995" s="43">
        <v>138</v>
      </c>
      <c r="F1995" s="43" t="s">
        <v>1850</v>
      </c>
      <c r="G1995" t="s">
        <v>1828</v>
      </c>
    </row>
    <row r="1996" spans="1:7">
      <c r="A1996" s="315" t="s">
        <v>617</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471</v>
      </c>
      <c r="B2001" s="311" t="s">
        <v>129</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620</v>
      </c>
      <c r="B2009" s="115" t="s">
        <v>129</v>
      </c>
      <c r="C2009" s="56">
        <v>45973</v>
      </c>
      <c r="D2009" s="43">
        <v>890</v>
      </c>
      <c r="G2009" t="s">
        <v>1828</v>
      </c>
    </row>
    <row r="2010" spans="1:7">
      <c r="A2010" s="43" t="s">
        <v>620</v>
      </c>
      <c r="B2010" s="115" t="s">
        <v>446</v>
      </c>
      <c r="C2010" s="56">
        <v>45973</v>
      </c>
      <c r="F2010" s="43" t="s">
        <v>1535</v>
      </c>
      <c r="G2010" t="s">
        <v>1828</v>
      </c>
    </row>
    <row r="2011" spans="1:7">
      <c r="A2011" s="43" t="s">
        <v>588</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471</v>
      </c>
      <c r="B2017" s="43" t="s">
        <v>129</v>
      </c>
      <c r="C2017" s="56">
        <v>45973</v>
      </c>
      <c r="D2017" s="43">
        <v>242</v>
      </c>
      <c r="G2017" t="s">
        <v>1828</v>
      </c>
    </row>
    <row r="2018" spans="1:7">
      <c r="A2018" s="43" t="s">
        <v>463</v>
      </c>
      <c r="B2018" s="43" t="s">
        <v>129</v>
      </c>
      <c r="C2018" s="56">
        <v>45973</v>
      </c>
      <c r="D2018" s="155">
        <v>1264</v>
      </c>
      <c r="G2018" t="s">
        <v>1828</v>
      </c>
    </row>
    <row r="2019" spans="1:7">
      <c r="A2019" s="43" t="s">
        <v>476</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588</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476</v>
      </c>
      <c r="B2029" s="43" t="s">
        <v>129</v>
      </c>
      <c r="C2029" s="56">
        <v>45974</v>
      </c>
      <c r="D2029" s="155">
        <v>3382</v>
      </c>
      <c r="G2029" t="s">
        <v>1828</v>
      </c>
    </row>
    <row r="2030" spans="1:7">
      <c r="A2030" s="43" t="s">
        <v>463</v>
      </c>
      <c r="B2030" s="43" t="s">
        <v>129</v>
      </c>
      <c r="C2030" s="56">
        <v>45974</v>
      </c>
      <c r="D2030" s="155">
        <v>1281</v>
      </c>
      <c r="G2030" t="s">
        <v>1828</v>
      </c>
    </row>
    <row r="2031" spans="1:7">
      <c r="A2031" s="247" t="s">
        <v>506</v>
      </c>
      <c r="B2031" s="43" t="s">
        <v>129</v>
      </c>
      <c r="C2031" s="56">
        <v>45974</v>
      </c>
      <c r="D2031" s="43">
        <v>424</v>
      </c>
      <c r="G2031" t="s">
        <v>1828</v>
      </c>
    </row>
    <row r="2032" spans="1:7">
      <c r="A2032" s="247" t="s">
        <v>478</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129</v>
      </c>
      <c r="C2044" s="56">
        <v>45978</v>
      </c>
      <c r="D2044" s="43">
        <v>762</v>
      </c>
      <c r="G2044" t="s">
        <v>1828</v>
      </c>
    </row>
    <row r="2045" spans="1:7">
      <c r="A2045" s="141" t="s">
        <v>588</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473</v>
      </c>
      <c r="B2050" s="141" t="s">
        <v>129</v>
      </c>
      <c r="C2050" s="56">
        <v>45978</v>
      </c>
      <c r="D2050" s="155">
        <v>5466</v>
      </c>
      <c r="G2050" t="s">
        <v>1828</v>
      </c>
    </row>
    <row r="2051" spans="1:7">
      <c r="A2051" s="304" t="s">
        <v>463</v>
      </c>
      <c r="B2051" s="304" t="s">
        <v>129</v>
      </c>
      <c r="C2051" s="56">
        <v>45978</v>
      </c>
      <c r="D2051" s="155">
        <v>1662</v>
      </c>
      <c r="G2051" t="s">
        <v>1828</v>
      </c>
    </row>
    <row r="2052" spans="1:7">
      <c r="A2052" s="304" t="s">
        <v>478</v>
      </c>
      <c r="B2052" s="304" t="s">
        <v>129</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129</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463</v>
      </c>
      <c r="B2064" s="43" t="s">
        <v>129</v>
      </c>
      <c r="C2064" s="56">
        <v>45979</v>
      </c>
      <c r="D2064" s="155">
        <v>2684</v>
      </c>
      <c r="F2064" s="69"/>
      <c r="G2064" t="s">
        <v>1828</v>
      </c>
    </row>
    <row r="2065" spans="1:7">
      <c r="A2065" s="148" t="s">
        <v>478</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129</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473</v>
      </c>
      <c r="B2086" s="357" t="s">
        <v>129</v>
      </c>
      <c r="C2086" s="56">
        <v>45981</v>
      </c>
      <c r="D2086" s="155">
        <v>2252</v>
      </c>
      <c r="F2086" s="69"/>
      <c r="G2086" t="s">
        <v>1828</v>
      </c>
    </row>
    <row r="2087" spans="1:7">
      <c r="A2087" s="318" t="s">
        <v>478</v>
      </c>
      <c r="B2087" s="387" t="s">
        <v>129</v>
      </c>
      <c r="C2087" s="56">
        <v>45981</v>
      </c>
      <c r="D2087" s="1077">
        <v>1027</v>
      </c>
      <c r="F2087" s="69"/>
      <c r="G2087" t="s">
        <v>1828</v>
      </c>
    </row>
    <row r="2088" spans="1:7">
      <c r="A2088" s="348" t="s">
        <v>481</v>
      </c>
      <c r="B2088" s="357" t="s">
        <v>129</v>
      </c>
      <c r="C2088" s="56">
        <v>45981</v>
      </c>
      <c r="D2088" s="155">
        <v>1420</v>
      </c>
      <c r="F2088" s="69"/>
      <c r="G2088" t="s">
        <v>1828</v>
      </c>
    </row>
    <row r="2089" spans="1:7">
      <c r="A2089" s="318" t="s">
        <v>484</v>
      </c>
      <c r="B2089" s="387" t="s">
        <v>129</v>
      </c>
      <c r="C2089" s="56">
        <v>45981</v>
      </c>
      <c r="D2089" s="155">
        <v>2376</v>
      </c>
      <c r="F2089" s="69"/>
      <c r="G2089" t="s">
        <v>1828</v>
      </c>
    </row>
    <row r="2090" spans="1:7">
      <c r="A2090" s="348" t="s">
        <v>506</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463</v>
      </c>
      <c r="B2097" s="165" t="s">
        <v>129</v>
      </c>
      <c r="C2097" s="56">
        <v>45982</v>
      </c>
      <c r="D2097" s="43">
        <v>51</v>
      </c>
      <c r="F2097" s="69"/>
      <c r="G2097" t="s">
        <v>1828</v>
      </c>
    </row>
    <row r="2098" spans="1:7">
      <c r="A2098" s="404" t="s">
        <v>506</v>
      </c>
      <c r="B2098" s="173" t="s">
        <v>129</v>
      </c>
      <c r="C2098" s="56">
        <v>45982</v>
      </c>
      <c r="D2098" s="155">
        <v>3007</v>
      </c>
      <c r="F2098" s="69"/>
      <c r="G2098" t="s">
        <v>1828</v>
      </c>
    </row>
    <row r="2099" spans="1:7">
      <c r="A2099" s="404" t="s">
        <v>478</v>
      </c>
      <c r="B2099" s="173" t="s">
        <v>129</v>
      </c>
      <c r="C2099" s="56">
        <v>45982</v>
      </c>
      <c r="D2099" s="43">
        <v>490</v>
      </c>
      <c r="F2099" s="69"/>
      <c r="G2099" t="s">
        <v>1828</v>
      </c>
    </row>
    <row r="2100" spans="1:7">
      <c r="A2100" s="404" t="s">
        <v>481</v>
      </c>
      <c r="B2100" s="173" t="s">
        <v>129</v>
      </c>
      <c r="C2100" s="56">
        <v>45982</v>
      </c>
      <c r="D2100" s="155">
        <v>3043</v>
      </c>
      <c r="F2100" s="69"/>
      <c r="G2100" t="s">
        <v>1828</v>
      </c>
    </row>
    <row r="2101" spans="1:7">
      <c r="A2101" s="404" t="s">
        <v>484</v>
      </c>
      <c r="B2101" s="173" t="s">
        <v>129</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129</v>
      </c>
      <c r="C2111" s="56">
        <v>45985</v>
      </c>
      <c r="D2111" s="43">
        <v>805</v>
      </c>
      <c r="F2111" s="69" t="s">
        <v>1892</v>
      </c>
      <c r="G2111" t="s">
        <v>1828</v>
      </c>
    </row>
    <row r="2112" spans="1:7">
      <c r="A2112" s="43" t="s">
        <v>597</v>
      </c>
      <c r="B2112" s="1085" t="s">
        <v>129</v>
      </c>
      <c r="C2112" s="56">
        <v>45985</v>
      </c>
      <c r="D2112" s="43">
        <v>665</v>
      </c>
      <c r="F2112" s="69"/>
      <c r="G2112" t="s">
        <v>1828</v>
      </c>
    </row>
    <row r="2113" spans="1:7">
      <c r="A2113" s="43" t="s">
        <v>433</v>
      </c>
      <c r="B2113" s="1085" t="s">
        <v>129</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409</v>
      </c>
      <c r="B2119" s="247" t="s">
        <v>1753</v>
      </c>
      <c r="C2119" s="56">
        <v>45985</v>
      </c>
      <c r="D2119" s="139"/>
      <c r="E2119" s="43"/>
      <c r="F2119" s="1084" t="s">
        <v>1896</v>
      </c>
      <c r="G2119" t="s">
        <v>1828</v>
      </c>
    </row>
    <row r="2120" spans="1:7">
      <c r="A2120" s="43" t="s">
        <v>398</v>
      </c>
      <c r="B2120" s="247" t="s">
        <v>1753</v>
      </c>
      <c r="C2120" s="56">
        <v>45985</v>
      </c>
      <c r="D2120" s="139"/>
      <c r="E2120" s="43"/>
      <c r="F2120" s="1084" t="s">
        <v>1897</v>
      </c>
      <c r="G2120" t="s">
        <v>1828</v>
      </c>
    </row>
    <row r="2121" spans="1:7">
      <c r="A2121" s="43" t="s">
        <v>421</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129</v>
      </c>
      <c r="C2128" s="56">
        <v>45986</v>
      </c>
      <c r="D2128" s="155">
        <v>1100</v>
      </c>
      <c r="G2128" t="s">
        <v>1828</v>
      </c>
    </row>
    <row r="2129" spans="1:7">
      <c r="A2129" s="43" t="s">
        <v>597</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465</v>
      </c>
      <c r="B2136" s="165" t="s">
        <v>129</v>
      </c>
      <c r="C2136" s="56">
        <v>45986</v>
      </c>
      <c r="D2136" s="155">
        <v>2382</v>
      </c>
      <c r="G2136" t="s">
        <v>1828</v>
      </c>
    </row>
    <row r="2137" spans="1:7">
      <c r="A2137" s="404" t="s">
        <v>452</v>
      </c>
      <c r="B2137" s="173" t="s">
        <v>129</v>
      </c>
      <c r="C2137" s="56">
        <v>45986</v>
      </c>
      <c r="D2137" s="43">
        <v>996</v>
      </c>
      <c r="G2137" t="s">
        <v>1828</v>
      </c>
    </row>
    <row r="2138" spans="1:7">
      <c r="A2138" s="404" t="s">
        <v>487</v>
      </c>
      <c r="B2138" s="173" t="s">
        <v>129</v>
      </c>
      <c r="C2138" s="56">
        <v>45986</v>
      </c>
      <c r="D2138" s="155">
        <v>3634</v>
      </c>
      <c r="G2138" t="s">
        <v>1828</v>
      </c>
    </row>
    <row r="2139" spans="1:7">
      <c r="A2139" s="69" t="s">
        <v>484</v>
      </c>
      <c r="B2139" s="173" t="s">
        <v>129</v>
      </c>
      <c r="C2139" s="56">
        <v>45986</v>
      </c>
      <c r="D2139" s="155">
        <v>3311</v>
      </c>
      <c r="G2139" t="s">
        <v>1828</v>
      </c>
    </row>
    <row r="2140" spans="1:7">
      <c r="A2140" s="69" t="s">
        <v>317</v>
      </c>
      <c r="B2140" s="173" t="s">
        <v>129</v>
      </c>
      <c r="C2140" s="56">
        <v>45986</v>
      </c>
      <c r="D2140" s="155">
        <v>1175</v>
      </c>
      <c r="G2140" t="s">
        <v>1828</v>
      </c>
    </row>
    <row r="2141" spans="1:7">
      <c r="A2141" s="247" t="s">
        <v>481</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129</v>
      </c>
      <c r="C2147" s="56">
        <v>45987</v>
      </c>
      <c r="D2147" s="155">
        <v>1024</v>
      </c>
      <c r="F2147" s="43" t="s">
        <v>1903</v>
      </c>
      <c r="G2147" t="s">
        <v>1828</v>
      </c>
    </row>
    <row r="2148" spans="1:7">
      <c r="A2148" s="306" t="s">
        <v>600</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129</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129</v>
      </c>
      <c r="C2176" s="56">
        <v>45992</v>
      </c>
      <c r="D2176" s="155">
        <v>1610</v>
      </c>
      <c r="F2176" s="43" t="s">
        <v>1916</v>
      </c>
      <c r="G2176" t="s">
        <v>1913</v>
      </c>
    </row>
    <row r="2177" spans="1:7">
      <c r="A2177" s="1086" t="s">
        <v>600</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487</v>
      </c>
      <c r="B2182" s="357" t="s">
        <v>129</v>
      </c>
      <c r="C2182" s="56">
        <v>45992</v>
      </c>
      <c r="D2182" s="155">
        <v>3376</v>
      </c>
      <c r="G2182" t="s">
        <v>1913</v>
      </c>
    </row>
    <row r="2183" spans="1:7">
      <c r="A2183" s="317" t="s">
        <v>465</v>
      </c>
      <c r="B2183" s="308" t="s">
        <v>129</v>
      </c>
      <c r="C2183" s="56">
        <v>45992</v>
      </c>
      <c r="D2183" s="155">
        <v>3084</v>
      </c>
      <c r="G2183" t="s">
        <v>1913</v>
      </c>
    </row>
    <row r="2184" spans="1:7">
      <c r="A2184" s="311" t="s">
        <v>503</v>
      </c>
      <c r="B2184" s="311" t="s">
        <v>129</v>
      </c>
      <c r="C2184" s="56">
        <v>45992</v>
      </c>
      <c r="D2184" s="155">
        <v>1829</v>
      </c>
      <c r="G2184" t="s">
        <v>1913</v>
      </c>
    </row>
    <row r="2185" spans="1:7">
      <c r="A2185" s="247" t="s">
        <v>468</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129</v>
      </c>
      <c r="C2194" s="56">
        <v>45993</v>
      </c>
      <c r="D2194" s="155">
        <v>2916</v>
      </c>
      <c r="G2194" t="s">
        <v>1913</v>
      </c>
    </row>
    <row r="2195" spans="1:7">
      <c r="A2195" s="315" t="s">
        <v>503</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141</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129</v>
      </c>
      <c r="C2204" s="56">
        <v>45994</v>
      </c>
      <c r="D2204" s="155">
        <v>1379</v>
      </c>
      <c r="F2204" s="43" t="s">
        <v>1928</v>
      </c>
      <c r="G2204" t="s">
        <v>1913</v>
      </c>
    </row>
    <row r="2205" spans="1:7">
      <c r="A2205" s="753" t="s">
        <v>421</v>
      </c>
      <c r="B2205" s="753" t="s">
        <v>1753</v>
      </c>
      <c r="C2205" s="56">
        <v>45994</v>
      </c>
      <c r="D2205" s="155">
        <v>1677</v>
      </c>
      <c r="G2205" t="s">
        <v>1913</v>
      </c>
    </row>
    <row r="2206" spans="1:7">
      <c r="A2206" s="1121" t="s">
        <v>468</v>
      </c>
      <c r="B2206" s="1122" t="s">
        <v>129</v>
      </c>
      <c r="C2206" s="56">
        <v>45994</v>
      </c>
      <c r="D2206" s="155">
        <v>2430</v>
      </c>
      <c r="G2206" t="s">
        <v>1913</v>
      </c>
    </row>
    <row r="2207" spans="1:7">
      <c r="A2207" s="756" t="s">
        <v>503</v>
      </c>
      <c r="B2207" s="756" t="s">
        <v>129</v>
      </c>
      <c r="C2207" s="56">
        <v>45994</v>
      </c>
      <c r="D2207" s="43">
        <v>694</v>
      </c>
      <c r="G2207" t="s">
        <v>1913</v>
      </c>
    </row>
    <row r="2208" spans="1:7">
      <c r="A2208" s="1121" t="s">
        <v>322</v>
      </c>
      <c r="B2208" s="1122"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569</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2" t="s">
        <v>129</v>
      </c>
      <c r="C2233" s="56">
        <v>45996</v>
      </c>
      <c r="E2233" s="139">
        <v>636</v>
      </c>
      <c r="F2233" s="944"/>
      <c r="G2233" t="s">
        <v>1913</v>
      </c>
    </row>
    <row r="2234" spans="1:7">
      <c r="A2234" s="311" t="s">
        <v>476</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141</v>
      </c>
      <c r="C2241" s="56">
        <v>45999</v>
      </c>
      <c r="D2241" s="155">
        <v>1172</v>
      </c>
      <c r="E2241" s="201"/>
      <c r="F2241" s="115" t="s">
        <v>1947</v>
      </c>
      <c r="G2241" t="s">
        <v>1913</v>
      </c>
    </row>
    <row r="2242" spans="1:7">
      <c r="A2242" s="1132" t="s">
        <v>436</v>
      </c>
      <c r="B2242" s="1133" t="s">
        <v>129</v>
      </c>
      <c r="C2242" s="56">
        <v>45999</v>
      </c>
      <c r="D2242" s="321">
        <v>1583</v>
      </c>
      <c r="E2242" s="43"/>
      <c r="F2242" s="43" t="s">
        <v>1948</v>
      </c>
      <c r="G2242" t="s">
        <v>1913</v>
      </c>
    </row>
    <row r="2243" spans="1:7">
      <c r="A2243" s="247" t="s">
        <v>575</v>
      </c>
      <c r="B2243" s="1133" t="s">
        <v>129</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496</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436</v>
      </c>
      <c r="B2253" s="247" t="s">
        <v>129</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141</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490</v>
      </c>
      <c r="B2258" s="173" t="s">
        <v>129</v>
      </c>
      <c r="C2258" s="56">
        <v>46000</v>
      </c>
      <c r="D2258" s="155">
        <v>1980</v>
      </c>
      <c r="F2258" s="43" t="s">
        <v>1957</v>
      </c>
      <c r="G2258" t="s">
        <v>1913</v>
      </c>
    </row>
    <row r="2259" spans="1:7">
      <c r="A2259" s="404" t="s">
        <v>496</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499</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436</v>
      </c>
      <c r="B2268" s="1135" t="s">
        <v>129</v>
      </c>
      <c r="C2268" s="56">
        <v>46001</v>
      </c>
      <c r="D2268" s="43">
        <v>621</v>
      </c>
      <c r="F2268" s="43" t="s">
        <v>1960</v>
      </c>
      <c r="G2268" t="s">
        <v>1913</v>
      </c>
    </row>
    <row r="2269" spans="1:7">
      <c r="A2269" s="741" t="s">
        <v>566</v>
      </c>
      <c r="B2269" s="756" t="s">
        <v>141</v>
      </c>
      <c r="C2269" s="56">
        <v>46001</v>
      </c>
      <c r="D2269" s="155">
        <v>1084</v>
      </c>
      <c r="F2269" s="43" t="s">
        <v>1961</v>
      </c>
      <c r="G2269" t="s">
        <v>1913</v>
      </c>
    </row>
    <row r="2270" spans="1:7">
      <c r="A2270" s="924" t="s">
        <v>597</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490</v>
      </c>
      <c r="B2273" s="753" t="s">
        <v>129</v>
      </c>
      <c r="C2273" s="56">
        <v>46001</v>
      </c>
      <c r="D2273" s="155">
        <v>1251</v>
      </c>
      <c r="G2273" t="s">
        <v>1913</v>
      </c>
    </row>
    <row r="2274" spans="1:7">
      <c r="A2274" s="1136" t="s">
        <v>496</v>
      </c>
      <c r="B2274" s="1120" t="s">
        <v>129</v>
      </c>
      <c r="C2274" s="56">
        <v>46001</v>
      </c>
      <c r="D2274" s="43">
        <v>931</v>
      </c>
      <c r="G2274" t="s">
        <v>1913</v>
      </c>
    </row>
    <row r="2275" spans="1:7">
      <c r="A2275" s="753" t="s">
        <v>499</v>
      </c>
      <c r="B2275" s="997" t="s">
        <v>129</v>
      </c>
      <c r="C2275" s="56">
        <v>46001</v>
      </c>
      <c r="D2275" s="43">
        <v>522</v>
      </c>
      <c r="G2275" t="s">
        <v>1913</v>
      </c>
    </row>
    <row r="2276" spans="1:7">
      <c r="A2276" s="753" t="s">
        <v>503</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8" t="s">
        <v>490</v>
      </c>
      <c r="B2287" s="69" t="s">
        <v>129</v>
      </c>
      <c r="C2287" s="56">
        <v>46002</v>
      </c>
      <c r="D2287" s="155">
        <v>3172</v>
      </c>
      <c r="G2287" t="s">
        <v>1913</v>
      </c>
    </row>
    <row r="2288" spans="1:7">
      <c r="A2288" s="1138" t="s">
        <v>478</v>
      </c>
      <c r="B2288" s="69" t="s">
        <v>129</v>
      </c>
      <c r="C2288" s="56">
        <v>46002</v>
      </c>
      <c r="D2288" s="43">
        <v>242</v>
      </c>
      <c r="F2288" s="43" t="s">
        <v>1971</v>
      </c>
      <c r="G2288" t="s">
        <v>1913</v>
      </c>
    </row>
    <row r="2289" spans="1:7">
      <c r="A2289" s="395" t="s">
        <v>499</v>
      </c>
      <c r="B2289" s="43" t="s">
        <v>129</v>
      </c>
      <c r="C2289" s="56">
        <v>46002</v>
      </c>
      <c r="D2289" s="155">
        <v>1194</v>
      </c>
      <c r="G2289" t="s">
        <v>1913</v>
      </c>
    </row>
    <row r="2290" spans="1:7">
      <c r="A2290" s="1139"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0" t="s">
        <v>478</v>
      </c>
      <c r="B2298" s="1120" t="s">
        <v>129</v>
      </c>
      <c r="C2298" s="56">
        <v>46003</v>
      </c>
      <c r="F2298" s="337" t="s">
        <v>1977</v>
      </c>
      <c r="G2298" t="s">
        <v>1913</v>
      </c>
    </row>
    <row r="2299" spans="1:7">
      <c r="A2299" s="1136" t="s">
        <v>499</v>
      </c>
      <c r="B2299" s="1136"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9"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141</v>
      </c>
      <c r="C2306" s="56">
        <v>46006</v>
      </c>
      <c r="D2306" s="43">
        <v>689</v>
      </c>
      <c r="F2306" s="43" t="s">
        <v>1981</v>
      </c>
      <c r="G2306" t="s">
        <v>1913</v>
      </c>
    </row>
    <row r="2307" spans="1:7">
      <c r="A2307" s="1086" t="s">
        <v>550</v>
      </c>
      <c r="B2307" s="247" t="s">
        <v>129</v>
      </c>
      <c r="C2307" s="310">
        <v>46006</v>
      </c>
      <c r="D2307" s="155">
        <v>1095</v>
      </c>
      <c r="G2307" t="s">
        <v>1913</v>
      </c>
    </row>
    <row r="2308" spans="1:7">
      <c r="A2308" s="1327" t="s">
        <v>572</v>
      </c>
      <c r="B2308" s="43" t="s">
        <v>129</v>
      </c>
      <c r="C2308" s="310">
        <v>46006</v>
      </c>
      <c r="D2308" s="155">
        <v>1344</v>
      </c>
      <c r="F2308" s="43" t="s">
        <v>1982</v>
      </c>
      <c r="G2308" t="s">
        <v>1913</v>
      </c>
    </row>
    <row r="2309" spans="1:7">
      <c r="A2309" s="1327" t="s">
        <v>597</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8" t="s">
        <v>490</v>
      </c>
      <c r="B2311" s="69" t="s">
        <v>129</v>
      </c>
      <c r="C2311" s="56">
        <v>46006</v>
      </c>
      <c r="D2311" s="43">
        <v>29</v>
      </c>
      <c r="E2311" s="201"/>
      <c r="F2311" s="115"/>
      <c r="G2311" t="s">
        <v>1913</v>
      </c>
    </row>
    <row r="2312" spans="1:7">
      <c r="A2312" s="1138" t="s">
        <v>457</v>
      </c>
      <c r="B2312" s="69" t="s">
        <v>129</v>
      </c>
      <c r="C2312" s="56">
        <v>46006</v>
      </c>
      <c r="D2312" s="139"/>
      <c r="E2312" s="43"/>
      <c r="F2312" s="753" t="s">
        <v>1394</v>
      </c>
      <c r="G2312" t="s">
        <v>1913</v>
      </c>
    </row>
    <row r="2313" spans="1:7">
      <c r="A2313" s="1138" t="s">
        <v>484</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141</v>
      </c>
      <c r="C2318" s="56">
        <v>46007</v>
      </c>
      <c r="D2318" s="43">
        <v>586</v>
      </c>
      <c r="F2318" s="43" t="s">
        <v>1988</v>
      </c>
      <c r="G2318" t="s">
        <v>1913</v>
      </c>
    </row>
    <row r="2319" spans="1:7">
      <c r="A2319" s="1086" t="s">
        <v>550</v>
      </c>
      <c r="B2319" s="1133" t="s">
        <v>129</v>
      </c>
      <c r="C2319" s="56">
        <v>46007</v>
      </c>
      <c r="D2319" s="155">
        <v>1676</v>
      </c>
      <c r="F2319" s="43" t="s">
        <v>1989</v>
      </c>
      <c r="G2319" t="s">
        <v>1913</v>
      </c>
    </row>
    <row r="2320" spans="1:7">
      <c r="A2320" s="1132" t="s">
        <v>572</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490</v>
      </c>
      <c r="B2324" s="69" t="s">
        <v>129</v>
      </c>
      <c r="C2324" s="56">
        <v>46007</v>
      </c>
      <c r="F2324" s="337" t="s">
        <v>1993</v>
      </c>
      <c r="G2324" t="s">
        <v>1913</v>
      </c>
    </row>
    <row r="2325" spans="1:7">
      <c r="A2325" s="69" t="s">
        <v>493</v>
      </c>
      <c r="B2325" s="69" t="s">
        <v>129</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6"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6" t="s">
        <v>1973</v>
      </c>
      <c r="G2330" t="s">
        <v>1913</v>
      </c>
    </row>
    <row r="2331" spans="1:7">
      <c r="A2331" s="247" t="s">
        <v>1159</v>
      </c>
      <c r="B2331" s="1133" t="s">
        <v>449</v>
      </c>
      <c r="C2331" s="56">
        <v>46008</v>
      </c>
      <c r="D2331" s="43">
        <v>235</v>
      </c>
      <c r="F2331" s="43" t="s">
        <v>1987</v>
      </c>
      <c r="G2331" t="s">
        <v>1913</v>
      </c>
    </row>
    <row r="2332" spans="1:7">
      <c r="A2332" s="1132" t="s">
        <v>560</v>
      </c>
      <c r="B2332" s="1133" t="s">
        <v>141</v>
      </c>
      <c r="C2332" s="56">
        <v>46008</v>
      </c>
      <c r="D2332" s="43">
        <v>199</v>
      </c>
      <c r="F2332" s="43" t="s">
        <v>1996</v>
      </c>
      <c r="G2332" t="s">
        <v>1913</v>
      </c>
    </row>
    <row r="2333" spans="1:7">
      <c r="A2333" s="1086" t="s">
        <v>550</v>
      </c>
      <c r="B2333" s="1133" t="s">
        <v>129</v>
      </c>
      <c r="C2333" s="56">
        <v>46008</v>
      </c>
      <c r="D2333" s="155">
        <v>1139</v>
      </c>
      <c r="F2333" s="43" t="s">
        <v>1997</v>
      </c>
      <c r="G2333" t="s">
        <v>1913</v>
      </c>
    </row>
    <row r="2334" spans="1:7">
      <c r="A2334" s="1132" t="s">
        <v>572</v>
      </c>
      <c r="B2334" t="s">
        <v>129</v>
      </c>
      <c r="C2334" s="56">
        <v>46008</v>
      </c>
      <c r="D2334" s="155">
        <v>1027</v>
      </c>
      <c r="F2334" s="43" t="s">
        <v>1998</v>
      </c>
      <c r="G2334" t="s">
        <v>1913</v>
      </c>
    </row>
    <row r="2335" spans="1:7">
      <c r="A2335" s="1335" t="s">
        <v>569</v>
      </c>
      <c r="B2335" s="1133"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503</v>
      </c>
      <c r="B2339" s="69" t="s">
        <v>129</v>
      </c>
      <c r="C2339" s="56">
        <v>46008</v>
      </c>
      <c r="D2339" s="43">
        <v>320</v>
      </c>
      <c r="G2339" t="s">
        <v>1913</v>
      </c>
    </row>
    <row r="2340" spans="1:7">
      <c r="A2340" s="148" t="s">
        <v>493</v>
      </c>
      <c r="B2340" s="148" t="s">
        <v>129</v>
      </c>
      <c r="C2340" s="56">
        <v>46008</v>
      </c>
      <c r="D2340" s="155">
        <v>1083</v>
      </c>
      <c r="G2340" t="s">
        <v>1913</v>
      </c>
    </row>
    <row r="2341" spans="1:7">
      <c r="A2341" s="148" t="s">
        <v>478</v>
      </c>
      <c r="B2341" s="148" t="s">
        <v>129</v>
      </c>
      <c r="C2341" s="56">
        <v>46008</v>
      </c>
      <c r="F2341" s="311" t="s">
        <v>1183</v>
      </c>
      <c r="G2341" t="s">
        <v>1913</v>
      </c>
    </row>
    <row r="2342" spans="1:7">
      <c r="A2342" s="1138" t="s">
        <v>322</v>
      </c>
      <c r="B2342" s="69" t="s">
        <v>129</v>
      </c>
      <c r="C2342" s="56">
        <v>46008</v>
      </c>
      <c r="D2342" s="43">
        <v>372</v>
      </c>
      <c r="G2342" t="s">
        <v>1913</v>
      </c>
    </row>
    <row r="2343" spans="1:7">
      <c r="A2343" s="1138" t="s">
        <v>334</v>
      </c>
      <c r="B2343" s="69" t="s">
        <v>129</v>
      </c>
      <c r="C2343" s="56">
        <v>46008</v>
      </c>
      <c r="D2343" s="43">
        <v>95</v>
      </c>
      <c r="G2343" t="s">
        <v>1913</v>
      </c>
    </row>
    <row r="2344" spans="1:7">
      <c r="A2344" s="1138" t="s">
        <v>499</v>
      </c>
      <c r="B2344" s="69" t="s">
        <v>129</v>
      </c>
      <c r="C2344" s="56">
        <v>46008</v>
      </c>
      <c r="D2344" s="155">
        <v>1049</v>
      </c>
      <c r="G2344" t="s">
        <v>1913</v>
      </c>
    </row>
    <row r="2345" spans="1:7">
      <c r="A2345" s="148" t="s">
        <v>476</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6" t="s">
        <v>1973</v>
      </c>
      <c r="G2347" t="s">
        <v>1913</v>
      </c>
    </row>
    <row r="2348" spans="1:7">
      <c r="A2348" s="317" t="s">
        <v>1158</v>
      </c>
      <c r="B2348" s="306" t="s">
        <v>1533</v>
      </c>
      <c r="C2348" s="56">
        <v>46009</v>
      </c>
      <c r="D2348" s="139"/>
      <c r="E2348" s="155">
        <v>1506</v>
      </c>
      <c r="F2348" s="1338"/>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7" t="s">
        <v>560</v>
      </c>
      <c r="B2353" s="307" t="s">
        <v>141</v>
      </c>
      <c r="C2353" s="56">
        <v>46009</v>
      </c>
      <c r="F2353" s="304" t="s">
        <v>1825</v>
      </c>
      <c r="G2353" t="s">
        <v>1913</v>
      </c>
    </row>
    <row r="2354" spans="1:7">
      <c r="A2354" s="799" t="s">
        <v>572</v>
      </c>
      <c r="B2354" s="346" t="s">
        <v>129</v>
      </c>
      <c r="C2354" s="56">
        <v>46009</v>
      </c>
      <c r="D2354" s="155">
        <v>1596</v>
      </c>
      <c r="F2354" s="43" t="s">
        <v>2004</v>
      </c>
      <c r="G2354" t="s">
        <v>1913</v>
      </c>
    </row>
    <row r="2355" spans="1:7">
      <c r="A2355" s="349" t="s">
        <v>566</v>
      </c>
      <c r="B2355" s="387" t="s">
        <v>141</v>
      </c>
      <c r="C2355" s="56">
        <v>46009</v>
      </c>
      <c r="F2355" s="304" t="s">
        <v>1825</v>
      </c>
      <c r="G2355" t="s">
        <v>1913</v>
      </c>
    </row>
    <row r="2356" spans="1:7">
      <c r="A2356" s="349" t="s">
        <v>569</v>
      </c>
      <c r="B2356" s="307" t="s">
        <v>141</v>
      </c>
      <c r="C2356" s="56">
        <v>46009</v>
      </c>
      <c r="F2356" s="304" t="s">
        <v>1825</v>
      </c>
      <c r="G2356" t="s">
        <v>1913</v>
      </c>
    </row>
    <row r="2357" spans="1:7">
      <c r="A2357" s="348" t="s">
        <v>612</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503</v>
      </c>
      <c r="B2361" s="141" t="s">
        <v>129</v>
      </c>
      <c r="C2361" s="310">
        <v>46009</v>
      </c>
      <c r="D2361" s="43">
        <v>652</v>
      </c>
      <c r="G2361" t="s">
        <v>1913</v>
      </c>
    </row>
    <row r="2362" spans="1:7">
      <c r="A2362" s="304" t="s">
        <v>506</v>
      </c>
      <c r="B2362" s="304" t="s">
        <v>129</v>
      </c>
      <c r="C2362" s="56">
        <v>46009</v>
      </c>
      <c r="D2362" s="43">
        <v>396</v>
      </c>
      <c r="G2362" t="s">
        <v>1913</v>
      </c>
    </row>
    <row r="2363" spans="1:7">
      <c r="A2363" s="305" t="s">
        <v>493</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476</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141</v>
      </c>
      <c r="C2374" s="310">
        <v>46010</v>
      </c>
      <c r="E2374" s="139">
        <v>765</v>
      </c>
      <c r="G2374" t="s">
        <v>1913</v>
      </c>
    </row>
    <row r="2375" spans="1:7">
      <c r="A2375" s="802" t="s">
        <v>550</v>
      </c>
      <c r="B2375" s="141" t="s">
        <v>129</v>
      </c>
      <c r="C2375" s="310">
        <v>46010</v>
      </c>
      <c r="E2375" s="139">
        <v>883</v>
      </c>
      <c r="F2375" s="311" t="s">
        <v>2012</v>
      </c>
      <c r="G2375" t="s">
        <v>1913</v>
      </c>
    </row>
    <row r="2376" spans="1:7">
      <c r="A2376" s="141" t="s">
        <v>566</v>
      </c>
      <c r="B2376" s="141" t="s">
        <v>141</v>
      </c>
      <c r="C2376" s="310">
        <v>46010</v>
      </c>
      <c r="E2376" s="139">
        <v>765</v>
      </c>
      <c r="G2376" t="s">
        <v>1913</v>
      </c>
    </row>
    <row r="2377" spans="1:7">
      <c r="A2377" s="141" t="s">
        <v>569</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39" t="s">
        <v>322</v>
      </c>
      <c r="B2380" s="1340" t="s">
        <v>129</v>
      </c>
      <c r="C2380" s="56">
        <v>46010</v>
      </c>
      <c r="D2380" s="43">
        <v>582</v>
      </c>
      <c r="G2380" t="s">
        <v>1913</v>
      </c>
    </row>
    <row r="2381" spans="1:7">
      <c r="A2381" s="1339" t="s">
        <v>493</v>
      </c>
      <c r="B2381" s="1340" t="s">
        <v>129</v>
      </c>
      <c r="C2381" s="56">
        <v>46010</v>
      </c>
      <c r="D2381" s="155">
        <v>2064</v>
      </c>
      <c r="G2381" t="s">
        <v>1913</v>
      </c>
    </row>
    <row r="2382" spans="1:7">
      <c r="A2382" s="1339" t="s">
        <v>328</v>
      </c>
      <c r="B2382" s="1340" t="s">
        <v>129</v>
      </c>
      <c r="C2382" s="56">
        <v>46010</v>
      </c>
      <c r="D2382" s="155">
        <v>1683</v>
      </c>
      <c r="G2382" t="s">
        <v>1913</v>
      </c>
    </row>
    <row r="2383" spans="1:7">
      <c r="A2383" s="1339" t="s">
        <v>325</v>
      </c>
      <c r="B2383" s="1340" t="s">
        <v>129</v>
      </c>
      <c r="C2383" s="56">
        <v>46010</v>
      </c>
      <c r="D2383" s="155">
        <v>1235</v>
      </c>
      <c r="G2383" t="s">
        <v>1913</v>
      </c>
    </row>
    <row r="2384" spans="1:7">
      <c r="A2384" s="1339" t="s">
        <v>490</v>
      </c>
      <c r="B2384" s="1340" t="s">
        <v>129</v>
      </c>
      <c r="C2384" s="56">
        <v>46010</v>
      </c>
      <c r="F2384" s="43" t="s">
        <v>2015</v>
      </c>
      <c r="G2384" t="s">
        <v>1913</v>
      </c>
    </row>
    <row r="2385" spans="1:7">
      <c r="A2385" s="1339" t="s">
        <v>503</v>
      </c>
      <c r="B2385" s="1340" t="s">
        <v>129</v>
      </c>
      <c r="C2385" s="56">
        <v>46010</v>
      </c>
      <c r="D2385" s="43">
        <v>780</v>
      </c>
      <c r="E2385" s="201"/>
      <c r="F2385" s="115"/>
      <c r="G2385" t="s">
        <v>1913</v>
      </c>
    </row>
    <row r="2386" spans="1:7">
      <c r="A2386" s="1339" t="s">
        <v>1162</v>
      </c>
      <c r="B2386" s="1340"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129</v>
      </c>
      <c r="C2390" s="56">
        <v>46013</v>
      </c>
      <c r="D2390" s="43">
        <v>380</v>
      </c>
      <c r="G2390" t="s">
        <v>1913</v>
      </c>
    </row>
    <row r="2391" spans="1:7">
      <c r="A2391" s="315" t="s">
        <v>615</v>
      </c>
      <c r="B2391" s="315" t="s">
        <v>129</v>
      </c>
      <c r="C2391" s="56">
        <v>46013</v>
      </c>
      <c r="D2391" s="43">
        <v>523</v>
      </c>
      <c r="G2391" t="s">
        <v>1913</v>
      </c>
    </row>
    <row r="2392" spans="1:7">
      <c r="A2392" s="315" t="s">
        <v>572</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0" t="s">
        <v>493</v>
      </c>
      <c r="B2395" s="1120" t="s">
        <v>129</v>
      </c>
      <c r="C2395" s="56">
        <v>46013</v>
      </c>
      <c r="F2395" s="337" t="s">
        <v>2019</v>
      </c>
      <c r="G2395" t="s">
        <v>1913</v>
      </c>
    </row>
    <row r="2396" spans="1:7">
      <c r="A2396" s="1120" t="s">
        <v>328</v>
      </c>
      <c r="B2396" s="1120" t="s">
        <v>129</v>
      </c>
      <c r="C2396" s="56">
        <v>46013</v>
      </c>
      <c r="D2396" s="43">
        <v>362</v>
      </c>
      <c r="G2396" t="s">
        <v>1913</v>
      </c>
    </row>
    <row r="2397" spans="1:7">
      <c r="A2397" s="1136" t="s">
        <v>334</v>
      </c>
      <c r="B2397" s="1136" t="s">
        <v>129</v>
      </c>
      <c r="C2397" s="56">
        <v>46013</v>
      </c>
      <c r="D2397" s="155">
        <v>3523</v>
      </c>
      <c r="G2397" t="s">
        <v>1913</v>
      </c>
    </row>
    <row r="2398" spans="1:7">
      <c r="A2398" s="756" t="s">
        <v>503</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129</v>
      </c>
      <c r="C2401" s="56">
        <v>46014</v>
      </c>
      <c r="F2401" s="337" t="s">
        <v>1559</v>
      </c>
      <c r="G2401" t="s">
        <v>1913</v>
      </c>
    </row>
    <row r="2402" spans="1:7">
      <c r="A2402" s="802" t="s">
        <v>615</v>
      </c>
      <c r="B2402" s="1000" t="s">
        <v>129</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9" t="s">
        <v>129</v>
      </c>
      <c r="C2404" s="56">
        <v>46014</v>
      </c>
      <c r="E2404" s="321">
        <v>14727</v>
      </c>
      <c r="F2404" s="430" t="s">
        <v>2020</v>
      </c>
      <c r="G2404" t="s">
        <v>1913</v>
      </c>
    </row>
    <row r="2405" spans="1:7">
      <c r="A2405" s="247" t="s">
        <v>334</v>
      </c>
      <c r="B2405" s="1340" t="s">
        <v>129</v>
      </c>
      <c r="C2405" s="56">
        <v>46014</v>
      </c>
      <c r="D2405" s="155">
        <v>2384</v>
      </c>
      <c r="G2405" t="s">
        <v>1913</v>
      </c>
    </row>
    <row r="2406" spans="1:7">
      <c r="A2406" s="318" t="s">
        <v>612</v>
      </c>
      <c r="B2406" s="387" t="s">
        <v>1093</v>
      </c>
      <c r="C2406" s="56">
        <v>46015</v>
      </c>
      <c r="E2406" s="321">
        <v>2448</v>
      </c>
      <c r="F2406" s="43" t="s">
        <v>2021</v>
      </c>
      <c r="G2406" t="s">
        <v>1913</v>
      </c>
    </row>
    <row r="2407" spans="1:7">
      <c r="A2407" s="1337" t="s">
        <v>615</v>
      </c>
      <c r="B2407" s="307" t="s">
        <v>1093</v>
      </c>
      <c r="C2407" s="56">
        <v>46015</v>
      </c>
      <c r="E2407" s="321">
        <v>1225</v>
      </c>
      <c r="F2407" s="43" t="s">
        <v>2022</v>
      </c>
      <c r="G2407" t="s">
        <v>1913</v>
      </c>
    </row>
    <row r="2408" spans="1:7">
      <c r="C2408" s="56">
        <v>46016</v>
      </c>
      <c r="G2408" t="s">
        <v>1913</v>
      </c>
    </row>
    <row r="2409" spans="1:7">
      <c r="A2409" s="247"/>
      <c r="B2409" s="1340"/>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129</v>
      </c>
      <c r="C2411" s="56">
        <v>46020</v>
      </c>
      <c r="D2411" s="155">
        <v>1188</v>
      </c>
      <c r="F2411" s="43" t="s">
        <v>2023</v>
      </c>
      <c r="G2411" t="s">
        <v>1913</v>
      </c>
    </row>
    <row r="2412" spans="1:7">
      <c r="A2412" s="1362" t="s">
        <v>606</v>
      </c>
      <c r="B2412" s="1135" t="s">
        <v>129</v>
      </c>
      <c r="C2412" s="56">
        <v>46020</v>
      </c>
      <c r="D2412" s="43">
        <v>900</v>
      </c>
      <c r="F2412" s="43" t="s">
        <v>2024</v>
      </c>
      <c r="G2412" t="s">
        <v>1913</v>
      </c>
    </row>
    <row r="2413" spans="1:7">
      <c r="A2413" s="741" t="s">
        <v>612</v>
      </c>
      <c r="B2413" s="756" t="s">
        <v>1093</v>
      </c>
      <c r="C2413" s="56">
        <v>46020</v>
      </c>
      <c r="D2413" s="43">
        <v>100</v>
      </c>
      <c r="G2413" t="s">
        <v>1913</v>
      </c>
    </row>
    <row r="2414" spans="1:7">
      <c r="A2414" s="756" t="s">
        <v>322</v>
      </c>
      <c r="B2414" s="756" t="s">
        <v>129</v>
      </c>
      <c r="C2414" s="56">
        <v>46020</v>
      </c>
      <c r="D2414" s="43">
        <v>738</v>
      </c>
      <c r="G2414" t="s">
        <v>1913</v>
      </c>
    </row>
    <row r="2415" spans="1:7">
      <c r="A2415" s="1120" t="s">
        <v>328</v>
      </c>
      <c r="B2415" s="1120" t="s">
        <v>129</v>
      </c>
      <c r="C2415" s="56">
        <v>46020</v>
      </c>
      <c r="D2415" s="155">
        <v>1297</v>
      </c>
      <c r="G2415" t="s">
        <v>1913</v>
      </c>
    </row>
    <row r="2416" spans="1:7">
      <c r="A2416" s="1120" t="s">
        <v>331</v>
      </c>
      <c r="B2416" s="1120" t="s">
        <v>129</v>
      </c>
      <c r="C2416" s="56">
        <v>46020</v>
      </c>
      <c r="D2416" s="155">
        <v>2583</v>
      </c>
      <c r="G2416" t="s">
        <v>1913</v>
      </c>
    </row>
    <row r="2417" spans="1:7">
      <c r="A2417" s="1120" t="s">
        <v>463</v>
      </c>
      <c r="B2417" s="1120" t="s">
        <v>129</v>
      </c>
      <c r="C2417" s="56">
        <v>46020</v>
      </c>
      <c r="D2417" s="43">
        <v>0</v>
      </c>
      <c r="F2417" s="311" t="s">
        <v>2025</v>
      </c>
      <c r="G2417" t="s">
        <v>1913</v>
      </c>
    </row>
    <row r="2418" spans="1:7">
      <c r="A2418" s="1120" t="s">
        <v>468</v>
      </c>
      <c r="B2418" s="1120" t="s">
        <v>129</v>
      </c>
      <c r="C2418" s="56">
        <v>46020</v>
      </c>
      <c r="D2418" s="43">
        <v>0</v>
      </c>
      <c r="F2418" s="311" t="s">
        <v>2025</v>
      </c>
      <c r="G2418" t="s">
        <v>1913</v>
      </c>
    </row>
    <row r="2419" spans="1:7">
      <c r="A2419" s="1120" t="s">
        <v>499</v>
      </c>
      <c r="B2419" s="1120"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2" t="s">
        <v>606</v>
      </c>
      <c r="B2422" s="307" t="s">
        <v>1093</v>
      </c>
      <c r="C2422" s="56">
        <v>46021</v>
      </c>
      <c r="E2422" s="139">
        <v>343</v>
      </c>
      <c r="F2422" s="304"/>
      <c r="G2422" t="s">
        <v>1913</v>
      </c>
    </row>
    <row r="2423" spans="1:7">
      <c r="A2423" s="741" t="s">
        <v>603</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0" t="s">
        <v>129</v>
      </c>
      <c r="C2425" s="56">
        <v>46021</v>
      </c>
      <c r="D2425" s="155">
        <v>3099</v>
      </c>
      <c r="G2425" t="s">
        <v>1913</v>
      </c>
    </row>
    <row r="2426" spans="1:7">
      <c r="A2426" s="304" t="s">
        <v>465</v>
      </c>
      <c r="B2426" s="1120"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54">
        <v>1789</v>
      </c>
      <c r="E2439" s="43"/>
      <c r="G2439" t="s">
        <v>2026</v>
      </c>
    </row>
    <row r="2440" spans="1:7">
      <c r="A2440" s="247" t="s">
        <v>337</v>
      </c>
      <c r="B2440" s="157" t="s">
        <v>129</v>
      </c>
      <c r="C2440" s="56">
        <v>46028</v>
      </c>
      <c r="D2440" s="1454">
        <v>2362</v>
      </c>
      <c r="E2440" s="43"/>
      <c r="G2440" t="s">
        <v>2026</v>
      </c>
    </row>
    <row r="2441" spans="1:7">
      <c r="A2441" s="247" t="s">
        <v>128</v>
      </c>
      <c r="B2441" s="157" t="s">
        <v>129</v>
      </c>
      <c r="C2441" s="56">
        <v>46028</v>
      </c>
      <c r="D2441" s="1454">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54">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129</v>
      </c>
      <c r="C2446" s="56">
        <v>46029</v>
      </c>
      <c r="D2446" s="88">
        <v>0</v>
      </c>
      <c r="E2446" s="43"/>
      <c r="F2446" s="311" t="s">
        <v>2029</v>
      </c>
      <c r="G2446" t="s">
        <v>2026</v>
      </c>
    </row>
    <row r="2447" spans="1:7">
      <c r="A2447" s="247" t="s">
        <v>134</v>
      </c>
      <c r="B2447" s="157" t="s">
        <v>129</v>
      </c>
      <c r="C2447" s="56">
        <v>46029</v>
      </c>
      <c r="D2447" s="1454">
        <v>1687</v>
      </c>
      <c r="E2447" s="43"/>
      <c r="G2447" t="s">
        <v>2026</v>
      </c>
    </row>
    <row r="2448" spans="1:7">
      <c r="A2448" s="247" t="s">
        <v>137</v>
      </c>
      <c r="B2448" s="157" t="s">
        <v>129</v>
      </c>
      <c r="C2448" s="56">
        <v>46029</v>
      </c>
      <c r="D2448" s="1454">
        <v>1056</v>
      </c>
      <c r="E2448" s="43"/>
      <c r="F2448" s="1477" t="s">
        <v>2030</v>
      </c>
      <c r="G2448" t="s">
        <v>2026</v>
      </c>
    </row>
    <row r="2449" spans="1:7">
      <c r="A2449" s="247" t="s">
        <v>128</v>
      </c>
      <c r="B2449" s="157" t="s">
        <v>129</v>
      </c>
      <c r="C2449" s="56">
        <v>46029</v>
      </c>
      <c r="D2449" s="88">
        <v>180</v>
      </c>
      <c r="E2449" s="43"/>
      <c r="F2449" s="1477" t="s">
        <v>1174</v>
      </c>
      <c r="G2449" t="s">
        <v>2026</v>
      </c>
    </row>
    <row r="2450" spans="1:7">
      <c r="A2450" s="247" t="s">
        <v>269</v>
      </c>
      <c r="B2450" s="157" t="s">
        <v>233</v>
      </c>
      <c r="C2450" s="56">
        <v>46029</v>
      </c>
      <c r="D2450" s="1454">
        <v>2151</v>
      </c>
      <c r="E2450" s="43"/>
      <c r="F2450" s="1477"/>
      <c r="G2450" t="s">
        <v>2026</v>
      </c>
    </row>
    <row r="2451" spans="1:7">
      <c r="A2451" s="247" t="s">
        <v>337</v>
      </c>
      <c r="B2451" s="157" t="s">
        <v>129</v>
      </c>
      <c r="C2451" s="56">
        <v>46029</v>
      </c>
      <c r="D2451" s="1454">
        <v>3079</v>
      </c>
      <c r="E2451" s="43"/>
      <c r="F2451" s="1477"/>
      <c r="G2451" t="s">
        <v>2026</v>
      </c>
    </row>
    <row r="2452" spans="1:7">
      <c r="A2452" s="247" t="s">
        <v>496</v>
      </c>
      <c r="B2452" s="157" t="s">
        <v>129</v>
      </c>
      <c r="C2452" s="56">
        <v>46029</v>
      </c>
      <c r="D2452" s="88">
        <v>0</v>
      </c>
      <c r="E2452" s="43"/>
      <c r="F2452" s="1478" t="s">
        <v>2025</v>
      </c>
      <c r="G2452" t="s">
        <v>2026</v>
      </c>
    </row>
    <row r="2453" spans="1:7">
      <c r="A2453" s="247" t="s">
        <v>83</v>
      </c>
      <c r="B2453" s="157" t="s">
        <v>1093</v>
      </c>
      <c r="C2453" s="56">
        <v>46030</v>
      </c>
      <c r="D2453" s="88">
        <v>85</v>
      </c>
      <c r="E2453" s="43"/>
      <c r="F2453" s="1477"/>
      <c r="G2453" t="s">
        <v>2026</v>
      </c>
    </row>
    <row r="2454" spans="1:7">
      <c r="A2454" s="247" t="s">
        <v>1128</v>
      </c>
      <c r="B2454" s="157" t="s">
        <v>1093</v>
      </c>
      <c r="C2454" s="56">
        <v>46030</v>
      </c>
      <c r="D2454" s="88">
        <v>113</v>
      </c>
      <c r="E2454" s="43"/>
      <c r="F2454" s="1477" t="s">
        <v>2031</v>
      </c>
      <c r="G2454" t="s">
        <v>2026</v>
      </c>
    </row>
    <row r="2455" spans="1:7">
      <c r="A2455" s="247" t="s">
        <v>134</v>
      </c>
      <c r="B2455" s="157" t="s">
        <v>129</v>
      </c>
      <c r="C2455" s="56">
        <v>46030</v>
      </c>
      <c r="D2455" s="1454">
        <v>1053</v>
      </c>
      <c r="E2455" s="43"/>
      <c r="F2455" s="1477" t="s">
        <v>2032</v>
      </c>
      <c r="G2455" t="s">
        <v>2026</v>
      </c>
    </row>
    <row r="2456" spans="1:7">
      <c r="A2456" s="247" t="s">
        <v>269</v>
      </c>
      <c r="B2456" s="157" t="s">
        <v>233</v>
      </c>
      <c r="C2456" s="56">
        <v>46030</v>
      </c>
      <c r="D2456" s="1454">
        <v>1926</v>
      </c>
      <c r="E2456" s="43"/>
      <c r="F2456" s="1477"/>
      <c r="G2456" t="s">
        <v>2026</v>
      </c>
    </row>
    <row r="2457" spans="1:7">
      <c r="A2457" s="247" t="s">
        <v>340</v>
      </c>
      <c r="B2457" s="157" t="s">
        <v>129</v>
      </c>
      <c r="C2457" s="56">
        <v>46030</v>
      </c>
      <c r="D2457" s="1454">
        <v>2367</v>
      </c>
      <c r="E2457" s="43"/>
      <c r="F2457" s="1477"/>
      <c r="G2457" t="s">
        <v>2026</v>
      </c>
    </row>
    <row r="2458" spans="1:7">
      <c r="A2458" s="247" t="s">
        <v>409</v>
      </c>
      <c r="B2458" s="157" t="s">
        <v>2033</v>
      </c>
      <c r="C2458" s="56">
        <v>46030</v>
      </c>
      <c r="D2458" s="1454"/>
      <c r="E2458" s="1454">
        <v>2706</v>
      </c>
      <c r="F2458" s="1477"/>
      <c r="G2458" t="s">
        <v>2026</v>
      </c>
    </row>
    <row r="2459" spans="1:7">
      <c r="A2459" s="247" t="s">
        <v>409</v>
      </c>
      <c r="B2459" s="157" t="s">
        <v>2033</v>
      </c>
      <c r="C2459" s="56">
        <v>46031</v>
      </c>
      <c r="D2459" s="88">
        <v>0</v>
      </c>
      <c r="E2459" s="88"/>
      <c r="F2459" s="1479" t="s">
        <v>2034</v>
      </c>
      <c r="G2459" t="s">
        <v>2026</v>
      </c>
    </row>
    <row r="2460" spans="1:7">
      <c r="A2460" s="247" t="s">
        <v>284</v>
      </c>
      <c r="B2460" s="157" t="s">
        <v>2033</v>
      </c>
      <c r="C2460" s="56">
        <v>46031</v>
      </c>
      <c r="D2460" s="88">
        <v>0</v>
      </c>
      <c r="E2460" s="88"/>
      <c r="F2460" s="1477" t="s">
        <v>1221</v>
      </c>
      <c r="G2460" t="s">
        <v>2026</v>
      </c>
    </row>
    <row r="2461" spans="1:7">
      <c r="A2461" s="247" t="s">
        <v>269</v>
      </c>
      <c r="B2461" s="157" t="s">
        <v>233</v>
      </c>
      <c r="C2461" s="56">
        <v>46031</v>
      </c>
      <c r="D2461" s="1454">
        <v>1000</v>
      </c>
      <c r="E2461" s="88"/>
      <c r="F2461" s="1479"/>
      <c r="G2461" t="s">
        <v>2026</v>
      </c>
    </row>
    <row r="2462" spans="1:7">
      <c r="A2462" s="247" t="s">
        <v>493</v>
      </c>
      <c r="B2462" s="157" t="s">
        <v>129</v>
      </c>
      <c r="C2462" s="56">
        <v>46031</v>
      </c>
      <c r="D2462" s="1454">
        <v>104</v>
      </c>
      <c r="E2462" s="88"/>
      <c r="F2462" s="1479"/>
      <c r="G2462" t="s">
        <v>2026</v>
      </c>
    </row>
    <row r="2463" spans="1:7">
      <c r="A2463" s="247" t="s">
        <v>325</v>
      </c>
      <c r="B2463" s="157" t="s">
        <v>129</v>
      </c>
      <c r="C2463" s="56">
        <v>46031</v>
      </c>
      <c r="D2463" s="88"/>
      <c r="E2463" s="1454">
        <v>1056</v>
      </c>
      <c r="F2463" s="1479"/>
      <c r="G2463" t="s">
        <v>2026</v>
      </c>
    </row>
    <row r="2464" spans="1:7">
      <c r="A2464" s="247" t="s">
        <v>487</v>
      </c>
      <c r="B2464" s="157" t="s">
        <v>129</v>
      </c>
      <c r="C2464" s="56">
        <v>46031</v>
      </c>
      <c r="D2464" s="88"/>
      <c r="E2464" s="1454">
        <v>1090</v>
      </c>
      <c r="F2464" s="1477"/>
      <c r="G2464" t="s">
        <v>2026</v>
      </c>
    </row>
    <row r="2465" spans="1:7">
      <c r="A2465" s="247" t="s">
        <v>340</v>
      </c>
      <c r="B2465" s="157" t="s">
        <v>129</v>
      </c>
      <c r="C2465" s="56">
        <v>46031</v>
      </c>
      <c r="D2465" s="88">
        <v>447</v>
      </c>
      <c r="E2465" s="88"/>
      <c r="F2465" s="1479"/>
      <c r="G2465" t="s">
        <v>2026</v>
      </c>
    </row>
    <row r="2466" spans="1:7">
      <c r="A2466" s="247" t="s">
        <v>295</v>
      </c>
      <c r="B2466" s="157" t="s">
        <v>233</v>
      </c>
      <c r="C2466" s="56">
        <v>46031</v>
      </c>
      <c r="D2466" s="1454">
        <v>1319</v>
      </c>
      <c r="E2466" s="88"/>
      <c r="F2466" s="1479" t="s">
        <v>2035</v>
      </c>
      <c r="G2466" t="s">
        <v>2026</v>
      </c>
    </row>
    <row r="2467" spans="1:7">
      <c r="A2467" s="247" t="s">
        <v>134</v>
      </c>
      <c r="B2467" s="157" t="s">
        <v>129</v>
      </c>
      <c r="C2467" s="56">
        <v>46034</v>
      </c>
      <c r="D2467" s="88">
        <v>0</v>
      </c>
      <c r="E2467" s="88"/>
      <c r="F2467" s="1478" t="s">
        <v>1394</v>
      </c>
      <c r="G2467" t="s">
        <v>2026</v>
      </c>
    </row>
    <row r="2468" spans="1:7">
      <c r="A2468" s="247" t="s">
        <v>542</v>
      </c>
      <c r="B2468" s="157" t="s">
        <v>2033</v>
      </c>
      <c r="C2468" s="56">
        <v>46034</v>
      </c>
      <c r="D2468" s="88"/>
      <c r="E2468" s="88">
        <v>640</v>
      </c>
      <c r="F2468" s="1479"/>
      <c r="G2468" t="s">
        <v>2026</v>
      </c>
    </row>
    <row r="2469" spans="1:7">
      <c r="A2469" s="247" t="s">
        <v>411</v>
      </c>
      <c r="B2469" s="157" t="s">
        <v>2033</v>
      </c>
      <c r="C2469" s="56">
        <v>46034</v>
      </c>
      <c r="D2469" s="88"/>
      <c r="E2469" s="88">
        <v>428</v>
      </c>
      <c r="F2469" s="1479" t="s">
        <v>1221</v>
      </c>
      <c r="G2469" t="s">
        <v>2026</v>
      </c>
    </row>
    <row r="2470" spans="1:7">
      <c r="A2470" s="247" t="s">
        <v>80</v>
      </c>
      <c r="B2470" s="157" t="s">
        <v>1093</v>
      </c>
      <c r="C2470" s="56">
        <v>46034</v>
      </c>
      <c r="D2470" s="88">
        <v>205</v>
      </c>
      <c r="E2470" s="88"/>
      <c r="F2470" s="1477" t="s">
        <v>1852</v>
      </c>
      <c r="G2470" t="s">
        <v>2026</v>
      </c>
    </row>
    <row r="2471" spans="1:7">
      <c r="A2471" s="247" t="s">
        <v>340</v>
      </c>
      <c r="B2471" s="157" t="s">
        <v>129</v>
      </c>
      <c r="C2471" s="56">
        <v>46034</v>
      </c>
      <c r="D2471" s="88">
        <v>858</v>
      </c>
      <c r="E2471" s="88"/>
      <c r="F2471" s="1479"/>
      <c r="G2471" t="s">
        <v>2026</v>
      </c>
    </row>
    <row r="2472" spans="1:7">
      <c r="A2472" s="247" t="s">
        <v>346</v>
      </c>
      <c r="B2472" s="157" t="s">
        <v>129</v>
      </c>
      <c r="C2472" s="56">
        <v>46034</v>
      </c>
      <c r="D2472" s="1454">
        <v>4915</v>
      </c>
      <c r="E2472" s="88"/>
      <c r="F2472" s="1479"/>
      <c r="G2472" t="s">
        <v>2026</v>
      </c>
    </row>
    <row r="2473" spans="1:7">
      <c r="A2473" s="247" t="s">
        <v>343</v>
      </c>
      <c r="B2473" s="157" t="s">
        <v>129</v>
      </c>
      <c r="C2473" s="56">
        <v>46034</v>
      </c>
      <c r="D2473" s="88">
        <v>813</v>
      </c>
      <c r="E2473" s="88"/>
      <c r="F2473" s="1479"/>
      <c r="G2473" t="s">
        <v>2026</v>
      </c>
    </row>
    <row r="2474" spans="1:7">
      <c r="A2474" s="247" t="s">
        <v>137</v>
      </c>
      <c r="B2474" s="157" t="s">
        <v>129</v>
      </c>
      <c r="C2474" s="56">
        <v>46034</v>
      </c>
      <c r="D2474" s="1454">
        <v>1356</v>
      </c>
      <c r="E2474" s="88"/>
      <c r="F2474" s="1479" t="s">
        <v>2036</v>
      </c>
      <c r="G2474" t="s">
        <v>2026</v>
      </c>
    </row>
    <row r="2475" spans="1:7">
      <c r="A2475" s="247" t="s">
        <v>2037</v>
      </c>
      <c r="B2475" s="157" t="s">
        <v>1619</v>
      </c>
      <c r="C2475" s="56">
        <v>46034</v>
      </c>
      <c r="D2475" s="88">
        <v>607</v>
      </c>
      <c r="E2475" s="88"/>
      <c r="F2475" s="1479"/>
      <c r="G2475" t="s">
        <v>2026</v>
      </c>
    </row>
    <row r="2476" spans="1:7">
      <c r="A2476" s="247" t="s">
        <v>269</v>
      </c>
      <c r="B2476" s="157" t="s">
        <v>233</v>
      </c>
      <c r="C2476" s="56">
        <v>46034</v>
      </c>
      <c r="D2476" s="1454">
        <v>1812</v>
      </c>
      <c r="E2476" s="88"/>
      <c r="F2476" s="1479"/>
      <c r="G2476" t="s">
        <v>2026</v>
      </c>
    </row>
    <row r="2477" spans="1:7">
      <c r="A2477" s="247" t="s">
        <v>172</v>
      </c>
      <c r="B2477" s="157" t="s">
        <v>129</v>
      </c>
      <c r="C2477" s="56">
        <v>46034</v>
      </c>
      <c r="D2477" s="1454">
        <v>1314</v>
      </c>
      <c r="E2477" s="88"/>
      <c r="F2477" s="1479" t="s">
        <v>1600</v>
      </c>
      <c r="G2477" t="s">
        <v>2026</v>
      </c>
    </row>
    <row r="2478" spans="1:7">
      <c r="A2478" s="247" t="s">
        <v>295</v>
      </c>
      <c r="B2478" s="157" t="s">
        <v>233</v>
      </c>
      <c r="C2478" s="56">
        <v>46034</v>
      </c>
      <c r="D2478" s="88">
        <v>926</v>
      </c>
      <c r="E2478" s="88"/>
      <c r="F2478" s="1479" t="s">
        <v>2038</v>
      </c>
      <c r="G2478" t="s">
        <v>2026</v>
      </c>
    </row>
    <row r="2479" spans="1:7">
      <c r="A2479" s="247" t="s">
        <v>448</v>
      </c>
      <c r="B2479" s="157" t="s">
        <v>1093</v>
      </c>
      <c r="C2479" s="56">
        <v>46035</v>
      </c>
      <c r="D2479" s="88"/>
      <c r="E2479" s="1454">
        <v>2112</v>
      </c>
      <c r="F2479" s="1479"/>
      <c r="G2479" t="s">
        <v>2026</v>
      </c>
    </row>
    <row r="2480" spans="1:7">
      <c r="A2480" s="247" t="s">
        <v>160</v>
      </c>
      <c r="B2480" s="157" t="s">
        <v>129</v>
      </c>
      <c r="C2480" s="56">
        <v>46035</v>
      </c>
      <c r="D2480" s="88"/>
      <c r="E2480" s="1454">
        <v>1208</v>
      </c>
      <c r="F2480" s="1477"/>
      <c r="G2480" t="s">
        <v>2026</v>
      </c>
    </row>
    <row r="2481" spans="1:7">
      <c r="A2481" s="247" t="s">
        <v>346</v>
      </c>
      <c r="B2481" s="157" t="s">
        <v>129</v>
      </c>
      <c r="C2481" s="56">
        <v>46035</v>
      </c>
      <c r="D2481" s="88">
        <v>914</v>
      </c>
      <c r="E2481" s="88"/>
      <c r="F2481" s="1479" t="s">
        <v>2039</v>
      </c>
      <c r="G2481" t="s">
        <v>2026</v>
      </c>
    </row>
    <row r="2482" spans="1:7">
      <c r="A2482" s="247" t="s">
        <v>348</v>
      </c>
      <c r="B2482" s="157" t="s">
        <v>129</v>
      </c>
      <c r="C2482" s="56">
        <v>46035</v>
      </c>
      <c r="D2482" s="1454">
        <v>6092</v>
      </c>
      <c r="E2482" s="88"/>
      <c r="F2482" s="1479"/>
      <c r="G2482" t="s">
        <v>2026</v>
      </c>
    </row>
    <row r="2483" spans="1:7">
      <c r="A2483" s="247" t="s">
        <v>343</v>
      </c>
      <c r="B2483" s="157" t="s">
        <v>129</v>
      </c>
      <c r="C2483" s="56">
        <v>46035</v>
      </c>
      <c r="D2483" s="1454">
        <v>1491</v>
      </c>
      <c r="E2483" s="88"/>
      <c r="F2483" s="1479"/>
      <c r="G2483" t="s">
        <v>2026</v>
      </c>
    </row>
    <row r="2484" spans="1:7">
      <c r="A2484" s="247" t="s">
        <v>350</v>
      </c>
      <c r="B2484" s="157" t="s">
        <v>129</v>
      </c>
      <c r="C2484" s="56">
        <v>46035</v>
      </c>
      <c r="D2484" s="88">
        <v>822</v>
      </c>
      <c r="E2484" s="88"/>
      <c r="F2484" s="1479"/>
      <c r="G2484" t="s">
        <v>2026</v>
      </c>
    </row>
    <row r="2485" spans="1:7">
      <c r="A2485" s="247" t="s">
        <v>137</v>
      </c>
      <c r="B2485" s="157" t="s">
        <v>129</v>
      </c>
      <c r="C2485" s="56">
        <v>46035</v>
      </c>
      <c r="D2485" s="1454">
        <v>1435</v>
      </c>
      <c r="E2485" s="88"/>
      <c r="F2485" s="1479" t="s">
        <v>2040</v>
      </c>
      <c r="G2485" t="s">
        <v>2026</v>
      </c>
    </row>
    <row r="2486" spans="1:7">
      <c r="A2486" s="247" t="s">
        <v>83</v>
      </c>
      <c r="B2486" s="157" t="s">
        <v>1093</v>
      </c>
      <c r="C2486" s="56">
        <v>46035</v>
      </c>
      <c r="D2486" s="88">
        <v>312</v>
      </c>
      <c r="E2486" s="88"/>
      <c r="F2486" s="1477" t="s">
        <v>1295</v>
      </c>
      <c r="G2486" t="s">
        <v>2026</v>
      </c>
    </row>
    <row r="2487" spans="1:7">
      <c r="A2487" s="247" t="s">
        <v>269</v>
      </c>
      <c r="B2487" s="157" t="s">
        <v>233</v>
      </c>
      <c r="C2487" s="56">
        <v>46035</v>
      </c>
      <c r="D2487" s="1454">
        <v>1838</v>
      </c>
      <c r="E2487" s="88"/>
      <c r="F2487" s="1477"/>
      <c r="G2487" t="s">
        <v>2026</v>
      </c>
    </row>
    <row r="2488" spans="1:7">
      <c r="A2488" s="247" t="s">
        <v>387</v>
      </c>
      <c r="B2488" s="157" t="s">
        <v>2041</v>
      </c>
      <c r="C2488" s="56">
        <v>46035</v>
      </c>
      <c r="D2488" s="88"/>
      <c r="E2488" s="1454">
        <v>5312</v>
      </c>
      <c r="F2488" s="1479" t="s">
        <v>2042</v>
      </c>
      <c r="G2488" t="s">
        <v>2026</v>
      </c>
    </row>
    <row r="2489" spans="1:7">
      <c r="A2489" s="247" t="s">
        <v>2037</v>
      </c>
      <c r="B2489" s="157" t="s">
        <v>1619</v>
      </c>
      <c r="C2489" s="56">
        <v>46035</v>
      </c>
      <c r="D2489" s="88">
        <v>662</v>
      </c>
      <c r="E2489" s="88"/>
      <c r="F2489" s="1479"/>
      <c r="G2489" t="s">
        <v>2026</v>
      </c>
    </row>
    <row r="2490" spans="1:7">
      <c r="A2490" s="247" t="s">
        <v>295</v>
      </c>
      <c r="B2490" s="157" t="s">
        <v>233</v>
      </c>
      <c r="C2490" s="56">
        <v>46035</v>
      </c>
      <c r="D2490" s="1454">
        <v>1128</v>
      </c>
      <c r="E2490" s="88"/>
      <c r="F2490" s="1479" t="s">
        <v>2043</v>
      </c>
      <c r="G2490" t="s">
        <v>2026</v>
      </c>
    </row>
    <row r="2491" spans="1:7">
      <c r="A2491" s="247" t="s">
        <v>128</v>
      </c>
      <c r="B2491" s="157" t="s">
        <v>1093</v>
      </c>
      <c r="C2491" s="56">
        <v>46035</v>
      </c>
      <c r="D2491" s="1454"/>
      <c r="E2491" s="88">
        <v>576</v>
      </c>
      <c r="F2491" s="1479"/>
      <c r="G2491" t="s">
        <v>2026</v>
      </c>
    </row>
    <row r="2492" spans="1:7">
      <c r="A2492" s="247" t="s">
        <v>128</v>
      </c>
      <c r="B2492" s="157" t="s">
        <v>129</v>
      </c>
      <c r="C2492" s="56">
        <v>46036</v>
      </c>
      <c r="D2492" s="88">
        <v>0</v>
      </c>
      <c r="E2492" s="43"/>
      <c r="F2492" s="1478" t="s">
        <v>1394</v>
      </c>
      <c r="G2492" t="s">
        <v>2026</v>
      </c>
    </row>
    <row r="2493" spans="1:7">
      <c r="A2493" s="247" t="s">
        <v>348</v>
      </c>
      <c r="B2493" s="157" t="s">
        <v>129</v>
      </c>
      <c r="C2493" s="56">
        <v>46036</v>
      </c>
      <c r="D2493" s="88">
        <v>0</v>
      </c>
      <c r="E2493" s="43"/>
      <c r="F2493" s="1479" t="s">
        <v>2044</v>
      </c>
      <c r="G2493" t="s">
        <v>2026</v>
      </c>
    </row>
    <row r="2494" spans="1:7">
      <c r="A2494" s="247" t="s">
        <v>343</v>
      </c>
      <c r="B2494" s="157" t="s">
        <v>129</v>
      </c>
      <c r="C2494" s="56">
        <v>46036</v>
      </c>
      <c r="D2494" s="1453">
        <v>1062</v>
      </c>
      <c r="E2494" s="43"/>
      <c r="F2494" s="1479"/>
      <c r="G2494" t="s">
        <v>2026</v>
      </c>
    </row>
    <row r="2495" spans="1:7">
      <c r="A2495" s="247" t="s">
        <v>350</v>
      </c>
      <c r="B2495" s="157" t="s">
        <v>129</v>
      </c>
      <c r="C2495" s="56">
        <v>46036</v>
      </c>
      <c r="D2495" s="1453">
        <v>2611</v>
      </c>
      <c r="E2495" s="43"/>
      <c r="F2495" s="1479"/>
      <c r="G2495" t="s">
        <v>2026</v>
      </c>
    </row>
    <row r="2496" spans="1:7">
      <c r="A2496" s="247" t="s">
        <v>2037</v>
      </c>
      <c r="B2496" s="157" t="s">
        <v>1619</v>
      </c>
      <c r="C2496" s="56">
        <v>46036</v>
      </c>
      <c r="D2496" s="1452">
        <v>877</v>
      </c>
      <c r="E2496" s="43"/>
      <c r="F2496" s="1479" t="s">
        <v>2045</v>
      </c>
      <c r="G2496" t="s">
        <v>2026</v>
      </c>
    </row>
    <row r="2497" spans="1:7">
      <c r="A2497" s="247" t="s">
        <v>265</v>
      </c>
      <c r="B2497" s="157" t="s">
        <v>233</v>
      </c>
      <c r="C2497" s="56">
        <v>46036</v>
      </c>
      <c r="D2497" s="1453">
        <v>1200</v>
      </c>
      <c r="E2497" s="43"/>
      <c r="F2497" s="1479"/>
      <c r="G2497" t="s">
        <v>2026</v>
      </c>
    </row>
    <row r="2498" spans="1:7">
      <c r="A2498" s="247" t="s">
        <v>295</v>
      </c>
      <c r="B2498" s="157" t="s">
        <v>233</v>
      </c>
      <c r="C2498" s="56">
        <v>46036</v>
      </c>
      <c r="D2498" s="1453">
        <v>1082</v>
      </c>
      <c r="E2498" s="43"/>
      <c r="F2498" s="1479" t="s">
        <v>2046</v>
      </c>
      <c r="G2498" t="s">
        <v>2026</v>
      </c>
    </row>
    <row r="2499" spans="1:7">
      <c r="A2499" s="247" t="s">
        <v>137</v>
      </c>
      <c r="B2499" s="157" t="s">
        <v>129</v>
      </c>
      <c r="C2499" s="56">
        <v>46036</v>
      </c>
      <c r="D2499" s="1453">
        <v>1295</v>
      </c>
      <c r="E2499" s="43"/>
      <c r="F2499" s="1479" t="s">
        <v>2047</v>
      </c>
      <c r="G2499" t="s">
        <v>2026</v>
      </c>
    </row>
    <row r="2500" spans="1:7">
      <c r="A2500" s="247" t="s">
        <v>354</v>
      </c>
      <c r="B2500" s="157" t="s">
        <v>129</v>
      </c>
      <c r="C2500" s="56">
        <v>46036</v>
      </c>
      <c r="D2500" s="1452">
        <v>544</v>
      </c>
      <c r="E2500" s="43"/>
      <c r="F2500" s="1479" t="s">
        <v>2048</v>
      </c>
      <c r="G2500" t="s">
        <v>2026</v>
      </c>
    </row>
    <row r="2501" spans="1:7">
      <c r="A2501" s="247" t="s">
        <v>325</v>
      </c>
      <c r="B2501" s="157" t="s">
        <v>1093</v>
      </c>
      <c r="C2501" s="56">
        <v>46036</v>
      </c>
      <c r="E2501" s="1454">
        <v>1562</v>
      </c>
      <c r="F2501" s="1479"/>
      <c r="G2501" t="s">
        <v>2026</v>
      </c>
    </row>
    <row r="2502" spans="1:7">
      <c r="A2502" s="247" t="s">
        <v>346</v>
      </c>
      <c r="B2502" s="157" t="s">
        <v>129</v>
      </c>
      <c r="C2502" s="56">
        <v>46036</v>
      </c>
      <c r="D2502" s="88">
        <v>0</v>
      </c>
      <c r="E2502" s="43"/>
      <c r="F2502" s="1479" t="s">
        <v>2049</v>
      </c>
      <c r="G2502" t="s">
        <v>2026</v>
      </c>
    </row>
    <row r="2503" spans="1:7">
      <c r="A2503" s="247" t="s">
        <v>352</v>
      </c>
      <c r="B2503" s="157" t="s">
        <v>129</v>
      </c>
      <c r="C2503" s="56">
        <v>46036</v>
      </c>
      <c r="D2503" s="1453">
        <v>1728</v>
      </c>
      <c r="E2503" s="43"/>
      <c r="F2503" s="1479" t="s">
        <v>1690</v>
      </c>
      <c r="G2503" t="s">
        <v>2026</v>
      </c>
    </row>
    <row r="2504" spans="1:7">
      <c r="A2504" s="247" t="s">
        <v>343</v>
      </c>
      <c r="B2504" s="157" t="s">
        <v>129</v>
      </c>
      <c r="C2504" s="56">
        <v>46037</v>
      </c>
      <c r="D2504" s="1452">
        <v>527</v>
      </c>
      <c r="E2504" s="43"/>
      <c r="F2504" s="1479" t="s">
        <v>1761</v>
      </c>
      <c r="G2504" t="s">
        <v>2026</v>
      </c>
    </row>
    <row r="2505" spans="1:7">
      <c r="A2505" s="247" t="s">
        <v>356</v>
      </c>
      <c r="B2505" s="157" t="s">
        <v>129</v>
      </c>
      <c r="C2505" s="56">
        <v>46037</v>
      </c>
      <c r="D2505" s="1453">
        <v>1562</v>
      </c>
      <c r="E2505" s="43"/>
      <c r="F2505" s="1479"/>
      <c r="G2505" t="s">
        <v>2026</v>
      </c>
    </row>
    <row r="2506" spans="1:7">
      <c r="A2506" s="247" t="s">
        <v>354</v>
      </c>
      <c r="B2506" s="157" t="s">
        <v>129</v>
      </c>
      <c r="C2506" s="56">
        <v>46037</v>
      </c>
      <c r="D2506" s="1453">
        <v>2832</v>
      </c>
      <c r="E2506" s="43"/>
      <c r="F2506" s="1479"/>
      <c r="G2506" t="s">
        <v>2026</v>
      </c>
    </row>
    <row r="2507" spans="1:7">
      <c r="A2507" s="247" t="s">
        <v>348</v>
      </c>
      <c r="B2507" s="157" t="s">
        <v>129</v>
      </c>
      <c r="C2507" s="56">
        <v>46037</v>
      </c>
      <c r="D2507" s="1452">
        <v>0</v>
      </c>
      <c r="E2507" s="43"/>
      <c r="F2507" s="1479" t="s">
        <v>2050</v>
      </c>
      <c r="G2507" t="s">
        <v>2026</v>
      </c>
    </row>
    <row r="2508" spans="1:7">
      <c r="A2508" s="247" t="s">
        <v>360</v>
      </c>
      <c r="B2508" s="157" t="s">
        <v>129</v>
      </c>
      <c r="C2508" s="56">
        <v>46037</v>
      </c>
      <c r="D2508" s="1453">
        <v>1639</v>
      </c>
      <c r="E2508" s="43"/>
      <c r="F2508" s="1479"/>
      <c r="G2508" t="s">
        <v>2026</v>
      </c>
    </row>
    <row r="2509" spans="1:7">
      <c r="A2509" s="247" t="s">
        <v>265</v>
      </c>
      <c r="B2509" s="157" t="s">
        <v>233</v>
      </c>
      <c r="C2509" s="56">
        <v>46037</v>
      </c>
      <c r="D2509" s="1452">
        <v>445</v>
      </c>
      <c r="E2509" s="43"/>
      <c r="F2509" s="1479"/>
      <c r="G2509" t="s">
        <v>2026</v>
      </c>
    </row>
    <row r="2510" spans="1:7">
      <c r="A2510" s="247" t="s">
        <v>2037</v>
      </c>
      <c r="B2510" s="157" t="s">
        <v>1619</v>
      </c>
      <c r="C2510" s="56">
        <v>46037</v>
      </c>
      <c r="D2510" s="1452">
        <v>499</v>
      </c>
      <c r="E2510" s="43"/>
      <c r="F2510" s="1479" t="s">
        <v>2051</v>
      </c>
      <c r="G2510" t="s">
        <v>2026</v>
      </c>
    </row>
    <row r="2511" spans="1:7">
      <c r="A2511" s="247" t="s">
        <v>295</v>
      </c>
      <c r="B2511" s="157" t="s">
        <v>233</v>
      </c>
      <c r="C2511" s="56">
        <v>46037</v>
      </c>
      <c r="D2511" s="1453">
        <v>1325</v>
      </c>
      <c r="E2511" s="43"/>
      <c r="F2511" s="1479" t="s">
        <v>2052</v>
      </c>
      <c r="G2511" t="s">
        <v>2026</v>
      </c>
    </row>
    <row r="2512" spans="1:7">
      <c r="A2512" s="247" t="s">
        <v>1111</v>
      </c>
      <c r="B2512" s="157" t="s">
        <v>1093</v>
      </c>
      <c r="C2512" s="56">
        <v>46037</v>
      </c>
      <c r="D2512" s="1452">
        <v>142</v>
      </c>
      <c r="E2512" s="43"/>
      <c r="F2512" s="1479" t="s">
        <v>2053</v>
      </c>
      <c r="G2512" t="s">
        <v>2026</v>
      </c>
    </row>
    <row r="2513" spans="1:7">
      <c r="A2513" s="399" t="s">
        <v>269</v>
      </c>
      <c r="B2513" s="1435" t="s">
        <v>233</v>
      </c>
      <c r="C2513" s="344">
        <v>46037</v>
      </c>
      <c r="D2513" s="1486">
        <v>0</v>
      </c>
      <c r="E2513" s="253"/>
      <c r="F2513" s="1339" t="s">
        <v>2054</v>
      </c>
      <c r="G2513" t="s">
        <v>2026</v>
      </c>
    </row>
    <row r="2514" spans="1:7">
      <c r="A2514" s="399" t="s">
        <v>360</v>
      </c>
      <c r="B2514" s="1435" t="s">
        <v>129</v>
      </c>
      <c r="C2514" s="344">
        <v>46038</v>
      </c>
      <c r="D2514" s="1486">
        <v>987</v>
      </c>
      <c r="E2514" s="253"/>
      <c r="F2514" s="1479"/>
      <c r="G2514" t="s">
        <v>2026</v>
      </c>
    </row>
    <row r="2515" spans="1:7">
      <c r="A2515" s="247" t="s">
        <v>354</v>
      </c>
      <c r="B2515" s="157" t="s">
        <v>129</v>
      </c>
      <c r="C2515" s="56">
        <v>46038</v>
      </c>
      <c r="D2515" s="1452">
        <v>457</v>
      </c>
      <c r="F2515" s="1479"/>
      <c r="G2515" t="s">
        <v>2026</v>
      </c>
    </row>
    <row r="2516" spans="1:7">
      <c r="A2516" s="247" t="s">
        <v>352</v>
      </c>
      <c r="B2516" s="157" t="s">
        <v>129</v>
      </c>
      <c r="C2516" s="56">
        <v>46038</v>
      </c>
      <c r="D2516" s="1453">
        <v>3082</v>
      </c>
      <c r="F2516" s="1479"/>
      <c r="G2516" t="s">
        <v>2026</v>
      </c>
    </row>
    <row r="2517" spans="1:7">
      <c r="A2517" s="247" t="s">
        <v>2037</v>
      </c>
      <c r="B2517" s="157" t="s">
        <v>1619</v>
      </c>
      <c r="C2517" s="56">
        <v>46038</v>
      </c>
      <c r="D2517" s="1452">
        <v>186</v>
      </c>
      <c r="F2517" s="1479" t="s">
        <v>2048</v>
      </c>
      <c r="G2517" t="s">
        <v>2026</v>
      </c>
    </row>
    <row r="2518" spans="1:7">
      <c r="A2518" s="247" t="s">
        <v>265</v>
      </c>
      <c r="B2518" s="157" t="s">
        <v>233</v>
      </c>
      <c r="C2518" s="56">
        <v>46038</v>
      </c>
      <c r="D2518" s="1452">
        <v>686</v>
      </c>
      <c r="F2518" s="1481"/>
      <c r="G2518" t="s">
        <v>2026</v>
      </c>
    </row>
    <row r="2519" spans="1:7">
      <c r="A2519" s="247" t="s">
        <v>356</v>
      </c>
      <c r="B2519" s="157" t="s">
        <v>129</v>
      </c>
      <c r="C2519" s="56">
        <v>46038</v>
      </c>
      <c r="D2519" s="1453">
        <v>1798</v>
      </c>
      <c r="F2519" s="1479"/>
      <c r="G2519" t="s">
        <v>2026</v>
      </c>
    </row>
    <row r="2520" spans="1:7">
      <c r="A2520" s="247" t="s">
        <v>858</v>
      </c>
      <c r="B2520" s="157" t="s">
        <v>1093</v>
      </c>
      <c r="C2520" s="56">
        <v>46038</v>
      </c>
      <c r="D2520" s="1452">
        <v>50</v>
      </c>
      <c r="F2520" s="1339" t="s">
        <v>2055</v>
      </c>
      <c r="G2520" t="s">
        <v>2026</v>
      </c>
    </row>
    <row r="2521" spans="1:7">
      <c r="A2521" s="247" t="s">
        <v>80</v>
      </c>
      <c r="B2521" s="157" t="s">
        <v>1093</v>
      </c>
      <c r="C2521" s="56">
        <v>46038</v>
      </c>
      <c r="D2521" s="1452">
        <v>107</v>
      </c>
      <c r="F2521" s="1480"/>
      <c r="G2521" t="s">
        <v>2026</v>
      </c>
    </row>
    <row r="2522" spans="1:7">
      <c r="A2522" s="247" t="s">
        <v>295</v>
      </c>
      <c r="B2522" s="157" t="s">
        <v>233</v>
      </c>
      <c r="C2522" s="56">
        <v>46038</v>
      </c>
      <c r="D2522" s="1452">
        <v>441</v>
      </c>
      <c r="F2522" s="1479" t="s">
        <v>2056</v>
      </c>
      <c r="G2522" t="s">
        <v>2026</v>
      </c>
    </row>
    <row r="2523" spans="1:7">
      <c r="A2523" s="247"/>
      <c r="B2523" s="157"/>
      <c r="F2523" s="1477"/>
      <c r="G2523" t="s">
        <v>2026</v>
      </c>
    </row>
    <row r="2524" spans="1:7">
      <c r="A2524" s="247"/>
      <c r="B2524" s="157"/>
      <c r="F2524" s="1482"/>
      <c r="G2524" t="s">
        <v>2026</v>
      </c>
    </row>
    <row r="2525" spans="1:7">
      <c r="A2525" s="247"/>
      <c r="B2525" s="157"/>
      <c r="F2525" s="1477"/>
      <c r="G2525" t="s">
        <v>2026</v>
      </c>
    </row>
    <row r="2526" spans="1:7">
      <c r="A2526" s="247"/>
      <c r="B2526" s="157"/>
      <c r="F2526" s="1477"/>
      <c r="G2526" t="s">
        <v>2026</v>
      </c>
    </row>
    <row r="2527" spans="1:7">
      <c r="A2527" s="247"/>
      <c r="B2527" s="157"/>
      <c r="F2527" s="1477"/>
      <c r="G2527" t="s">
        <v>2026</v>
      </c>
    </row>
    <row r="2528" spans="1:7">
      <c r="A2528" s="247"/>
      <c r="B2528" s="157"/>
      <c r="F2528" s="1477"/>
      <c r="G2528" t="s">
        <v>2026</v>
      </c>
    </row>
    <row r="2529" spans="1:7">
      <c r="A2529" s="247"/>
      <c r="B2529" s="157"/>
      <c r="F2529" s="1477"/>
      <c r="G2529" t="s">
        <v>2026</v>
      </c>
    </row>
    <row r="2530" spans="1:7">
      <c r="A2530" s="247"/>
      <c r="B2530" s="157"/>
      <c r="F2530" s="1477"/>
      <c r="G2530" t="s">
        <v>2026</v>
      </c>
    </row>
    <row r="2531" spans="1:7">
      <c r="A2531" s="247"/>
      <c r="B2531" s="157"/>
      <c r="F2531" s="1477"/>
    </row>
    <row r="2532" spans="1:7">
      <c r="A2532" s="247"/>
      <c r="B2532" s="157"/>
      <c r="F2532" s="1477"/>
    </row>
    <row r="2533" spans="1:7">
      <c r="A2533" s="247"/>
      <c r="B2533" s="157"/>
      <c r="F2533" s="1477"/>
    </row>
    <row r="2534" spans="1:7">
      <c r="A2534" s="247"/>
      <c r="B2534" s="157"/>
      <c r="F2534" s="1477"/>
    </row>
    <row r="2535" spans="1:7">
      <c r="A2535" s="247"/>
      <c r="B2535" s="157"/>
      <c r="F2535" s="1477"/>
    </row>
    <row r="2536" spans="1:7">
      <c r="A2536" s="247"/>
      <c r="B2536" s="157"/>
      <c r="F2536" s="1477"/>
    </row>
    <row r="2537" spans="1:7">
      <c r="A2537" s="247"/>
      <c r="B2537" s="157"/>
      <c r="F2537" s="1477"/>
    </row>
    <row r="2538" spans="1:7">
      <c r="A2538" s="247"/>
      <c r="B2538" s="157"/>
      <c r="F2538" s="1477"/>
    </row>
    <row r="2539" spans="1:7">
      <c r="A2539" s="247"/>
      <c r="B2539" s="157"/>
      <c r="F2539" s="1477"/>
    </row>
    <row r="2540" spans="1:7">
      <c r="A2540" s="247"/>
      <c r="B2540" s="157"/>
      <c r="F2540" s="1477"/>
    </row>
    <row r="2541" spans="1:7">
      <c r="A2541" s="247"/>
      <c r="B2541" s="157"/>
      <c r="F2541" s="1477"/>
    </row>
    <row r="2542" spans="1:7">
      <c r="A2542" s="247"/>
      <c r="B2542" s="157"/>
      <c r="F2542" s="1477"/>
    </row>
    <row r="2543" spans="1:7">
      <c r="A2543" s="247"/>
      <c r="B2543" s="157"/>
      <c r="F2543" s="1477"/>
    </row>
    <row r="2544" spans="1:7">
      <c r="A2544" s="247"/>
      <c r="B2544" s="157"/>
      <c r="F2544" s="1477"/>
    </row>
    <row r="2545" spans="1:6">
      <c r="A2545" s="247"/>
      <c r="B2545" s="157"/>
      <c r="F2545" s="1477"/>
    </row>
    <row r="2546" spans="1:6">
      <c r="A2546" s="247"/>
      <c r="B2546" s="157"/>
      <c r="F2546" s="1477"/>
    </row>
    <row r="2547" spans="1:6">
      <c r="A2547" s="247"/>
      <c r="B2547" s="157"/>
      <c r="F2547" s="1477"/>
    </row>
    <row r="2548" spans="1:6">
      <c r="A2548" s="247"/>
      <c r="B2548" s="157"/>
      <c r="F2548" s="1477"/>
    </row>
    <row r="2549" spans="1:6">
      <c r="A2549" s="247"/>
      <c r="B2549" s="157"/>
      <c r="F2549" s="1477"/>
    </row>
    <row r="2550" spans="1:6">
      <c r="A2550" s="247"/>
      <c r="B2550" s="157"/>
      <c r="F2550" s="1477"/>
    </row>
    <row r="2551" spans="1:6">
      <c r="A2551" s="247"/>
      <c r="B2551" s="157"/>
      <c r="F2551" s="1477"/>
    </row>
    <row r="2552" spans="1:6">
      <c r="A2552" s="247"/>
      <c r="B2552" s="157"/>
      <c r="F2552" s="1477"/>
    </row>
    <row r="2553" spans="1:6">
      <c r="A2553" s="247"/>
      <c r="B2553" s="157"/>
      <c r="F2553" s="1477"/>
    </row>
    <row r="2554" spans="1:6">
      <c r="A2554" s="247"/>
      <c r="B2554" s="157"/>
      <c r="F2554" s="1477"/>
    </row>
    <row r="2555" spans="1:6">
      <c r="A2555" s="247"/>
      <c r="B2555" s="157"/>
      <c r="F2555" s="1477"/>
    </row>
    <row r="2556" spans="1:6">
      <c r="A2556" s="247"/>
      <c r="B2556" s="157"/>
      <c r="F2556" s="1477"/>
    </row>
    <row r="2557" spans="1:6">
      <c r="A2557" s="247"/>
      <c r="B2557" s="157"/>
      <c r="F2557" s="1477"/>
    </row>
    <row r="2558" spans="1:6">
      <c r="A2558" s="247"/>
      <c r="B2558" s="157"/>
      <c r="F2558" s="1477"/>
    </row>
    <row r="2559" spans="1:6">
      <c r="A2559" s="247"/>
      <c r="B2559" s="157"/>
      <c r="F2559" s="1477"/>
    </row>
    <row r="2560" spans="1:6">
      <c r="A2560" s="247"/>
      <c r="B2560" s="157"/>
      <c r="F2560" s="1477"/>
    </row>
    <row r="2561" spans="1:6">
      <c r="A2561" s="247"/>
      <c r="B2561" s="157"/>
      <c r="F2561" s="1477"/>
    </row>
    <row r="2562" spans="1:6">
      <c r="A2562" s="247"/>
      <c r="B2562" s="157"/>
      <c r="F2562" s="1477"/>
    </row>
    <row r="2563" spans="1:6">
      <c r="A2563" s="247"/>
      <c r="B2563" s="157"/>
      <c r="F2563" s="1477"/>
    </row>
    <row r="2564" spans="1:6">
      <c r="A2564" s="247"/>
      <c r="B2564" s="157"/>
      <c r="F2564" s="1477"/>
    </row>
    <row r="2565" spans="1:6">
      <c r="A2565" s="247"/>
      <c r="B2565" s="157"/>
      <c r="F2565" s="1477"/>
    </row>
    <row r="2566" spans="1:6">
      <c r="A2566" s="247"/>
      <c r="B2566" s="157"/>
      <c r="F2566" s="1477"/>
    </row>
    <row r="2567" spans="1:6">
      <c r="A2567" s="247"/>
      <c r="B2567" s="157"/>
      <c r="F2567" s="1477"/>
    </row>
    <row r="2568" spans="1:6">
      <c r="A2568" s="247"/>
      <c r="B2568" s="157"/>
      <c r="F2568" s="1477"/>
    </row>
    <row r="2569" spans="1:6">
      <c r="A2569" s="247"/>
      <c r="B2569" s="157"/>
      <c r="F2569" s="1477"/>
    </row>
    <row r="2570" spans="1:6">
      <c r="A2570" s="247"/>
      <c r="B2570" s="157"/>
      <c r="F2570" s="1477"/>
    </row>
    <row r="2571" spans="1:6">
      <c r="F2571" s="1477"/>
    </row>
    <row r="2572" spans="1:6">
      <c r="F2572" s="1477"/>
    </row>
    <row r="2612" spans="3:3">
      <c r="C2612" s="56"/>
    </row>
    <row r="2613" spans="3:3">
      <c r="C261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64"/>
      <c r="B1" s="1464"/>
      <c r="C1" s="1464"/>
      <c r="D1" s="1464"/>
      <c r="E1" s="1464"/>
      <c r="F1" s="1464"/>
      <c r="G1" s="1464"/>
      <c r="H1" s="1464"/>
      <c r="I1" s="1464"/>
      <c r="J1" s="1"/>
      <c r="K1" s="1"/>
      <c r="L1" s="1"/>
      <c r="M1" s="1"/>
      <c r="N1" s="1"/>
      <c r="O1" s="1"/>
      <c r="P1" s="1465" t="s">
        <v>34</v>
      </c>
      <c r="Q1" s="1465"/>
      <c r="R1" s="1465"/>
      <c r="S1" s="1465"/>
      <c r="T1" s="1465"/>
      <c r="U1" s="1465"/>
      <c r="V1" s="1465"/>
      <c r="W1" s="1465"/>
      <c r="X1" s="1465"/>
      <c r="Y1" s="1465"/>
      <c r="Z1" s="1465"/>
      <c r="AA1" s="1465"/>
      <c r="AB1" s="66"/>
    </row>
    <row r="2" spans="1:30" ht="15.75" thickBot="1">
      <c r="A2" s="2"/>
      <c r="B2" s="2"/>
      <c r="C2" s="2"/>
      <c r="D2" s="2"/>
      <c r="E2" s="2"/>
      <c r="F2" s="2"/>
      <c r="G2" s="2"/>
      <c r="H2" s="2"/>
      <c r="I2" s="2"/>
      <c r="J2" s="6"/>
      <c r="K2" s="6"/>
      <c r="L2" s="6"/>
      <c r="M2" s="6"/>
      <c r="N2" s="6"/>
      <c r="O2" s="6"/>
      <c r="P2" s="8"/>
      <c r="Q2" s="8"/>
      <c r="R2" s="3"/>
      <c r="S2" s="3"/>
      <c r="T2" s="3"/>
      <c r="U2" s="3"/>
      <c r="V2" s="3" t="s">
        <v>2057</v>
      </c>
      <c r="W2" s="3" t="s">
        <v>2058</v>
      </c>
      <c r="X2" s="3" t="s">
        <v>2058</v>
      </c>
      <c r="Y2" s="3" t="s">
        <v>2058</v>
      </c>
      <c r="Z2" s="3" t="s">
        <v>2058</v>
      </c>
      <c r="AA2" s="8" t="s">
        <v>2059</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2060</v>
      </c>
      <c r="T3" s="19" t="s">
        <v>2061</v>
      </c>
      <c r="U3" s="19" t="s">
        <v>2062</v>
      </c>
      <c r="V3" s="5" t="s">
        <v>2063</v>
      </c>
      <c r="W3" s="5" t="s">
        <v>44</v>
      </c>
      <c r="X3" s="5" t="s">
        <v>43</v>
      </c>
      <c r="Y3" s="5" t="s">
        <v>2064</v>
      </c>
      <c r="Z3" s="5" t="s">
        <v>46</v>
      </c>
      <c r="AA3" s="89" t="s">
        <v>654</v>
      </c>
      <c r="AB3" s="68" t="s">
        <v>48</v>
      </c>
    </row>
    <row r="4" spans="1:30" ht="24.75" customHeight="1" thickBot="1">
      <c r="A4" s="440" t="s">
        <v>2065</v>
      </c>
      <c r="B4" s="440" t="s">
        <v>2066</v>
      </c>
      <c r="C4" s="16">
        <v>45717</v>
      </c>
      <c r="D4" s="63" t="s">
        <v>2067</v>
      </c>
      <c r="E4" s="51">
        <v>45707</v>
      </c>
      <c r="F4" s="51" t="s">
        <v>208</v>
      </c>
      <c r="G4" s="382" t="s">
        <v>2068</v>
      </c>
      <c r="H4" s="97">
        <v>0</v>
      </c>
      <c r="I4" s="105"/>
      <c r="J4" s="76" t="s">
        <v>63</v>
      </c>
      <c r="K4" s="76" t="s">
        <v>2069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2070</v>
      </c>
    </row>
    <row r="5" spans="1:30" ht="24.75" customHeight="1" thickBot="1">
      <c r="A5" s="440" t="s">
        <v>2071</v>
      </c>
      <c r="B5" s="440" t="s">
        <v>2066</v>
      </c>
      <c r="C5" s="16">
        <v>45717</v>
      </c>
      <c r="D5" s="63" t="s">
        <v>2067</v>
      </c>
      <c r="E5" s="51">
        <v>45707</v>
      </c>
      <c r="F5" s="381" t="s">
        <v>208</v>
      </c>
      <c r="G5" s="382" t="s">
        <v>2072</v>
      </c>
      <c r="H5" s="97">
        <v>0</v>
      </c>
      <c r="I5" s="105"/>
      <c r="J5" s="76" t="s">
        <v>63</v>
      </c>
      <c r="K5" s="76" t="s">
        <v>2069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2073</v>
      </c>
      <c r="B6" s="440" t="s">
        <v>2066</v>
      </c>
      <c r="C6" s="16">
        <v>45717</v>
      </c>
      <c r="D6" s="63" t="s">
        <v>2067</v>
      </c>
      <c r="E6" s="51">
        <v>45707</v>
      </c>
      <c r="F6" s="381" t="s">
        <v>208</v>
      </c>
      <c r="G6" s="382" t="s">
        <v>2074</v>
      </c>
      <c r="H6" s="97">
        <v>0</v>
      </c>
      <c r="I6" s="105"/>
      <c r="J6" s="76" t="s">
        <v>63</v>
      </c>
      <c r="K6" s="76" t="s">
        <v>2069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755</v>
      </c>
      <c r="B7" s="374" t="s">
        <v>109</v>
      </c>
      <c r="C7" s="51">
        <v>45930</v>
      </c>
      <c r="D7" s="587" t="s">
        <v>84</v>
      </c>
      <c r="E7" s="375"/>
      <c r="F7" s="587" t="s">
        <v>163</v>
      </c>
      <c r="G7" s="384" t="s">
        <v>757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2075</v>
      </c>
      <c r="B8" s="440" t="s">
        <v>2076</v>
      </c>
      <c r="C8" s="16">
        <v>45748</v>
      </c>
      <c r="D8" s="16" t="s">
        <v>2067</v>
      </c>
      <c r="E8" s="94" t="s">
        <v>52</v>
      </c>
      <c r="F8" s="95" t="s">
        <v>52</v>
      </c>
      <c r="G8" s="618" t="s">
        <v>2077</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2078</v>
      </c>
      <c r="AC8" s="435"/>
      <c r="AD8" s="70"/>
    </row>
    <row r="9" spans="1:30" ht="24.75" customHeight="1">
      <c r="A9" s="449" t="s">
        <v>2079</v>
      </c>
      <c r="B9" s="449" t="s">
        <v>2080</v>
      </c>
      <c r="C9" s="23">
        <v>45741</v>
      </c>
      <c r="D9" s="16" t="s">
        <v>2067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2081</v>
      </c>
    </row>
    <row r="10" spans="1:30" ht="24.75" customHeight="1" thickBot="1">
      <c r="A10" s="26" t="s">
        <v>2082</v>
      </c>
      <c r="B10" s="26" t="s">
        <v>2080</v>
      </c>
      <c r="C10" s="27">
        <v>45741</v>
      </c>
      <c r="D10" s="16" t="s">
        <v>2067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2083</v>
      </c>
      <c r="B11" s="36" t="s">
        <v>2080</v>
      </c>
      <c r="C11" s="37">
        <v>45747</v>
      </c>
      <c r="D11" s="16" t="s">
        <v>2067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2084</v>
      </c>
      <c r="B12" s="26" t="s">
        <v>2080</v>
      </c>
      <c r="C12" s="27">
        <v>45741</v>
      </c>
      <c r="D12" s="16" t="s">
        <v>2067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2081</v>
      </c>
    </row>
    <row r="13" spans="1:30" ht="24.75" customHeight="1" thickBot="1">
      <c r="A13" s="26" t="s">
        <v>2085</v>
      </c>
      <c r="B13" s="26" t="s">
        <v>2080</v>
      </c>
      <c r="C13" s="27">
        <v>45741</v>
      </c>
      <c r="D13" s="27" t="s">
        <v>2067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2081</v>
      </c>
    </row>
    <row r="14" spans="1:30" ht="24.75" customHeight="1" thickBot="1">
      <c r="A14" s="26" t="s">
        <v>2086</v>
      </c>
      <c r="B14" s="26" t="s">
        <v>2080</v>
      </c>
      <c r="C14" s="27">
        <v>45747</v>
      </c>
      <c r="D14" s="27" t="s">
        <v>2067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2087</v>
      </c>
      <c r="B15" s="26" t="s">
        <v>2080</v>
      </c>
      <c r="C15" s="27">
        <v>45741</v>
      </c>
      <c r="D15" s="27" t="s">
        <v>2067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2081</v>
      </c>
    </row>
    <row r="16" spans="1:30" ht="24.75" customHeight="1" thickBot="1">
      <c r="A16" s="26" t="s">
        <v>2088</v>
      </c>
      <c r="B16" s="26" t="s">
        <v>2080</v>
      </c>
      <c r="C16" s="27">
        <v>45741</v>
      </c>
      <c r="D16" s="27" t="s">
        <v>2067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2081</v>
      </c>
    </row>
    <row r="17" spans="1:30" ht="24.75" customHeight="1" thickBot="1">
      <c r="A17" s="36" t="s">
        <v>2089</v>
      </c>
      <c r="B17" s="36" t="s">
        <v>2080</v>
      </c>
      <c r="C17" s="37">
        <v>45747</v>
      </c>
      <c r="D17" s="37" t="s">
        <v>2067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2090</v>
      </c>
      <c r="B18" s="374" t="s">
        <v>2080</v>
      </c>
      <c r="C18" s="51">
        <v>45717</v>
      </c>
      <c r="D18" s="27" t="s">
        <v>2067</v>
      </c>
      <c r="E18" s="85">
        <v>45700</v>
      </c>
      <c r="F18" s="51"/>
      <c r="G18" s="51" t="s">
        <v>2091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2081</v>
      </c>
    </row>
    <row r="19" spans="1:30" ht="24.75" customHeight="1" thickBot="1">
      <c r="A19" s="50" t="s">
        <v>2092</v>
      </c>
      <c r="B19" s="26" t="s">
        <v>2080</v>
      </c>
      <c r="C19" s="51">
        <v>45747</v>
      </c>
      <c r="D19" s="27" t="s">
        <v>2067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2093</v>
      </c>
    </row>
    <row r="20" spans="1:30" ht="24.75" customHeight="1" thickBot="1">
      <c r="A20" s="374" t="s">
        <v>2094</v>
      </c>
      <c r="B20" s="374" t="s">
        <v>2080</v>
      </c>
      <c r="C20" s="375">
        <v>45717</v>
      </c>
      <c r="D20" s="27" t="s">
        <v>2067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2081</v>
      </c>
    </row>
    <row r="21" spans="1:30" ht="24.75" customHeight="1" thickBot="1">
      <c r="A21" s="374" t="s">
        <v>2095</v>
      </c>
      <c r="B21" s="112" t="s">
        <v>50</v>
      </c>
      <c r="C21" s="51">
        <v>45717</v>
      </c>
      <c r="D21" s="27" t="s">
        <v>2096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2097</v>
      </c>
      <c r="B22" s="378" t="s">
        <v>50</v>
      </c>
      <c r="C22" s="51">
        <v>45717</v>
      </c>
      <c r="D22" s="51" t="s">
        <v>2096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2099</v>
      </c>
      <c r="B24" s="378" t="s">
        <v>50</v>
      </c>
      <c r="C24" s="381">
        <v>45688</v>
      </c>
      <c r="D24" s="390" t="s">
        <v>2098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2100</v>
      </c>
      <c r="B25" s="113" t="s">
        <v>50</v>
      </c>
      <c r="C25" s="51">
        <v>45747</v>
      </c>
      <c r="D25" s="51" t="s">
        <v>2096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2101</v>
      </c>
    </row>
    <row r="26" spans="1:30" ht="24.75" customHeight="1">
      <c r="A26" s="101" t="s">
        <v>2102</v>
      </c>
      <c r="B26" s="102" t="s">
        <v>50</v>
      </c>
      <c r="C26" s="77">
        <v>45716</v>
      </c>
      <c r="D26" s="26" t="s">
        <v>2098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2103</v>
      </c>
      <c r="B27" s="102" t="s">
        <v>50</v>
      </c>
      <c r="C27" s="77">
        <v>45716</v>
      </c>
      <c r="D27" s="50" t="s">
        <v>2098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2104</v>
      </c>
      <c r="B28" s="1109" t="s">
        <v>50</v>
      </c>
      <c r="C28" s="1102">
        <v>45991</v>
      </c>
      <c r="D28" s="375" t="s">
        <v>84</v>
      </c>
      <c r="E28" s="77">
        <v>45734</v>
      </c>
      <c r="F28" s="1100" t="s">
        <v>68</v>
      </c>
      <c r="G28" s="1111" t="s">
        <v>2105</v>
      </c>
      <c r="H28" s="76">
        <v>85</v>
      </c>
      <c r="I28" s="1112" t="s">
        <v>55</v>
      </c>
      <c r="J28" s="76" t="s">
        <v>63</v>
      </c>
      <c r="K28" s="76"/>
      <c r="L28" s="77">
        <v>45735</v>
      </c>
      <c r="M28" s="76" t="s">
        <v>57</v>
      </c>
      <c r="N28" s="1116">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2106</v>
      </c>
      <c r="B29" s="1109" t="s">
        <v>50</v>
      </c>
      <c r="C29" s="1102">
        <v>46021</v>
      </c>
      <c r="D29" s="375" t="s">
        <v>84</v>
      </c>
      <c r="E29" s="77">
        <v>45743</v>
      </c>
      <c r="F29" s="1100" t="s">
        <v>68</v>
      </c>
      <c r="G29" s="1110" t="s">
        <v>2107</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2108</v>
      </c>
      <c r="AC29" s="1106"/>
      <c r="AD29" s="1108"/>
    </row>
    <row r="30" spans="1:30" ht="24.75" customHeight="1">
      <c r="A30" s="374" t="s">
        <v>2109</v>
      </c>
      <c r="B30" s="667" t="s">
        <v>50</v>
      </c>
      <c r="C30" s="375">
        <v>45991</v>
      </c>
      <c r="D30" s="50" t="s">
        <v>84</v>
      </c>
      <c r="E30" s="51">
        <v>45743</v>
      </c>
      <c r="F30" s="50" t="s">
        <v>68</v>
      </c>
      <c r="G30" s="379" t="s">
        <v>2110</v>
      </c>
      <c r="H30" s="52">
        <v>87</v>
      </c>
      <c r="I30" s="665" t="s">
        <v>55</v>
      </c>
      <c r="J30" s="376" t="s">
        <v>63</v>
      </c>
      <c r="K30" s="1114"/>
      <c r="L30" s="77">
        <v>45741</v>
      </c>
      <c r="M30" s="1115" t="s">
        <v>57</v>
      </c>
      <c r="N30" s="1117">
        <v>75191.5</v>
      </c>
      <c r="O30" s="376" t="s">
        <v>57</v>
      </c>
      <c r="P30" s="58" t="s">
        <v>101</v>
      </c>
      <c r="Q30" s="479">
        <v>45748</v>
      </c>
      <c r="R30" s="42">
        <v>6387</v>
      </c>
      <c r="S30" s="987">
        <v>0</v>
      </c>
      <c r="T30" s="330">
        <v>0</v>
      </c>
      <c r="U30" s="22">
        <v>0</v>
      </c>
      <c r="V30" s="30"/>
      <c r="W30" s="34">
        <v>0</v>
      </c>
      <c r="X30" s="34">
        <v>0</v>
      </c>
      <c r="Y30" s="34">
        <v>0</v>
      </c>
      <c r="Z30" s="34">
        <v>0</v>
      </c>
      <c r="AA30" s="34">
        <v>0</v>
      </c>
      <c r="AB30" s="208" t="s">
        <v>2111</v>
      </c>
      <c r="AC30" s="333"/>
      <c r="AD30" s="115"/>
    </row>
    <row r="31" spans="1:30" ht="24.75" customHeight="1">
      <c r="A31" s="374" t="s">
        <v>1110</v>
      </c>
      <c r="B31" s="667" t="s">
        <v>50</v>
      </c>
      <c r="C31" s="375">
        <v>46021</v>
      </c>
      <c r="D31" s="375" t="s">
        <v>84</v>
      </c>
      <c r="E31" s="51">
        <v>45735</v>
      </c>
      <c r="F31" s="50" t="s">
        <v>68</v>
      </c>
      <c r="G31" s="668" t="s">
        <v>2112</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2113</v>
      </c>
      <c r="W31" s="34">
        <v>0</v>
      </c>
      <c r="X31" s="34">
        <v>0</v>
      </c>
      <c r="Y31" s="31">
        <v>0</v>
      </c>
      <c r="Z31" s="34">
        <v>0</v>
      </c>
      <c r="AA31" s="31">
        <v>0</v>
      </c>
      <c r="AB31" s="353" t="s">
        <v>2108</v>
      </c>
    </row>
    <row r="32" spans="1:30" ht="24.75" customHeight="1">
      <c r="A32" s="901" t="s">
        <v>2114</v>
      </c>
      <c r="B32" s="1101" t="s">
        <v>50</v>
      </c>
      <c r="C32" s="979">
        <v>45717</v>
      </c>
      <c r="D32" s="979" t="s">
        <v>2096</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2115</v>
      </c>
      <c r="B33" s="983" t="s">
        <v>50</v>
      </c>
      <c r="C33" s="903">
        <v>45989</v>
      </c>
      <c r="D33" s="903" t="s">
        <v>2116</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2117</v>
      </c>
    </row>
    <row r="34" spans="1:30" ht="24.75" customHeight="1">
      <c r="A34" s="901" t="s">
        <v>2118</v>
      </c>
      <c r="B34" s="1101" t="s">
        <v>50</v>
      </c>
      <c r="C34" s="979">
        <v>45717</v>
      </c>
      <c r="D34" s="979" t="s">
        <v>2096</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2119</v>
      </c>
      <c r="B35" s="1101" t="s">
        <v>50</v>
      </c>
      <c r="C35" s="979">
        <v>45717</v>
      </c>
      <c r="D35" s="979" t="s">
        <v>2096</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2120</v>
      </c>
      <c r="B36" s="1101" t="s">
        <v>50</v>
      </c>
      <c r="C36" s="979">
        <v>45717</v>
      </c>
      <c r="D36" s="979" t="s">
        <v>2096</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2121</v>
      </c>
      <c r="Q1" s="159" t="s">
        <v>2122</v>
      </c>
      <c r="R1" s="127" t="s">
        <v>2123</v>
      </c>
      <c r="S1" s="127" t="s">
        <v>2124</v>
      </c>
      <c r="T1" s="159" t="s">
        <v>2125</v>
      </c>
      <c r="U1" s="127" t="s">
        <v>1238</v>
      </c>
      <c r="V1" s="160" t="s">
        <v>2126</v>
      </c>
      <c r="W1" s="160" t="s">
        <v>2127</v>
      </c>
      <c r="X1" s="163" t="s">
        <v>2128</v>
      </c>
      <c r="Y1" s="258" t="e" cm="1">
        <f t="array" ref="Y1">VLOOKUP(#REF!,#REF!, FALSE)</f>
        <v>#REF!</v>
      </c>
    </row>
    <row r="2" spans="1:25">
      <c r="A2" s="178" t="s">
        <v>526</v>
      </c>
      <c r="B2" s="180" t="s">
        <v>207</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529</v>
      </c>
      <c r="B3" s="530" t="s">
        <v>207</v>
      </c>
      <c r="C3" s="687">
        <v>45742</v>
      </c>
      <c r="D3" s="688" t="s">
        <v>531</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2129</v>
      </c>
      <c r="B4" s="407" t="s">
        <v>207</v>
      </c>
      <c r="C4" s="408">
        <v>45742</v>
      </c>
      <c r="D4" s="694" t="s">
        <v>2130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535</v>
      </c>
      <c r="B5" s="407" t="s">
        <v>207</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656</v>
      </c>
      <c r="B6" s="407" t="s">
        <v>207</v>
      </c>
      <c r="C6" s="408">
        <v>45747</v>
      </c>
      <c r="D6" s="691" t="s">
        <v>658</v>
      </c>
      <c r="E6" s="190"/>
      <c r="F6" s="137"/>
      <c r="G6" s="137"/>
      <c r="H6" s="185">
        <v>56</v>
      </c>
      <c r="I6" s="181"/>
      <c r="J6" s="188" t="s">
        <v>57</v>
      </c>
      <c r="K6" s="188" t="s">
        <v>57</v>
      </c>
      <c r="L6" s="185" t="s">
        <v>63</v>
      </c>
      <c r="M6" s="195">
        <v>45701</v>
      </c>
      <c r="N6" s="30" t="s">
        <v>86</v>
      </c>
      <c r="O6" s="356">
        <v>45718</v>
      </c>
      <c r="P6" s="30" t="s">
        <v>86</v>
      </c>
      <c r="Q6" s="334" t="s">
        <v>86</v>
      </c>
      <c r="R6" s="43" t="s">
        <v>2131</v>
      </c>
      <c r="S6" s="43" t="s">
        <v>86</v>
      </c>
      <c r="T6" s="43" t="s">
        <v>86</v>
      </c>
      <c r="U6" s="157" t="s">
        <v>86</v>
      </c>
      <c r="V6" s="69" t="s">
        <v>91</v>
      </c>
      <c r="W6" s="79"/>
      <c r="X6" s="69" t="s">
        <v>91</v>
      </c>
      <c r="Y6" t="e">
        <f>VLOOKUP(A6,#REF!,2,FALSE)</f>
        <v>#REF!</v>
      </c>
    </row>
    <row r="7" spans="1:25">
      <c r="A7" s="385" t="s">
        <v>1061</v>
      </c>
      <c r="B7" s="684" t="s">
        <v>207</v>
      </c>
      <c r="C7" s="386">
        <v>45742</v>
      </c>
      <c r="D7" s="411" t="s">
        <v>662</v>
      </c>
      <c r="E7" s="522"/>
      <c r="F7" s="523"/>
      <c r="G7" s="523"/>
      <c r="H7" s="179">
        <v>60</v>
      </c>
      <c r="I7" s="181"/>
      <c r="J7" s="185" t="s">
        <v>57</v>
      </c>
      <c r="K7" s="185" t="s">
        <v>57</v>
      </c>
      <c r="L7" s="185" t="s">
        <v>63</v>
      </c>
      <c r="M7" s="193">
        <v>45716</v>
      </c>
      <c r="N7" s="30" t="s">
        <v>86</v>
      </c>
      <c r="O7" s="79" t="s">
        <v>86</v>
      </c>
      <c r="P7" s="30" t="s">
        <v>86</v>
      </c>
      <c r="Q7" s="334" t="s">
        <v>86</v>
      </c>
      <c r="R7" s="43" t="s">
        <v>2131</v>
      </c>
      <c r="S7" s="43" t="s">
        <v>86</v>
      </c>
      <c r="T7" s="43" t="s">
        <v>86</v>
      </c>
      <c r="U7" s="43" t="s">
        <v>86</v>
      </c>
      <c r="V7" s="69" t="s">
        <v>91</v>
      </c>
      <c r="W7" s="30"/>
      <c r="X7" s="69" t="s">
        <v>91</v>
      </c>
      <c r="Y7" t="e">
        <f>VLOOKUP(A7,#REF!,2,FALSE)</f>
        <v>#REF!</v>
      </c>
    </row>
    <row r="8" spans="1:25">
      <c r="A8" s="175" t="s">
        <v>538</v>
      </c>
      <c r="B8" s="180" t="s">
        <v>207</v>
      </c>
      <c r="C8" s="176">
        <v>45742</v>
      </c>
      <c r="D8" s="185" t="s">
        <v>2132</v>
      </c>
      <c r="E8" s="120"/>
      <c r="F8" s="108"/>
      <c r="G8" s="108"/>
      <c r="H8" s="179">
        <v>84</v>
      </c>
      <c r="I8" s="181"/>
      <c r="J8" s="185" t="s">
        <v>57</v>
      </c>
      <c r="K8" s="185" t="s">
        <v>57</v>
      </c>
      <c r="L8" s="185" t="s">
        <v>63</v>
      </c>
      <c r="M8" s="193">
        <v>45716</v>
      </c>
      <c r="N8" s="30" t="s">
        <v>86</v>
      </c>
      <c r="O8" s="30" t="s">
        <v>86</v>
      </c>
      <c r="P8" s="709" t="s">
        <v>86</v>
      </c>
      <c r="Q8" s="69" t="s">
        <v>86</v>
      </c>
      <c r="R8" s="43" t="s">
        <v>2131</v>
      </c>
      <c r="S8" s="43" t="s">
        <v>86</v>
      </c>
      <c r="T8" s="43" t="s">
        <v>86</v>
      </c>
      <c r="U8" s="43" t="s">
        <v>86</v>
      </c>
      <c r="V8" s="69" t="s">
        <v>91</v>
      </c>
      <c r="W8" s="30"/>
      <c r="X8" s="69" t="s">
        <v>91</v>
      </c>
      <c r="Y8" t="e">
        <f>VLOOKUP(A8,#REF!,2,FALSE)</f>
        <v>#REF!</v>
      </c>
    </row>
    <row r="9" spans="1:25">
      <c r="A9" s="175" t="s">
        <v>1063</v>
      </c>
      <c r="B9" s="180" t="s">
        <v>207</v>
      </c>
      <c r="C9" s="176">
        <v>45742</v>
      </c>
      <c r="D9" s="519" t="s">
        <v>539</v>
      </c>
      <c r="E9" s="191"/>
      <c r="F9" s="138"/>
      <c r="G9" s="138"/>
      <c r="H9" s="185">
        <v>79</v>
      </c>
      <c r="I9" s="181"/>
      <c r="J9" s="185" t="s">
        <v>57</v>
      </c>
      <c r="K9" s="185" t="s">
        <v>57</v>
      </c>
      <c r="L9" s="185" t="s">
        <v>63</v>
      </c>
      <c r="M9" s="193">
        <v>45716</v>
      </c>
      <c r="N9" s="119" t="s">
        <v>86</v>
      </c>
      <c r="O9" s="54">
        <v>45718</v>
      </c>
      <c r="P9" s="119" t="s">
        <v>86</v>
      </c>
      <c r="Q9" s="69" t="s">
        <v>86</v>
      </c>
      <c r="R9" s="43" t="s">
        <v>2131</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2131</v>
      </c>
      <c r="S10" s="43" t="s">
        <v>86</v>
      </c>
      <c r="T10" s="43" t="s">
        <v>86</v>
      </c>
      <c r="U10" s="161" t="s">
        <v>86</v>
      </c>
      <c r="V10" s="334" t="s">
        <v>91</v>
      </c>
      <c r="W10" s="30"/>
      <c r="X10" s="69" t="s">
        <v>91</v>
      </c>
      <c r="Y10" t="e">
        <f>VLOOKUP(A10,#REF!,2,FALSE)</f>
        <v>#REF!</v>
      </c>
    </row>
    <row r="11" spans="1:25">
      <c r="A11" s="181" t="s">
        <v>660</v>
      </c>
      <c r="B11" s="422" t="s">
        <v>207</v>
      </c>
      <c r="C11" s="176">
        <v>45991</v>
      </c>
      <c r="D11" s="534" t="s">
        <v>662</v>
      </c>
      <c r="E11" s="120">
        <v>31</v>
      </c>
      <c r="F11" s="108"/>
      <c r="G11" s="108"/>
      <c r="H11" s="185">
        <v>31</v>
      </c>
      <c r="I11" s="181"/>
      <c r="J11" s="185" t="s">
        <v>57</v>
      </c>
      <c r="K11" s="185" t="s">
        <v>57</v>
      </c>
      <c r="L11" s="185" t="s">
        <v>63</v>
      </c>
      <c r="M11" s="195">
        <v>45716</v>
      </c>
      <c r="N11" s="30" t="s">
        <v>64</v>
      </c>
      <c r="O11" s="54">
        <v>45716</v>
      </c>
      <c r="P11" s="87" t="s">
        <v>86</v>
      </c>
      <c r="Q11" s="69" t="s">
        <v>86</v>
      </c>
      <c r="R11" s="43" t="s">
        <v>2131</v>
      </c>
      <c r="S11" s="43" t="s">
        <v>86</v>
      </c>
      <c r="T11" s="43" t="s">
        <v>86</v>
      </c>
      <c r="U11" s="334" t="s">
        <v>91</v>
      </c>
      <c r="V11" s="69" t="s">
        <v>91</v>
      </c>
      <c r="W11" s="30"/>
      <c r="X11" s="43"/>
    </row>
    <row r="12" spans="1:25">
      <c r="A12" s="175" t="s">
        <v>401</v>
      </c>
      <c r="B12" s="180" t="s">
        <v>207</v>
      </c>
      <c r="C12" s="176">
        <v>45772</v>
      </c>
      <c r="D12" s="199" t="s">
        <v>662</v>
      </c>
      <c r="E12" s="191"/>
      <c r="F12" s="138"/>
      <c r="G12" s="138"/>
      <c r="H12" s="185">
        <v>31</v>
      </c>
      <c r="I12" s="181"/>
      <c r="J12" s="185" t="s">
        <v>57</v>
      </c>
      <c r="K12" s="185" t="s">
        <v>57</v>
      </c>
      <c r="L12" s="185" t="s">
        <v>63</v>
      </c>
      <c r="M12" s="193">
        <v>45716</v>
      </c>
      <c r="N12" s="30" t="s">
        <v>64</v>
      </c>
      <c r="O12" s="54">
        <v>45716</v>
      </c>
      <c r="P12" s="87" t="s">
        <v>86</v>
      </c>
      <c r="Q12" s="69" t="s">
        <v>86</v>
      </c>
      <c r="R12" s="43" t="s">
        <v>2131</v>
      </c>
      <c r="S12" s="43" t="s">
        <v>86</v>
      </c>
      <c r="T12" s="43" t="s">
        <v>86</v>
      </c>
      <c r="U12" s="69" t="s">
        <v>91</v>
      </c>
      <c r="V12" s="69" t="s">
        <v>91</v>
      </c>
      <c r="W12" s="30"/>
      <c r="X12" s="69" t="s">
        <v>91</v>
      </c>
      <c r="Y12" t="e">
        <f>VLOOKUP(A12,#REF!,2,FALSE)</f>
        <v>#REF!</v>
      </c>
    </row>
    <row r="13" spans="1:25">
      <c r="A13" s="178" t="s">
        <v>265</v>
      </c>
      <c r="B13" s="180" t="s">
        <v>207</v>
      </c>
      <c r="C13" s="409">
        <v>45960</v>
      </c>
      <c r="D13" s="418" t="s">
        <v>2133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975</v>
      </c>
      <c r="B15" s="180" t="s">
        <v>207</v>
      </c>
      <c r="C15" s="314">
        <v>45711</v>
      </c>
      <c r="D15" s="633" t="s">
        <v>977</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2134</v>
      </c>
      <c r="Y15" t="e">
        <f>VLOOKUP(A15,#REF!,2,FALSE)</f>
        <v>#REF!</v>
      </c>
    </row>
    <row r="16" spans="1:25">
      <c r="A16" s="175" t="s">
        <v>664</v>
      </c>
      <c r="B16" s="180" t="s">
        <v>207</v>
      </c>
      <c r="C16" s="314">
        <v>45742</v>
      </c>
      <c r="D16" s="697" t="s">
        <v>666</v>
      </c>
      <c r="E16" s="191"/>
      <c r="F16" s="138"/>
      <c r="G16" s="138"/>
      <c r="H16" s="185">
        <v>0</v>
      </c>
      <c r="I16" s="181"/>
      <c r="J16" s="185" t="s">
        <v>57</v>
      </c>
      <c r="K16" s="185" t="s">
        <v>57</v>
      </c>
      <c r="L16" s="185" t="s">
        <v>63</v>
      </c>
      <c r="M16" s="195" t="s">
        <v>2135</v>
      </c>
      <c r="N16" s="30" t="s">
        <v>86</v>
      </c>
      <c r="O16" s="54" t="s">
        <v>2135</v>
      </c>
      <c r="P16" s="30" t="s">
        <v>86</v>
      </c>
      <c r="Q16" s="69" t="s">
        <v>86</v>
      </c>
      <c r="R16" s="43" t="s">
        <v>86</v>
      </c>
      <c r="S16" s="43" t="s">
        <v>56</v>
      </c>
      <c r="T16" s="43" t="s">
        <v>86</v>
      </c>
      <c r="U16" s="69" t="s">
        <v>91</v>
      </c>
      <c r="V16" s="69" t="s">
        <v>91</v>
      </c>
      <c r="W16" s="30"/>
      <c r="X16" s="69" t="s">
        <v>91</v>
      </c>
      <c r="Y16" t="e">
        <f>VLOOKUP(A16,#REF!,2,FALSE)</f>
        <v>#REF!</v>
      </c>
    </row>
    <row r="17" spans="1:25">
      <c r="A17" s="178" t="s">
        <v>540</v>
      </c>
      <c r="B17" s="180" t="s">
        <v>207</v>
      </c>
      <c r="C17" s="177">
        <v>45991</v>
      </c>
      <c r="D17" s="711" t="s">
        <v>541</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542</v>
      </c>
      <c r="B18" s="180" t="s">
        <v>207</v>
      </c>
      <c r="C18" s="409">
        <v>45991</v>
      </c>
      <c r="D18" s="410" t="s">
        <v>543</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980</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667</v>
      </c>
      <c r="B20" s="175" t="s">
        <v>109</v>
      </c>
      <c r="C20" s="176">
        <v>45742</v>
      </c>
      <c r="D20" s="179" t="s">
        <v>668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2134</v>
      </c>
      <c r="Y20" t="e">
        <f>VLOOKUP(A20,#REF!,2,FALSE)</f>
        <v>#REF!</v>
      </c>
    </row>
    <row r="21" spans="1:25">
      <c r="A21" s="178" t="s">
        <v>669</v>
      </c>
      <c r="B21" s="175" t="s">
        <v>109</v>
      </c>
      <c r="C21" s="176">
        <v>45772</v>
      </c>
      <c r="D21" s="617" t="s">
        <v>671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2134</v>
      </c>
      <c r="Y21" t="e">
        <f>VLOOKUP(A21,#REF!,2,FALSE)</f>
        <v>#REF!</v>
      </c>
    </row>
    <row r="22" spans="1:25">
      <c r="A22" s="175" t="s">
        <v>673</v>
      </c>
      <c r="B22" s="175" t="s">
        <v>109</v>
      </c>
      <c r="C22" s="176">
        <v>45868</v>
      </c>
      <c r="D22" s="617" t="s">
        <v>674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2134</v>
      </c>
    </row>
    <row r="23" spans="1:25">
      <c r="A23" s="175" t="s">
        <v>981</v>
      </c>
      <c r="B23" s="175" t="s">
        <v>109</v>
      </c>
      <c r="C23" s="176">
        <v>45838</v>
      </c>
      <c r="D23" s="179" t="s">
        <v>982</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676</v>
      </c>
      <c r="B24" s="175" t="s">
        <v>109</v>
      </c>
      <c r="C24" s="176">
        <v>45807</v>
      </c>
      <c r="D24" s="200" t="s">
        <v>677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2134</v>
      </c>
    </row>
    <row r="25" spans="1:25">
      <c r="A25" s="175" t="s">
        <v>679</v>
      </c>
      <c r="B25" s="175" t="s">
        <v>109</v>
      </c>
      <c r="C25" s="176">
        <v>45787</v>
      </c>
      <c r="D25" s="200" t="s">
        <v>680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2134</v>
      </c>
      <c r="Y25" t="e">
        <f>VLOOKUP(A25,#REF!,2,FALSE)</f>
        <v>#REF!</v>
      </c>
    </row>
    <row r="26" spans="1:25">
      <c r="A26" s="180" t="s">
        <v>681</v>
      </c>
      <c r="B26" s="175" t="s">
        <v>109</v>
      </c>
      <c r="C26" s="183">
        <v>45868</v>
      </c>
      <c r="D26" s="200" t="s">
        <v>682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986</v>
      </c>
      <c r="B27" s="175" t="s">
        <v>109</v>
      </c>
      <c r="C27" s="183">
        <v>45868</v>
      </c>
      <c r="D27" s="179" t="s">
        <v>987</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989</v>
      </c>
      <c r="B28" s="175" t="s">
        <v>109</v>
      </c>
      <c r="C28" s="183">
        <v>45868</v>
      </c>
      <c r="D28" s="179" t="s">
        <v>990</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684</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2134</v>
      </c>
      <c r="Y29" t="e">
        <f>VLOOKUP(A29,#REF!,2,FALSE)</f>
        <v>#REF!</v>
      </c>
    </row>
    <row r="30" spans="1:25">
      <c r="A30" s="175" t="s">
        <v>686</v>
      </c>
      <c r="B30" s="175" t="s">
        <v>109</v>
      </c>
      <c r="C30" s="176">
        <v>45711</v>
      </c>
      <c r="D30" s="176" t="s">
        <v>687</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2134</v>
      </c>
      <c r="Y30" t="e">
        <f>VLOOKUP(A30,#REF!,2,FALSE)</f>
        <v>#REF!</v>
      </c>
    </row>
    <row r="31" spans="1:25">
      <c r="A31" s="178" t="s">
        <v>688</v>
      </c>
      <c r="B31" s="175" t="s">
        <v>109</v>
      </c>
      <c r="C31" s="176">
        <v>45716</v>
      </c>
      <c r="D31" s="179" t="s">
        <v>689</v>
      </c>
      <c r="E31" s="172"/>
      <c r="F31" s="129"/>
      <c r="G31" s="129"/>
      <c r="H31" s="179">
        <v>56</v>
      </c>
      <c r="I31" s="181"/>
      <c r="J31" s="179" t="s">
        <v>57</v>
      </c>
      <c r="K31" s="179" t="s">
        <v>57</v>
      </c>
      <c r="L31" s="179" t="s">
        <v>63</v>
      </c>
      <c r="M31" s="195">
        <v>45707</v>
      </c>
      <c r="N31" s="30" t="s">
        <v>86</v>
      </c>
      <c r="O31" s="54">
        <v>45707</v>
      </c>
      <c r="P31" s="87" t="s">
        <v>86</v>
      </c>
      <c r="Q31" s="43" t="s">
        <v>86</v>
      </c>
      <c r="R31" s="43" t="s">
        <v>2131</v>
      </c>
      <c r="S31" s="43" t="s">
        <v>86</v>
      </c>
      <c r="T31" s="139" t="s">
        <v>86</v>
      </c>
      <c r="U31" s="115" t="s">
        <v>86</v>
      </c>
      <c r="V31" s="69" t="s">
        <v>86</v>
      </c>
      <c r="W31" s="54">
        <v>45779</v>
      </c>
      <c r="X31" s="69" t="s">
        <v>2134</v>
      </c>
      <c r="Y31" t="e">
        <f>VLOOKUP(A31,#REF!,2,FALSE)</f>
        <v>#REF!</v>
      </c>
    </row>
    <row r="32" spans="1:25">
      <c r="A32" s="178" t="s">
        <v>690</v>
      </c>
      <c r="B32" s="175" t="s">
        <v>109</v>
      </c>
      <c r="C32" s="176">
        <v>45772</v>
      </c>
      <c r="D32" s="617" t="s">
        <v>691</v>
      </c>
      <c r="E32" s="172"/>
      <c r="F32" s="129"/>
      <c r="G32" s="129"/>
      <c r="H32" s="179">
        <v>82</v>
      </c>
      <c r="I32" s="181"/>
      <c r="J32" s="179" t="s">
        <v>57</v>
      </c>
      <c r="K32" s="179" t="s">
        <v>57</v>
      </c>
      <c r="L32" s="179" t="s">
        <v>63</v>
      </c>
      <c r="M32" s="195">
        <v>45756</v>
      </c>
      <c r="N32" s="30" t="s">
        <v>86</v>
      </c>
      <c r="O32" s="54">
        <v>45756</v>
      </c>
      <c r="P32" s="30" t="s">
        <v>86</v>
      </c>
      <c r="Q32" s="69" t="s">
        <v>86</v>
      </c>
      <c r="R32" s="69" t="s">
        <v>2131</v>
      </c>
      <c r="S32" s="43" t="s">
        <v>86</v>
      </c>
      <c r="T32" s="139" t="s">
        <v>86</v>
      </c>
      <c r="U32" s="43" t="s">
        <v>86</v>
      </c>
      <c r="V32" s="69" t="s">
        <v>86</v>
      </c>
      <c r="W32" s="54">
        <v>45792</v>
      </c>
      <c r="X32" s="69" t="s">
        <v>2134</v>
      </c>
    </row>
    <row r="33" spans="1:25">
      <c r="A33" s="178" t="s">
        <v>692</v>
      </c>
      <c r="B33" s="175" t="s">
        <v>109</v>
      </c>
      <c r="C33" s="176">
        <v>45772</v>
      </c>
      <c r="D33" s="200" t="s">
        <v>693</v>
      </c>
      <c r="E33" s="191"/>
      <c r="F33" s="138"/>
      <c r="G33" s="138"/>
      <c r="H33" s="185">
        <v>79</v>
      </c>
      <c r="I33" s="181"/>
      <c r="J33" s="179" t="s">
        <v>57</v>
      </c>
      <c r="K33" s="179" t="s">
        <v>57</v>
      </c>
      <c r="L33" s="179" t="s">
        <v>63</v>
      </c>
      <c r="M33" s="193">
        <v>45749</v>
      </c>
      <c r="N33" s="30" t="s">
        <v>86</v>
      </c>
      <c r="O33" s="124">
        <v>45749</v>
      </c>
      <c r="P33" s="30" t="s">
        <v>86</v>
      </c>
      <c r="Q33" s="69" t="s">
        <v>86</v>
      </c>
      <c r="R33" s="69" t="s">
        <v>2131</v>
      </c>
      <c r="S33" s="43" t="s">
        <v>86</v>
      </c>
      <c r="T33" s="139" t="s">
        <v>86</v>
      </c>
      <c r="U33" s="43" t="s">
        <v>86</v>
      </c>
      <c r="V33" s="334" t="s">
        <v>86</v>
      </c>
      <c r="W33" s="54">
        <v>45812</v>
      </c>
      <c r="X33" s="69" t="s">
        <v>2134</v>
      </c>
      <c r="Y33" t="e">
        <f>VLOOKUP(A33,#REF!,2,FALSE)</f>
        <v>#REF!</v>
      </c>
    </row>
    <row r="34" spans="1:25">
      <c r="A34" s="178" t="s">
        <v>694</v>
      </c>
      <c r="B34" s="175" t="s">
        <v>109</v>
      </c>
      <c r="C34" s="176">
        <v>45772</v>
      </c>
      <c r="D34" s="200" t="s">
        <v>695</v>
      </c>
      <c r="E34" s="191"/>
      <c r="F34" s="138"/>
      <c r="G34" s="138"/>
      <c r="H34" s="185">
        <v>59</v>
      </c>
      <c r="I34" s="181"/>
      <c r="J34" s="179" t="s">
        <v>57</v>
      </c>
      <c r="K34" s="179" t="s">
        <v>57</v>
      </c>
      <c r="L34" s="179" t="s">
        <v>63</v>
      </c>
      <c r="M34" s="193">
        <v>45750</v>
      </c>
      <c r="N34" s="30" t="s">
        <v>86</v>
      </c>
      <c r="O34" s="124">
        <v>45750</v>
      </c>
      <c r="P34" s="30" t="s">
        <v>86</v>
      </c>
      <c r="Q34" s="69" t="s">
        <v>86</v>
      </c>
      <c r="R34" s="69" t="s">
        <v>2131</v>
      </c>
      <c r="S34" s="43" t="s">
        <v>86</v>
      </c>
      <c r="T34" s="139" t="s">
        <v>86</v>
      </c>
      <c r="U34" s="43" t="s">
        <v>86</v>
      </c>
      <c r="V34" s="404" t="s">
        <v>86</v>
      </c>
      <c r="W34" s="166">
        <v>45797</v>
      </c>
      <c r="X34" s="69" t="s">
        <v>2134</v>
      </c>
    </row>
    <row r="35" spans="1:25">
      <c r="A35" s="178" t="s">
        <v>696</v>
      </c>
      <c r="B35" s="175" t="s">
        <v>109</v>
      </c>
      <c r="C35" s="176">
        <v>45688</v>
      </c>
      <c r="D35" s="176" t="s">
        <v>698</v>
      </c>
      <c r="E35" s="699"/>
      <c r="F35" s="703"/>
      <c r="G35" s="703"/>
      <c r="H35" s="179">
        <v>23</v>
      </c>
      <c r="I35" s="181"/>
      <c r="J35" s="189" t="s">
        <v>57</v>
      </c>
      <c r="K35" s="189" t="s">
        <v>57</v>
      </c>
      <c r="L35" s="179" t="s">
        <v>63</v>
      </c>
      <c r="M35" s="195">
        <v>45659</v>
      </c>
      <c r="N35" s="30" t="s">
        <v>86</v>
      </c>
      <c r="O35" s="124">
        <v>45659</v>
      </c>
      <c r="P35" s="87" t="s">
        <v>86</v>
      </c>
      <c r="Q35" s="43" t="s">
        <v>86</v>
      </c>
      <c r="R35" s="43" t="s">
        <v>2131</v>
      </c>
      <c r="S35" s="43" t="s">
        <v>86</v>
      </c>
      <c r="T35" s="139" t="s">
        <v>86</v>
      </c>
      <c r="U35" s="169" t="s">
        <v>86</v>
      </c>
      <c r="V35" s="69" t="s">
        <v>86</v>
      </c>
      <c r="W35" s="54">
        <v>45789</v>
      </c>
      <c r="X35" s="334" t="s">
        <v>2134</v>
      </c>
      <c r="Y35" t="e">
        <f>VLOOKUP(A35,#REF!,2,FALSE)</f>
        <v>#REF!</v>
      </c>
    </row>
    <row r="36" spans="1:25">
      <c r="A36" s="178" t="s">
        <v>699</v>
      </c>
      <c r="B36" s="175" t="s">
        <v>109</v>
      </c>
      <c r="C36" s="176">
        <v>45688</v>
      </c>
      <c r="D36" s="176" t="s">
        <v>700</v>
      </c>
      <c r="E36" s="699"/>
      <c r="F36" s="703"/>
      <c r="G36" s="703"/>
      <c r="H36" s="179">
        <v>70</v>
      </c>
      <c r="I36" s="181"/>
      <c r="J36" s="189" t="s">
        <v>57</v>
      </c>
      <c r="K36" s="189" t="s">
        <v>57</v>
      </c>
      <c r="L36" s="179" t="s">
        <v>63</v>
      </c>
      <c r="M36" s="195">
        <v>45659</v>
      </c>
      <c r="N36" s="30" t="s">
        <v>86</v>
      </c>
      <c r="O36" s="124">
        <v>45659</v>
      </c>
      <c r="P36" s="87" t="s">
        <v>86</v>
      </c>
      <c r="Q36" s="43" t="s">
        <v>86</v>
      </c>
      <c r="R36" s="43" t="s">
        <v>2131</v>
      </c>
      <c r="S36" s="43" t="s">
        <v>86</v>
      </c>
      <c r="T36" s="139" t="s">
        <v>86</v>
      </c>
      <c r="U36" s="43" t="s">
        <v>86</v>
      </c>
      <c r="V36" s="69" t="s">
        <v>86</v>
      </c>
      <c r="W36" s="54">
        <v>45824</v>
      </c>
      <c r="X36" s="334" t="s">
        <v>2134</v>
      </c>
      <c r="Y36" t="e">
        <f>VLOOKUP(A36,#REF!,2,FALSE)</f>
        <v>#REF!</v>
      </c>
    </row>
    <row r="37" spans="1:25">
      <c r="A37" s="178" t="s">
        <v>701</v>
      </c>
      <c r="B37" s="175" t="s">
        <v>109</v>
      </c>
      <c r="C37" s="176">
        <v>45688</v>
      </c>
      <c r="D37" s="176" t="s">
        <v>702</v>
      </c>
      <c r="E37" s="699"/>
      <c r="F37" s="703"/>
      <c r="G37" s="703"/>
      <c r="H37" s="179">
        <v>75</v>
      </c>
      <c r="I37" s="181"/>
      <c r="J37" s="189" t="s">
        <v>57</v>
      </c>
      <c r="K37" s="189" t="s">
        <v>57</v>
      </c>
      <c r="L37" s="179" t="s">
        <v>63</v>
      </c>
      <c r="M37" s="49" t="s">
        <v>86</v>
      </c>
      <c r="N37" s="30" t="s">
        <v>86</v>
      </c>
      <c r="O37" s="124">
        <v>45672</v>
      </c>
      <c r="P37" s="30" t="s">
        <v>86</v>
      </c>
      <c r="Q37" s="43" t="s">
        <v>86</v>
      </c>
      <c r="R37" s="43" t="s">
        <v>2131</v>
      </c>
      <c r="S37" s="43" t="s">
        <v>86</v>
      </c>
      <c r="T37" s="43" t="s">
        <v>86</v>
      </c>
      <c r="U37" s="169" t="s">
        <v>86</v>
      </c>
      <c r="V37" s="69" t="s">
        <v>86</v>
      </c>
      <c r="W37" s="156">
        <v>45789</v>
      </c>
      <c r="X37" s="69" t="s">
        <v>2134</v>
      </c>
      <c r="Y37" t="e">
        <f>VLOOKUP(A37,#REF!,2,FALSE)</f>
        <v>#REF!</v>
      </c>
    </row>
    <row r="38" spans="1:25">
      <c r="A38" s="178" t="s">
        <v>703</v>
      </c>
      <c r="B38" s="175" t="s">
        <v>109</v>
      </c>
      <c r="C38" s="176">
        <v>45688</v>
      </c>
      <c r="D38" s="176" t="s">
        <v>705</v>
      </c>
      <c r="E38" s="699"/>
      <c r="F38" s="703"/>
      <c r="G38" s="703"/>
      <c r="H38" s="179">
        <v>65</v>
      </c>
      <c r="I38" s="181"/>
      <c r="J38" s="189" t="s">
        <v>57</v>
      </c>
      <c r="K38" s="189" t="s">
        <v>57</v>
      </c>
      <c r="L38" s="179" t="s">
        <v>63</v>
      </c>
      <c r="M38" s="193">
        <v>45673</v>
      </c>
      <c r="N38" s="30" t="s">
        <v>86</v>
      </c>
      <c r="O38" s="124">
        <v>45673</v>
      </c>
      <c r="P38" s="30" t="s">
        <v>86</v>
      </c>
      <c r="Q38" s="43" t="s">
        <v>86</v>
      </c>
      <c r="R38" s="43" t="s">
        <v>2131</v>
      </c>
      <c r="S38" s="43" t="s">
        <v>86</v>
      </c>
      <c r="T38" s="43" t="s">
        <v>86</v>
      </c>
      <c r="U38" s="169" t="s">
        <v>86</v>
      </c>
      <c r="V38" s="69" t="s">
        <v>86</v>
      </c>
      <c r="W38" s="54">
        <v>45789</v>
      </c>
      <c r="X38" s="69" t="s">
        <v>2134</v>
      </c>
      <c r="Y38" t="e">
        <f>VLOOKUP(A38,#REF!,2,FALSE)</f>
        <v>#REF!</v>
      </c>
    </row>
    <row r="39" spans="1:25">
      <c r="A39" s="178" t="s">
        <v>706</v>
      </c>
      <c r="B39" s="175" t="s">
        <v>109</v>
      </c>
      <c r="C39" s="176">
        <v>45688</v>
      </c>
      <c r="D39" s="176" t="s">
        <v>707</v>
      </c>
      <c r="E39" s="699"/>
      <c r="F39" s="703"/>
      <c r="G39" s="703"/>
      <c r="H39" s="179">
        <v>81</v>
      </c>
      <c r="I39" s="181"/>
      <c r="J39" s="189" t="s">
        <v>57</v>
      </c>
      <c r="K39" s="189" t="s">
        <v>57</v>
      </c>
      <c r="L39" s="179" t="s">
        <v>63</v>
      </c>
      <c r="M39" s="49" t="s">
        <v>86</v>
      </c>
      <c r="N39" s="30" t="s">
        <v>86</v>
      </c>
      <c r="O39" s="124">
        <v>45672</v>
      </c>
      <c r="P39" s="30" t="s">
        <v>86</v>
      </c>
      <c r="Q39" s="43" t="s">
        <v>86</v>
      </c>
      <c r="R39" s="43" t="s">
        <v>2131</v>
      </c>
      <c r="S39" s="43" t="s">
        <v>86</v>
      </c>
      <c r="T39" s="43" t="s">
        <v>86</v>
      </c>
      <c r="U39" s="169" t="s">
        <v>86</v>
      </c>
      <c r="V39" s="69" t="s">
        <v>86</v>
      </c>
      <c r="W39" s="54">
        <v>45789</v>
      </c>
      <c r="X39" s="69" t="s">
        <v>2134</v>
      </c>
      <c r="Y39" t="e">
        <f>VLOOKUP(A39,#REF!,2,FALSE)</f>
        <v>#REF!</v>
      </c>
    </row>
    <row r="40" spans="1:25">
      <c r="A40" s="175" t="s">
        <v>708</v>
      </c>
      <c r="B40" s="175" t="s">
        <v>109</v>
      </c>
      <c r="C40" s="176">
        <v>45742</v>
      </c>
      <c r="D40" s="179" t="s">
        <v>709</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2134</v>
      </c>
      <c r="Y40" t="e">
        <f>VLOOKUP(A40,#REF!,2,FALSE)</f>
        <v>#REF!</v>
      </c>
    </row>
    <row r="41" spans="1:25">
      <c r="A41" s="178" t="s">
        <v>710</v>
      </c>
      <c r="B41" s="175" t="s">
        <v>109</v>
      </c>
      <c r="C41" s="176">
        <v>45742</v>
      </c>
      <c r="D41" s="200" t="s">
        <v>711</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2134</v>
      </c>
      <c r="Y41" t="e">
        <f>VLOOKUP(A41,#REF!,2,FALSE)</f>
        <v>#REF!</v>
      </c>
    </row>
    <row r="42" spans="1:25" ht="13.5" customHeight="1">
      <c r="A42" s="178" t="s">
        <v>712</v>
      </c>
      <c r="B42" s="175" t="s">
        <v>109</v>
      </c>
      <c r="C42" s="176">
        <v>45772</v>
      </c>
      <c r="D42" s="200" t="s">
        <v>713</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2134</v>
      </c>
      <c r="Y42" t="e">
        <f>VLOOKUP(A42,#REF!,2,FALSE)</f>
        <v>#REF!</v>
      </c>
    </row>
    <row r="43" spans="1:25" ht="13.5" customHeight="1">
      <c r="A43" s="175" t="s">
        <v>714</v>
      </c>
      <c r="B43" s="175" t="s">
        <v>109</v>
      </c>
      <c r="C43" s="176">
        <v>45716</v>
      </c>
      <c r="D43" s="200" t="s">
        <v>715</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2134</v>
      </c>
      <c r="Y43" t="e">
        <f>VLOOKUP(A43,#REF!,2,FALSE)</f>
        <v>#REF!</v>
      </c>
    </row>
    <row r="44" spans="1:25">
      <c r="A44" s="178" t="s">
        <v>718</v>
      </c>
      <c r="B44" s="175" t="s">
        <v>109</v>
      </c>
      <c r="C44" s="176">
        <v>45772</v>
      </c>
      <c r="D44" s="200" t="s">
        <v>717</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2134</v>
      </c>
      <c r="Y44" t="e">
        <f>VLOOKUP(A44,#REF!,2,FALSE)</f>
        <v>#REF!</v>
      </c>
    </row>
    <row r="45" spans="1:25">
      <c r="A45" s="178" t="s">
        <v>720</v>
      </c>
      <c r="B45" s="175" t="s">
        <v>109</v>
      </c>
      <c r="C45" s="183">
        <v>45711</v>
      </c>
      <c r="D45" s="183" t="s">
        <v>721</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2134</v>
      </c>
      <c r="Y45" t="e">
        <f>VLOOKUP(A45,#REF!,2,FALSE)</f>
        <v>#REF!</v>
      </c>
    </row>
    <row r="46" spans="1:25">
      <c r="A46" s="178" t="s">
        <v>994</v>
      </c>
      <c r="B46" s="175" t="s">
        <v>109</v>
      </c>
      <c r="C46" s="183">
        <v>45868</v>
      </c>
      <c r="D46" s="179" t="s">
        <v>995</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2134</v>
      </c>
    </row>
    <row r="47" spans="1:25">
      <c r="A47" s="178" t="s">
        <v>997</v>
      </c>
      <c r="B47" s="529" t="s">
        <v>109</v>
      </c>
      <c r="C47" s="177">
        <v>45899</v>
      </c>
      <c r="D47" s="179" t="s">
        <v>998</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1000</v>
      </c>
      <c r="B48" s="529" t="s">
        <v>109</v>
      </c>
      <c r="C48" s="177">
        <v>45930</v>
      </c>
      <c r="D48" s="179" t="s">
        <v>1001</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722</v>
      </c>
      <c r="B49" s="175" t="s">
        <v>109</v>
      </c>
      <c r="C49" s="177">
        <v>45899</v>
      </c>
      <c r="D49" s="363" t="s">
        <v>723</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2134</v>
      </c>
    </row>
    <row r="50" spans="1:56">
      <c r="A50" s="178" t="s">
        <v>727</v>
      </c>
      <c r="B50" s="175" t="s">
        <v>109</v>
      </c>
      <c r="C50" s="409">
        <v>45899</v>
      </c>
      <c r="D50" s="369" t="s">
        <v>728</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2134</v>
      </c>
    </row>
    <row r="51" spans="1:56">
      <c r="A51" s="178" t="s">
        <v>730</v>
      </c>
      <c r="B51" s="175" t="s">
        <v>109</v>
      </c>
      <c r="C51" s="409">
        <v>45899</v>
      </c>
      <c r="D51" s="369" t="s">
        <v>731</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2134</v>
      </c>
    </row>
    <row r="52" spans="1:56">
      <c r="A52" s="178" t="s">
        <v>733</v>
      </c>
      <c r="B52" s="175" t="s">
        <v>109</v>
      </c>
      <c r="C52" s="177">
        <v>45868</v>
      </c>
      <c r="D52" s="518" t="s">
        <v>734</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2134</v>
      </c>
    </row>
    <row r="53" spans="1:56">
      <c r="A53" s="178" t="s">
        <v>736</v>
      </c>
      <c r="B53" s="175" t="s">
        <v>109</v>
      </c>
      <c r="C53" s="409">
        <v>45868</v>
      </c>
      <c r="D53" s="369" t="s">
        <v>737</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2134</v>
      </c>
    </row>
    <row r="54" spans="1:56">
      <c r="A54" s="178" t="s">
        <v>739</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1007</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1010</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742</v>
      </c>
      <c r="B57" s="178" t="s">
        <v>109</v>
      </c>
      <c r="C57" s="177">
        <v>45862</v>
      </c>
      <c r="D57" s="617" t="s">
        <v>743</v>
      </c>
      <c r="E57" s="191"/>
      <c r="F57" s="138"/>
      <c r="G57" s="138"/>
      <c r="H57" s="185">
        <v>62</v>
      </c>
      <c r="I57" s="181"/>
      <c r="J57" s="185" t="s">
        <v>57</v>
      </c>
      <c r="K57" s="185" t="s">
        <v>57</v>
      </c>
      <c r="L57" s="185" t="s">
        <v>63</v>
      </c>
      <c r="M57" s="195">
        <v>45762</v>
      </c>
      <c r="N57" s="87" t="s">
        <v>86</v>
      </c>
      <c r="O57" s="124">
        <v>45783</v>
      </c>
      <c r="P57" s="328" t="s">
        <v>86</v>
      </c>
      <c r="Q57" s="43" t="s">
        <v>86</v>
      </c>
      <c r="R57" s="43" t="s">
        <v>2131</v>
      </c>
      <c r="S57" s="43" t="s">
        <v>86</v>
      </c>
      <c r="T57" s="43" t="s">
        <v>86</v>
      </c>
      <c r="U57" s="43" t="s">
        <v>86</v>
      </c>
      <c r="V57" s="69" t="s">
        <v>86</v>
      </c>
      <c r="W57" s="54">
        <v>45813</v>
      </c>
      <c r="X57" s="69" t="s">
        <v>2134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109</v>
      </c>
      <c r="C58" s="177">
        <v>45862</v>
      </c>
      <c r="D58" s="617" t="s">
        <v>745</v>
      </c>
      <c r="E58" s="191"/>
      <c r="F58" s="138"/>
      <c r="G58" s="138"/>
      <c r="H58" s="185">
        <v>89</v>
      </c>
      <c r="I58" s="181"/>
      <c r="J58" s="185" t="s">
        <v>57</v>
      </c>
      <c r="K58" s="185" t="s">
        <v>57</v>
      </c>
      <c r="L58" s="185" t="s">
        <v>63</v>
      </c>
      <c r="M58" s="195">
        <v>45762</v>
      </c>
      <c r="N58" s="87" t="s">
        <v>86</v>
      </c>
      <c r="O58" s="54">
        <v>45776</v>
      </c>
      <c r="P58" s="328" t="s">
        <v>86</v>
      </c>
      <c r="Q58" s="43" t="s">
        <v>86</v>
      </c>
      <c r="R58" s="43" t="s">
        <v>2131</v>
      </c>
      <c r="S58" s="43" t="s">
        <v>86</v>
      </c>
      <c r="T58" s="43" t="s">
        <v>86</v>
      </c>
      <c r="U58" s="43" t="s">
        <v>86</v>
      </c>
      <c r="V58" s="334" t="s">
        <v>86</v>
      </c>
      <c r="W58" s="54">
        <v>45796</v>
      </c>
      <c r="X58" s="69" t="s">
        <v>2134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109</v>
      </c>
      <c r="C59" s="177">
        <v>45862</v>
      </c>
      <c r="D59" s="617" t="s">
        <v>747</v>
      </c>
      <c r="E59" s="191"/>
      <c r="F59" s="138"/>
      <c r="G59" s="138"/>
      <c r="H59" s="185">
        <v>87</v>
      </c>
      <c r="I59" s="181"/>
      <c r="J59" s="185" t="s">
        <v>57</v>
      </c>
      <c r="K59" s="185" t="s">
        <v>57</v>
      </c>
      <c r="L59" s="185" t="s">
        <v>63</v>
      </c>
      <c r="M59" s="195">
        <v>45762</v>
      </c>
      <c r="N59" s="87" t="s">
        <v>86</v>
      </c>
      <c r="O59" s="30" t="s">
        <v>2113</v>
      </c>
      <c r="P59" s="328" t="s">
        <v>86</v>
      </c>
      <c r="Q59" s="43" t="s">
        <v>86</v>
      </c>
      <c r="R59" s="43" t="s">
        <v>2131</v>
      </c>
      <c r="S59" s="43" t="s">
        <v>86</v>
      </c>
      <c r="T59" s="43" t="s">
        <v>86</v>
      </c>
      <c r="U59" s="43" t="s">
        <v>86</v>
      </c>
      <c r="V59" s="334" t="s">
        <v>86</v>
      </c>
      <c r="W59" s="54">
        <v>45796</v>
      </c>
      <c r="X59" s="69" t="s">
        <v>2134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109</v>
      </c>
      <c r="C60" s="177">
        <v>45868</v>
      </c>
      <c r="D60" s="200" t="s">
        <v>749</v>
      </c>
      <c r="E60" s="191"/>
      <c r="F60" s="138"/>
      <c r="G60" s="138"/>
      <c r="H60" s="185">
        <v>60</v>
      </c>
      <c r="I60" s="181"/>
      <c r="J60" s="185" t="s">
        <v>57</v>
      </c>
      <c r="K60" s="185" t="s">
        <v>57</v>
      </c>
      <c r="L60" s="185" t="s">
        <v>63</v>
      </c>
      <c r="M60" s="195">
        <v>45790</v>
      </c>
      <c r="N60" s="87" t="s">
        <v>86</v>
      </c>
      <c r="O60" s="54">
        <v>45812</v>
      </c>
      <c r="P60" s="328" t="s">
        <v>86</v>
      </c>
      <c r="Q60" s="43" t="s">
        <v>86</v>
      </c>
      <c r="R60" s="43" t="s">
        <v>2131</v>
      </c>
      <c r="S60" s="43" t="s">
        <v>86</v>
      </c>
      <c r="T60" s="43" t="s">
        <v>86</v>
      </c>
      <c r="U60" s="43" t="s">
        <v>86</v>
      </c>
      <c r="V60" s="334" t="s">
        <v>86</v>
      </c>
      <c r="W60" s="54">
        <v>45824</v>
      </c>
      <c r="X60" s="69" t="s">
        <v>2134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109</v>
      </c>
      <c r="C61" s="176">
        <v>45688</v>
      </c>
      <c r="D61" s="176" t="s">
        <v>753</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109</v>
      </c>
      <c r="C62" s="177">
        <v>45868</v>
      </c>
      <c r="D62" s="200" t="s">
        <v>785</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109</v>
      </c>
      <c r="C64" s="177">
        <v>45899</v>
      </c>
      <c r="D64" s="696" t="s">
        <v>788</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109</v>
      </c>
      <c r="C65" s="177">
        <v>45868</v>
      </c>
      <c r="D65" s="696" t="s">
        <v>791</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109</v>
      </c>
      <c r="C66" s="176">
        <v>45838</v>
      </c>
      <c r="D66" s="698" t="s">
        <v>1023</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109</v>
      </c>
      <c r="C69" s="177">
        <v>45899</v>
      </c>
      <c r="D69" s="200" t="s">
        <v>762</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109</v>
      </c>
      <c r="C70" s="183">
        <v>45716</v>
      </c>
      <c r="D70" s="183" t="s">
        <v>765</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109</v>
      </c>
      <c r="C71" s="177">
        <v>45899</v>
      </c>
      <c r="D71" s="200" t="s">
        <v>768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109</v>
      </c>
      <c r="C73" s="183">
        <v>45838</v>
      </c>
      <c r="D73" s="617" t="s">
        <v>774</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109</v>
      </c>
      <c r="C74" s="177">
        <v>45899</v>
      </c>
      <c r="D74" s="200" t="s">
        <v>777</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109</v>
      </c>
      <c r="C75" s="177">
        <v>45868</v>
      </c>
      <c r="D75" s="617" t="s">
        <v>1029</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109</v>
      </c>
      <c r="C76" s="177">
        <v>45868</v>
      </c>
      <c r="D76" s="199" t="s">
        <v>780</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109</v>
      </c>
      <c r="C79" s="408">
        <v>45792</v>
      </c>
      <c r="D79" s="176" t="s">
        <v>795</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109</v>
      </c>
      <c r="C80" s="400">
        <v>45787</v>
      </c>
      <c r="D80" s="617" t="s">
        <v>797</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2136</v>
      </c>
      <c r="B81" s="529" t="s">
        <v>109</v>
      </c>
      <c r="C81" s="176">
        <v>45688</v>
      </c>
      <c r="D81" s="617" t="s">
        <v>799</v>
      </c>
      <c r="E81" s="172"/>
      <c r="F81" s="129"/>
      <c r="G81" s="129"/>
      <c r="H81" s="179">
        <v>48</v>
      </c>
      <c r="I81" s="181"/>
      <c r="J81" s="179" t="s">
        <v>57</v>
      </c>
      <c r="K81" s="179" t="s">
        <v>57</v>
      </c>
      <c r="L81" s="179" t="s">
        <v>56</v>
      </c>
      <c r="M81" s="100" t="s">
        <v>86</v>
      </c>
      <c r="N81" s="87" t="s">
        <v>86</v>
      </c>
      <c r="O81" s="124">
        <v>45678</v>
      </c>
      <c r="P81" s="87" t="s">
        <v>86</v>
      </c>
      <c r="Q81" s="43" t="s">
        <v>86</v>
      </c>
      <c r="R81" s="43" t="s">
        <v>2131</v>
      </c>
      <c r="S81" s="43" t="s">
        <v>86</v>
      </c>
      <c r="T81" s="43" t="s">
        <v>86</v>
      </c>
      <c r="U81" s="115" t="s">
        <v>86</v>
      </c>
      <c r="V81" s="69" t="s">
        <v>86</v>
      </c>
      <c r="W81" s="54">
        <v>45789</v>
      </c>
      <c r="X81" s="69" t="s">
        <v>2134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2131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86</v>
      </c>
      <c r="O84" s="54">
        <v>45728</v>
      </c>
      <c r="P84" s="30" t="s">
        <v>86</v>
      </c>
      <c r="Q84" s="169" t="s">
        <v>86</v>
      </c>
      <c r="R84" s="169" t="s">
        <v>2131</v>
      </c>
      <c r="S84" s="169" t="s">
        <v>86</v>
      </c>
      <c r="T84" s="169" t="s">
        <v>86</v>
      </c>
      <c r="U84" s="91" t="s">
        <v>86</v>
      </c>
      <c r="V84" s="69" t="s">
        <v>86</v>
      </c>
      <c r="W84" s="195">
        <v>45875</v>
      </c>
      <c r="X84" s="69" t="s">
        <v>2134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86</v>
      </c>
      <c r="O85" s="54">
        <v>45719</v>
      </c>
      <c r="P85" s="30" t="s">
        <v>86</v>
      </c>
      <c r="Q85" s="43" t="s">
        <v>86</v>
      </c>
      <c r="R85" s="169" t="s">
        <v>2131</v>
      </c>
      <c r="S85" s="169" t="s">
        <v>86</v>
      </c>
      <c r="T85" s="169" t="s">
        <v>86</v>
      </c>
      <c r="U85" s="91" t="s">
        <v>86</v>
      </c>
      <c r="V85" s="91" t="s">
        <v>86</v>
      </c>
      <c r="W85" s="195">
        <v>45874</v>
      </c>
      <c r="X85" s="69" t="s">
        <v>2134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86</v>
      </c>
      <c r="O86" s="195">
        <v>45728</v>
      </c>
      <c r="P86" s="30" t="s">
        <v>86</v>
      </c>
      <c r="Q86" s="43" t="s">
        <v>86</v>
      </c>
      <c r="R86" s="43" t="s">
        <v>2131</v>
      </c>
      <c r="S86" s="43" t="s">
        <v>86</v>
      </c>
      <c r="T86" s="43" t="s">
        <v>86</v>
      </c>
      <c r="U86" s="69" t="s">
        <v>86</v>
      </c>
      <c r="V86" s="69" t="s">
        <v>86</v>
      </c>
      <c r="W86" s="54">
        <v>45824</v>
      </c>
      <c r="X86" s="69" t="s">
        <v>2134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2131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86</v>
      </c>
      <c r="O88" s="54">
        <v>45728</v>
      </c>
      <c r="P88" s="30" t="s">
        <v>86</v>
      </c>
      <c r="Q88" s="43" t="s">
        <v>86</v>
      </c>
      <c r="R88" s="43" t="s">
        <v>2131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86</v>
      </c>
      <c r="O89" s="54">
        <v>45722</v>
      </c>
      <c r="P89" s="30" t="s">
        <v>86</v>
      </c>
      <c r="Q89" s="69" t="s">
        <v>86</v>
      </c>
      <c r="R89" s="43" t="s">
        <v>2131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86</v>
      </c>
      <c r="O90" s="54">
        <v>45727</v>
      </c>
      <c r="P90" s="30" t="s">
        <v>86</v>
      </c>
      <c r="Q90" s="69" t="s">
        <v>86</v>
      </c>
      <c r="R90" s="43" t="s">
        <v>2131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86</v>
      </c>
      <c r="O91" s="54">
        <v>45723</v>
      </c>
      <c r="P91" s="30" t="s">
        <v>86</v>
      </c>
      <c r="Q91" s="69" t="s">
        <v>86</v>
      </c>
      <c r="R91" s="43" t="s">
        <v>2131</v>
      </c>
      <c r="S91" s="69" t="s">
        <v>86</v>
      </c>
      <c r="T91" s="69" t="s">
        <v>86</v>
      </c>
      <c r="U91" s="69" t="s">
        <v>86</v>
      </c>
      <c r="V91" s="69" t="s">
        <v>86</v>
      </c>
      <c r="W91" s="54">
        <v>45831</v>
      </c>
      <c r="X91" s="69" t="s">
        <v>2134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2131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86</v>
      </c>
      <c r="O93" s="54">
        <v>45727</v>
      </c>
      <c r="P93" s="79" t="s">
        <v>86</v>
      </c>
      <c r="Q93" s="43" t="s">
        <v>86</v>
      </c>
      <c r="R93" s="43" t="s">
        <v>2131</v>
      </c>
      <c r="S93" s="43" t="s">
        <v>86</v>
      </c>
      <c r="T93" s="43" t="s">
        <v>86</v>
      </c>
      <c r="U93" s="334" t="s">
        <v>86</v>
      </c>
      <c r="V93" s="69" t="s">
        <v>86</v>
      </c>
      <c r="W93" s="54">
        <v>45789</v>
      </c>
      <c r="X93" s="69" t="s">
        <v>2134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86</v>
      </c>
      <c r="O94" s="54">
        <v>45693</v>
      </c>
      <c r="P94" s="79" t="s">
        <v>86</v>
      </c>
      <c r="Q94" s="69" t="s">
        <v>86</v>
      </c>
      <c r="R94" s="69" t="s">
        <v>2131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86</v>
      </c>
      <c r="O95" s="195">
        <v>45694</v>
      </c>
      <c r="P95" s="79" t="s">
        <v>86</v>
      </c>
      <c r="Q95" s="69" t="s">
        <v>86</v>
      </c>
      <c r="R95" s="69" t="s">
        <v>2131</v>
      </c>
      <c r="S95" s="69" t="s">
        <v>86</v>
      </c>
      <c r="T95" s="43" t="s">
        <v>86</v>
      </c>
      <c r="U95" s="69" t="s">
        <v>86</v>
      </c>
      <c r="V95" s="69" t="s">
        <v>86</v>
      </c>
      <c r="W95" s="54">
        <v>45814</v>
      </c>
      <c r="X95" s="69" t="s">
        <v>2134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86</v>
      </c>
      <c r="O96" s="54">
        <v>45694</v>
      </c>
      <c r="P96" s="30" t="s">
        <v>86</v>
      </c>
      <c r="Q96" s="69" t="s">
        <v>86</v>
      </c>
      <c r="R96" s="91" t="s">
        <v>2131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86</v>
      </c>
      <c r="O97" s="54">
        <v>45688</v>
      </c>
      <c r="P97" s="30" t="s">
        <v>86</v>
      </c>
      <c r="Q97" s="69" t="s">
        <v>86</v>
      </c>
      <c r="R97" s="69" t="s">
        <v>2131</v>
      </c>
      <c r="S97" s="69" t="s">
        <v>86</v>
      </c>
      <c r="T97" s="69" t="s">
        <v>86</v>
      </c>
      <c r="U97" s="69" t="s">
        <v>86</v>
      </c>
      <c r="V97" s="43" t="s">
        <v>86</v>
      </c>
      <c r="W97" s="54">
        <v>45824</v>
      </c>
      <c r="X97" s="69" t="s">
        <v>2134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86</v>
      </c>
      <c r="O98" s="54">
        <v>45692</v>
      </c>
      <c r="P98" s="30" t="s">
        <v>86</v>
      </c>
      <c r="Q98" s="43" t="s">
        <v>86</v>
      </c>
      <c r="R98" s="43" t="s">
        <v>2131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86</v>
      </c>
      <c r="O99" s="54">
        <v>45692</v>
      </c>
      <c r="P99" s="30" t="s">
        <v>86</v>
      </c>
      <c r="Q99" s="43" t="s">
        <v>86</v>
      </c>
      <c r="R99" s="43" t="s">
        <v>2131</v>
      </c>
      <c r="S99" s="43" t="s">
        <v>86</v>
      </c>
      <c r="T99" s="115" t="s">
        <v>86</v>
      </c>
      <c r="U99" s="148" t="s">
        <v>86</v>
      </c>
      <c r="V99" s="69" t="s">
        <v>86</v>
      </c>
      <c r="W99" s="54">
        <v>45814</v>
      </c>
      <c r="X99" s="69" t="s">
        <v>2134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86</v>
      </c>
      <c r="O100" s="166">
        <v>45691</v>
      </c>
      <c r="P100" s="30" t="s">
        <v>86</v>
      </c>
      <c r="Q100" s="43" t="s">
        <v>86</v>
      </c>
      <c r="R100" s="43" t="s">
        <v>2131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86</v>
      </c>
      <c r="O101" s="54">
        <v>45695</v>
      </c>
      <c r="P101" s="30" t="s">
        <v>86</v>
      </c>
      <c r="Q101" s="43" t="s">
        <v>86</v>
      </c>
      <c r="R101" s="43" t="s">
        <v>2131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86</v>
      </c>
      <c r="N102" s="30" t="s">
        <v>86</v>
      </c>
      <c r="O102" s="54">
        <v>45699</v>
      </c>
      <c r="P102" s="87" t="s">
        <v>86</v>
      </c>
      <c r="Q102" s="88" t="s">
        <v>86</v>
      </c>
      <c r="R102" s="43" t="s">
        <v>2131</v>
      </c>
      <c r="S102" s="43" t="s">
        <v>86</v>
      </c>
      <c r="T102" s="43" t="s">
        <v>86</v>
      </c>
      <c r="U102" s="43" t="s">
        <v>86</v>
      </c>
      <c r="V102" s="165" t="s">
        <v>86</v>
      </c>
      <c r="W102" s="54">
        <v>45835</v>
      </c>
      <c r="X102" s="69" t="s">
        <v>2134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86</v>
      </c>
      <c r="O103" s="54">
        <v>45675</v>
      </c>
      <c r="P103" s="87" t="s">
        <v>86</v>
      </c>
      <c r="Q103" s="43" t="s">
        <v>86</v>
      </c>
      <c r="R103" s="43" t="s">
        <v>2131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86</v>
      </c>
      <c r="N104" s="119" t="s">
        <v>86</v>
      </c>
      <c r="O104" s="54">
        <v>45675</v>
      </c>
      <c r="P104" s="213" t="s">
        <v>86</v>
      </c>
      <c r="Q104" s="43" t="s">
        <v>86</v>
      </c>
      <c r="R104" s="43" t="s">
        <v>2131</v>
      </c>
      <c r="S104" s="43" t="s">
        <v>86</v>
      </c>
      <c r="T104" s="43" t="s">
        <v>86</v>
      </c>
      <c r="U104" s="43" t="s">
        <v>86</v>
      </c>
      <c r="V104" s="139" t="s">
        <v>86</v>
      </c>
      <c r="W104" s="54">
        <v>45820</v>
      </c>
      <c r="X104" s="69" t="s">
        <v>2134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86</v>
      </c>
      <c r="O105" s="54">
        <v>45743</v>
      </c>
      <c r="P105" s="87" t="s">
        <v>86</v>
      </c>
      <c r="Q105" s="157" t="s">
        <v>86</v>
      </c>
      <c r="R105" s="69" t="s">
        <v>2131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86</v>
      </c>
      <c r="O106" s="54">
        <v>45679</v>
      </c>
      <c r="P106" s="87" t="s">
        <v>86</v>
      </c>
      <c r="Q106" s="43" t="s">
        <v>86</v>
      </c>
      <c r="R106" s="43" t="s">
        <v>2131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86</v>
      </c>
      <c r="O107" s="54">
        <v>45749</v>
      </c>
      <c r="P107" s="30" t="s">
        <v>86</v>
      </c>
      <c r="Q107" s="43" t="s">
        <v>86</v>
      </c>
      <c r="R107" s="43" t="s">
        <v>2131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86</v>
      </c>
      <c r="O108" s="54">
        <v>45749</v>
      </c>
      <c r="P108" s="30" t="s">
        <v>86</v>
      </c>
      <c r="Q108" s="43" t="s">
        <v>86</v>
      </c>
      <c r="R108" s="334" t="s">
        <v>2131</v>
      </c>
      <c r="S108" s="43" t="s">
        <v>86</v>
      </c>
      <c r="T108" s="43" t="s">
        <v>86</v>
      </c>
      <c r="U108" s="88" t="s">
        <v>86</v>
      </c>
      <c r="V108" s="481" t="s">
        <v>86</v>
      </c>
      <c r="W108" s="356">
        <v>45798</v>
      </c>
      <c r="X108" s="69" t="s">
        <v>2134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86</v>
      </c>
      <c r="O109" s="54">
        <v>45744</v>
      </c>
      <c r="P109" s="79" t="s">
        <v>86</v>
      </c>
      <c r="Q109" s="43" t="s">
        <v>86</v>
      </c>
      <c r="R109" s="334" t="s">
        <v>2131</v>
      </c>
      <c r="S109" s="43" t="s">
        <v>86</v>
      </c>
      <c r="T109" s="43" t="s">
        <v>86</v>
      </c>
      <c r="U109" s="43" t="s">
        <v>2137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86</v>
      </c>
      <c r="O110" s="54">
        <v>45691</v>
      </c>
      <c r="P110" s="79" t="s">
        <v>86</v>
      </c>
      <c r="Q110" s="43" t="s">
        <v>86</v>
      </c>
      <c r="R110" s="334" t="s">
        <v>2131</v>
      </c>
      <c r="S110" s="43" t="s">
        <v>86</v>
      </c>
      <c r="T110" s="43" t="s">
        <v>86</v>
      </c>
      <c r="U110" s="88" t="s">
        <v>86</v>
      </c>
      <c r="V110" s="481" t="s">
        <v>86</v>
      </c>
      <c r="W110" s="356">
        <v>45902</v>
      </c>
      <c r="X110" s="69" t="s">
        <v>2134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86</v>
      </c>
      <c r="O111" s="54">
        <v>45708</v>
      </c>
      <c r="P111" s="30" t="s">
        <v>86</v>
      </c>
      <c r="Q111" s="169" t="s">
        <v>86</v>
      </c>
      <c r="R111" s="69" t="s">
        <v>2131</v>
      </c>
      <c r="S111" s="43" t="s">
        <v>86</v>
      </c>
      <c r="T111" s="43" t="s">
        <v>86</v>
      </c>
      <c r="U111" s="43" t="s">
        <v>86</v>
      </c>
      <c r="V111" s="201" t="s">
        <v>86</v>
      </c>
      <c r="W111" s="166">
        <v>45790</v>
      </c>
      <c r="X111" s="69" t="s">
        <v>2134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86</v>
      </c>
      <c r="O112" s="166">
        <v>45744</v>
      </c>
      <c r="P112" s="114" t="s">
        <v>86</v>
      </c>
      <c r="Q112" s="115" t="s">
        <v>86</v>
      </c>
      <c r="R112" s="148" t="s">
        <v>2131</v>
      </c>
      <c r="S112" s="43" t="s">
        <v>86</v>
      </c>
      <c r="T112" s="43" t="s">
        <v>86</v>
      </c>
      <c r="U112" s="43" t="s">
        <v>86</v>
      </c>
      <c r="V112" s="201" t="s">
        <v>86</v>
      </c>
      <c r="W112" s="479">
        <v>45791</v>
      </c>
      <c r="X112" s="69" t="s">
        <v>2134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86</v>
      </c>
      <c r="O113" s="166">
        <v>45755</v>
      </c>
      <c r="P113" s="114" t="s">
        <v>86</v>
      </c>
      <c r="Q113" s="115" t="s">
        <v>86</v>
      </c>
      <c r="R113" s="148" t="s">
        <v>2131</v>
      </c>
      <c r="S113" s="115" t="s">
        <v>86</v>
      </c>
      <c r="T113" s="43" t="s">
        <v>86</v>
      </c>
      <c r="U113" s="43" t="s">
        <v>86</v>
      </c>
      <c r="V113" s="201" t="s">
        <v>86</v>
      </c>
      <c r="W113" s="479">
        <v>45791</v>
      </c>
      <c r="X113" s="148" t="s">
        <v>2134</v>
      </c>
    </row>
    <row r="114" spans="1:25">
      <c r="A114" s="178" t="s">
        <v>880</v>
      </c>
      <c r="B114" s="182" t="s">
        <v>50</v>
      </c>
      <c r="C114" s="314">
        <v>45772</v>
      </c>
      <c r="D114" s="410" t="s">
        <v>881</v>
      </c>
      <c r="H114" s="185">
        <v>75</v>
      </c>
      <c r="I114" s="181"/>
      <c r="J114" s="179" t="s">
        <v>57</v>
      </c>
      <c r="K114" s="420" t="s">
        <v>57</v>
      </c>
      <c r="L114" s="179" t="s">
        <v>63</v>
      </c>
      <c r="M114" s="193">
        <v>45741</v>
      </c>
      <c r="N114" s="114" t="s">
        <v>86</v>
      </c>
      <c r="O114" s="54">
        <v>45747</v>
      </c>
      <c r="P114" s="114" t="s">
        <v>86</v>
      </c>
      <c r="Q114" s="115" t="s">
        <v>86</v>
      </c>
      <c r="R114" s="148" t="s">
        <v>2131</v>
      </c>
      <c r="S114" s="115" t="s">
        <v>86</v>
      </c>
      <c r="T114" s="43" t="s">
        <v>86</v>
      </c>
      <c r="U114" s="157" t="s">
        <v>86</v>
      </c>
      <c r="V114" s="201" t="s">
        <v>86</v>
      </c>
      <c r="W114" s="54">
        <v>45798</v>
      </c>
      <c r="X114" s="69" t="s">
        <v>2134</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86</v>
      </c>
      <c r="O115" s="124">
        <v>45757</v>
      </c>
      <c r="P115" s="30" t="s">
        <v>86</v>
      </c>
      <c r="Q115" s="43" t="s">
        <v>86</v>
      </c>
      <c r="R115" s="69" t="s">
        <v>2131</v>
      </c>
      <c r="S115" s="43" t="s">
        <v>86</v>
      </c>
      <c r="T115" s="43" t="s">
        <v>86</v>
      </c>
      <c r="U115" s="43" t="s">
        <v>86</v>
      </c>
      <c r="V115" s="88" t="s">
        <v>86</v>
      </c>
      <c r="W115" s="54">
        <v>45814</v>
      </c>
      <c r="X115" s="69" t="s">
        <v>2134</v>
      </c>
    </row>
    <row r="116" spans="1:25">
      <c r="A116" s="178" t="s">
        <v>884</v>
      </c>
      <c r="B116" s="182" t="s">
        <v>50</v>
      </c>
      <c r="C116" s="314">
        <v>45772</v>
      </c>
      <c r="D116" s="713" t="s">
        <v>886</v>
      </c>
      <c r="H116" s="179">
        <v>50</v>
      </c>
      <c r="I116" s="181"/>
      <c r="J116" s="179" t="s">
        <v>57</v>
      </c>
      <c r="K116" s="420" t="s">
        <v>57</v>
      </c>
      <c r="L116" s="179" t="s">
        <v>63</v>
      </c>
      <c r="M116" s="193">
        <v>45757</v>
      </c>
      <c r="N116" s="30" t="s">
        <v>86</v>
      </c>
      <c r="O116" s="124">
        <v>45757</v>
      </c>
      <c r="P116" s="30" t="s">
        <v>86</v>
      </c>
      <c r="Q116" s="43" t="s">
        <v>86</v>
      </c>
      <c r="R116" s="69" t="s">
        <v>2131</v>
      </c>
      <c r="S116" s="43" t="s">
        <v>86</v>
      </c>
      <c r="T116" s="43" t="s">
        <v>86</v>
      </c>
      <c r="U116" s="43" t="s">
        <v>86</v>
      </c>
      <c r="V116" s="481" t="s">
        <v>86</v>
      </c>
      <c r="W116" s="54">
        <v>45807</v>
      </c>
      <c r="X116" s="69" t="s">
        <v>2134</v>
      </c>
    </row>
    <row r="117" spans="1:25">
      <c r="A117" s="178" t="s">
        <v>888</v>
      </c>
      <c r="B117" s="182" t="s">
        <v>50</v>
      </c>
      <c r="C117" s="314">
        <v>45772</v>
      </c>
      <c r="D117" s="518" t="s">
        <v>889</v>
      </c>
      <c r="H117" s="179">
        <v>76</v>
      </c>
      <c r="I117" s="181"/>
      <c r="J117" s="179" t="s">
        <v>57</v>
      </c>
      <c r="K117" s="420" t="s">
        <v>57</v>
      </c>
      <c r="L117" s="179" t="s">
        <v>63</v>
      </c>
      <c r="M117" s="193">
        <v>45757</v>
      </c>
      <c r="N117" s="87" t="s">
        <v>86</v>
      </c>
      <c r="O117" s="124">
        <v>45757</v>
      </c>
      <c r="P117" s="30" t="s">
        <v>86</v>
      </c>
      <c r="Q117" s="43" t="s">
        <v>86</v>
      </c>
      <c r="R117" s="69" t="s">
        <v>2131</v>
      </c>
      <c r="S117" s="43" t="s">
        <v>86</v>
      </c>
      <c r="T117" s="43" t="s">
        <v>86</v>
      </c>
      <c r="U117" s="43" t="s">
        <v>86</v>
      </c>
      <c r="V117" s="88" t="s">
        <v>86</v>
      </c>
      <c r="W117" s="54">
        <v>45811</v>
      </c>
      <c r="X117" s="69" t="s">
        <v>2134</v>
      </c>
    </row>
    <row r="118" spans="1:25">
      <c r="A118" s="178" t="s">
        <v>890</v>
      </c>
      <c r="B118" s="182" t="s">
        <v>50</v>
      </c>
      <c r="C118" s="314">
        <v>45772</v>
      </c>
      <c r="D118" s="179" t="s">
        <v>892</v>
      </c>
      <c r="H118" s="185">
        <v>88</v>
      </c>
      <c r="I118" s="181"/>
      <c r="J118" s="179" t="s">
        <v>57</v>
      </c>
      <c r="K118" s="420" t="s">
        <v>57</v>
      </c>
      <c r="L118" s="179" t="s">
        <v>63</v>
      </c>
      <c r="M118" s="193">
        <v>45757</v>
      </c>
      <c r="N118" s="87" t="s">
        <v>86</v>
      </c>
      <c r="O118" s="124">
        <v>45757</v>
      </c>
      <c r="P118" s="87" t="s">
        <v>86</v>
      </c>
      <c r="Q118" s="43" t="s">
        <v>86</v>
      </c>
      <c r="R118" s="43" t="s">
        <v>2131</v>
      </c>
      <c r="S118" s="43" t="s">
        <v>86</v>
      </c>
      <c r="T118" s="43" t="s">
        <v>86</v>
      </c>
      <c r="U118" s="157" t="s">
        <v>86</v>
      </c>
      <c r="V118" s="88" t="s">
        <v>86</v>
      </c>
      <c r="W118" s="54">
        <v>45810</v>
      </c>
      <c r="X118" s="69" t="s">
        <v>2134</v>
      </c>
    </row>
    <row r="119" spans="1:25">
      <c r="A119" s="178" t="s">
        <v>894</v>
      </c>
      <c r="B119" s="182" t="s">
        <v>50</v>
      </c>
      <c r="C119" s="314">
        <v>45772</v>
      </c>
      <c r="D119" s="179" t="s">
        <v>895</v>
      </c>
      <c r="H119" s="185">
        <v>86</v>
      </c>
      <c r="I119" s="181"/>
      <c r="J119" s="179" t="s">
        <v>57</v>
      </c>
      <c r="K119" s="420" t="s">
        <v>57</v>
      </c>
      <c r="L119" s="179" t="s">
        <v>63</v>
      </c>
      <c r="M119" s="195">
        <v>45756</v>
      </c>
      <c r="N119" s="30" t="s">
        <v>86</v>
      </c>
      <c r="O119" s="124">
        <v>45757</v>
      </c>
      <c r="P119" s="30" t="s">
        <v>86</v>
      </c>
      <c r="Q119" s="69" t="s">
        <v>86</v>
      </c>
      <c r="R119" s="69" t="s">
        <v>2131</v>
      </c>
      <c r="S119" s="43" t="s">
        <v>86</v>
      </c>
      <c r="T119" s="43" t="s">
        <v>86</v>
      </c>
      <c r="U119" s="157" t="s">
        <v>86</v>
      </c>
      <c r="V119" s="88" t="s">
        <v>86</v>
      </c>
      <c r="W119" s="54">
        <v>45813</v>
      </c>
      <c r="X119" s="69" t="s">
        <v>2134</v>
      </c>
    </row>
    <row r="120" spans="1:25">
      <c r="A120" s="178" t="s">
        <v>896</v>
      </c>
      <c r="B120" s="182" t="s">
        <v>50</v>
      </c>
      <c r="C120" s="314">
        <v>45772</v>
      </c>
      <c r="D120" s="519" t="s">
        <v>897</v>
      </c>
      <c r="H120" s="185">
        <v>84</v>
      </c>
      <c r="I120" s="181"/>
      <c r="J120" s="179" t="s">
        <v>57</v>
      </c>
      <c r="K120" s="420" t="s">
        <v>57</v>
      </c>
      <c r="L120" s="179" t="s">
        <v>63</v>
      </c>
      <c r="M120" s="195">
        <v>45741</v>
      </c>
      <c r="N120" s="30" t="s">
        <v>86</v>
      </c>
      <c r="O120" s="54">
        <v>45748</v>
      </c>
      <c r="P120" s="30" t="s">
        <v>86</v>
      </c>
      <c r="Q120" s="43" t="s">
        <v>86</v>
      </c>
      <c r="R120" s="69" t="s">
        <v>2131</v>
      </c>
      <c r="S120" s="43" t="s">
        <v>86</v>
      </c>
      <c r="T120" s="43" t="s">
        <v>86</v>
      </c>
      <c r="U120" s="43" t="s">
        <v>86</v>
      </c>
      <c r="V120" s="88" t="s">
        <v>86</v>
      </c>
      <c r="W120" s="54">
        <v>45811</v>
      </c>
      <c r="X120" s="69" t="s">
        <v>2134</v>
      </c>
    </row>
    <row r="121" spans="1:25">
      <c r="A121" s="366" t="s">
        <v>898</v>
      </c>
      <c r="B121" s="686" t="s">
        <v>50</v>
      </c>
      <c r="C121" s="687">
        <v>45772</v>
      </c>
      <c r="D121" s="363" t="s">
        <v>899</v>
      </c>
      <c r="H121" s="341">
        <v>87</v>
      </c>
      <c r="I121" s="339"/>
      <c r="J121" s="363" t="s">
        <v>57</v>
      </c>
      <c r="K121" s="707" t="s">
        <v>57</v>
      </c>
      <c r="L121" s="179" t="s">
        <v>63</v>
      </c>
      <c r="M121" s="193">
        <v>45757</v>
      </c>
      <c r="N121" s="30" t="s">
        <v>86</v>
      </c>
      <c r="O121" s="124">
        <v>45757</v>
      </c>
      <c r="P121" s="30" t="s">
        <v>86</v>
      </c>
      <c r="Q121" s="69" t="s">
        <v>86</v>
      </c>
      <c r="R121" s="69" t="s">
        <v>2131</v>
      </c>
      <c r="S121" s="43" t="s">
        <v>86</v>
      </c>
      <c r="T121" s="43" t="s">
        <v>86</v>
      </c>
      <c r="U121" s="43" t="s">
        <v>86</v>
      </c>
      <c r="V121" s="69" t="s">
        <v>91</v>
      </c>
      <c r="W121" s="54">
        <v>45838</v>
      </c>
      <c r="X121" s="69" t="s">
        <v>91</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86</v>
      </c>
      <c r="O122" s="54">
        <v>45747</v>
      </c>
      <c r="P122" s="30" t="s">
        <v>86</v>
      </c>
      <c r="Q122" s="69" t="s">
        <v>86</v>
      </c>
      <c r="R122" s="69" t="s">
        <v>2131</v>
      </c>
      <c r="S122" s="43" t="s">
        <v>86</v>
      </c>
      <c r="T122" s="43" t="s">
        <v>86</v>
      </c>
      <c r="U122" s="157" t="s">
        <v>86</v>
      </c>
      <c r="V122" s="157" t="s">
        <v>86</v>
      </c>
      <c r="W122" s="54">
        <v>45789</v>
      </c>
      <c r="X122" s="69" t="s">
        <v>2134</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86</v>
      </c>
      <c r="O123" s="54">
        <v>45744</v>
      </c>
      <c r="P123" s="30" t="s">
        <v>86</v>
      </c>
      <c r="Q123" s="43" t="s">
        <v>86</v>
      </c>
      <c r="R123" s="69" t="s">
        <v>2131</v>
      </c>
      <c r="S123" s="43" t="s">
        <v>86</v>
      </c>
      <c r="T123" s="43" t="s">
        <v>86</v>
      </c>
      <c r="U123" s="43" t="s">
        <v>86</v>
      </c>
      <c r="V123" s="69" t="s">
        <v>86</v>
      </c>
      <c r="W123" s="54">
        <v>45811</v>
      </c>
      <c r="X123" s="69" t="s">
        <v>2134</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86</v>
      </c>
      <c r="O124" s="54">
        <v>45744</v>
      </c>
      <c r="P124" s="30" t="s">
        <v>86</v>
      </c>
      <c r="Q124" s="43" t="s">
        <v>86</v>
      </c>
      <c r="R124" s="69" t="s">
        <v>2131</v>
      </c>
      <c r="S124" s="43" t="s">
        <v>86</v>
      </c>
      <c r="T124" s="43" t="s">
        <v>86</v>
      </c>
      <c r="U124" s="43" t="s">
        <v>2137</v>
      </c>
      <c r="V124" s="69" t="s">
        <v>91</v>
      </c>
      <c r="W124" s="54">
        <v>45832</v>
      </c>
      <c r="X124" s="69" t="s">
        <v>91</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86</v>
      </c>
      <c r="N125" s="30" t="s">
        <v>86</v>
      </c>
      <c r="O125" s="54">
        <v>45679</v>
      </c>
      <c r="P125" s="30" t="s">
        <v>86</v>
      </c>
      <c r="Q125" s="69" t="s">
        <v>86</v>
      </c>
      <c r="R125" s="43" t="s">
        <v>2131</v>
      </c>
      <c r="S125" s="43" t="s">
        <v>86</v>
      </c>
      <c r="T125" s="43" t="s">
        <v>86</v>
      </c>
      <c r="U125" s="43" t="s">
        <v>86</v>
      </c>
      <c r="V125" s="43" t="s">
        <v>86</v>
      </c>
      <c r="W125" s="54">
        <v>45814</v>
      </c>
      <c r="X125" s="69" t="s">
        <v>2134</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86</v>
      </c>
      <c r="N126" s="30" t="s">
        <v>86</v>
      </c>
      <c r="O126" s="54">
        <v>45720</v>
      </c>
      <c r="P126" s="30" t="s">
        <v>86</v>
      </c>
      <c r="Q126" s="69" t="s">
        <v>86</v>
      </c>
      <c r="R126" s="43" t="s">
        <v>2131</v>
      </c>
      <c r="S126" s="43" t="s">
        <v>86</v>
      </c>
      <c r="T126" s="43" t="s">
        <v>86</v>
      </c>
      <c r="U126" s="43" t="s">
        <v>86</v>
      </c>
      <c r="V126" s="88" t="s">
        <v>86</v>
      </c>
      <c r="W126" s="54">
        <v>45819</v>
      </c>
      <c r="X126" s="69" t="s">
        <v>2134</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86</v>
      </c>
      <c r="O127" s="54">
        <v>45679</v>
      </c>
      <c r="P127" s="30" t="s">
        <v>86</v>
      </c>
      <c r="Q127" s="43" t="s">
        <v>86</v>
      </c>
      <c r="R127" s="43" t="s">
        <v>2131</v>
      </c>
      <c r="S127" s="43" t="s">
        <v>86</v>
      </c>
      <c r="T127" s="43" t="s">
        <v>86</v>
      </c>
      <c r="U127" s="43" t="s">
        <v>86</v>
      </c>
      <c r="V127" s="88" t="s">
        <v>86</v>
      </c>
      <c r="W127" s="54">
        <v>45812</v>
      </c>
      <c r="X127" s="69" t="s">
        <v>2134</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86</v>
      </c>
      <c r="O128" s="347">
        <v>45694</v>
      </c>
      <c r="P128" s="87" t="s">
        <v>86</v>
      </c>
      <c r="Q128" s="43" t="s">
        <v>86</v>
      </c>
      <c r="R128" s="43" t="s">
        <v>2131</v>
      </c>
      <c r="S128" s="43" t="s">
        <v>86</v>
      </c>
      <c r="T128" s="43" t="s">
        <v>86</v>
      </c>
      <c r="U128" s="43" t="s">
        <v>86</v>
      </c>
      <c r="V128" s="88" t="s">
        <v>86</v>
      </c>
      <c r="W128" s="166">
        <v>45883</v>
      </c>
      <c r="X128" s="69" t="s">
        <v>2134</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86</v>
      </c>
      <c r="O129" s="166">
        <v>45720</v>
      </c>
      <c r="P129" s="114" t="s">
        <v>86</v>
      </c>
      <c r="Q129" s="148" t="s">
        <v>86</v>
      </c>
      <c r="R129" s="43" t="s">
        <v>2131</v>
      </c>
      <c r="S129" s="43" t="s">
        <v>86</v>
      </c>
      <c r="T129" s="115" t="s">
        <v>86</v>
      </c>
      <c r="U129" s="115" t="s">
        <v>86</v>
      </c>
      <c r="V129" s="88" t="s">
        <v>86</v>
      </c>
      <c r="W129" s="166">
        <v>45814</v>
      </c>
      <c r="X129" s="69" t="s">
        <v>2134</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86</v>
      </c>
      <c r="O130" s="54">
        <v>45698</v>
      </c>
      <c r="P130" s="30" t="s">
        <v>86</v>
      </c>
      <c r="Q130" s="69" t="s">
        <v>86</v>
      </c>
      <c r="R130" s="43" t="s">
        <v>2131</v>
      </c>
      <c r="S130" s="43" t="s">
        <v>86</v>
      </c>
      <c r="T130" s="43" t="s">
        <v>86</v>
      </c>
      <c r="U130" s="43" t="s">
        <v>86</v>
      </c>
      <c r="V130" s="88" t="s">
        <v>86</v>
      </c>
      <c r="W130" s="54">
        <v>45798</v>
      </c>
      <c r="X130" s="69" t="s">
        <v>2134</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2131</v>
      </c>
      <c r="S131" s="43" t="s">
        <v>86</v>
      </c>
      <c r="T131" s="157" t="s">
        <v>86</v>
      </c>
      <c r="U131" s="157" t="s">
        <v>86</v>
      </c>
      <c r="V131" s="88" t="s">
        <v>86</v>
      </c>
      <c r="W131" s="30"/>
      <c r="X131" s="69" t="s">
        <v>91</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86</v>
      </c>
      <c r="O132" s="54">
        <v>45691</v>
      </c>
      <c r="P132" s="87" t="s">
        <v>86</v>
      </c>
      <c r="Q132" s="43" t="s">
        <v>86</v>
      </c>
      <c r="R132" s="43" t="s">
        <v>2131</v>
      </c>
      <c r="S132" s="43" t="s">
        <v>86</v>
      </c>
      <c r="T132" s="43" t="s">
        <v>86</v>
      </c>
      <c r="U132" s="43" t="s">
        <v>86</v>
      </c>
      <c r="V132" s="43" t="s">
        <v>86</v>
      </c>
      <c r="W132" s="54">
        <v>45820</v>
      </c>
      <c r="X132" s="69" t="s">
        <v>2134</v>
      </c>
      <c r="Y132" t="e">
        <f>VLOOKUP(A132,#REF!,2,FALSE)</f>
        <v>#REF!</v>
      </c>
    </row>
    <row r="133" spans="1:25" ht="15" customHeight="1">
      <c r="A133" s="358" t="s">
        <v>917</v>
      </c>
      <c r="B133" s="406" t="s">
        <v>50</v>
      </c>
      <c r="C133" s="367">
        <v>45742</v>
      </c>
      <c r="D133" s="419" t="s">
        <v>2138</v>
      </c>
      <c r="E133" s="361"/>
      <c r="F133" s="361"/>
      <c r="G133" s="361"/>
      <c r="H133" s="361">
        <v>38</v>
      </c>
      <c r="I133" s="360"/>
      <c r="J133" s="361" t="s">
        <v>57</v>
      </c>
      <c r="K133" s="361" t="s">
        <v>57</v>
      </c>
      <c r="L133" s="361" t="s">
        <v>63</v>
      </c>
      <c r="M133" s="49" t="s">
        <v>86</v>
      </c>
      <c r="N133" s="49" t="s">
        <v>86</v>
      </c>
      <c r="O133" s="54">
        <v>45701</v>
      </c>
      <c r="P133" s="30" t="s">
        <v>86</v>
      </c>
      <c r="Q133" s="69" t="s">
        <v>86</v>
      </c>
      <c r="R133" s="43" t="s">
        <v>2131</v>
      </c>
      <c r="S133" s="43" t="s">
        <v>86</v>
      </c>
      <c r="T133" s="43" t="s">
        <v>86</v>
      </c>
      <c r="U133" s="43" t="s">
        <v>86</v>
      </c>
      <c r="V133" s="69" t="s">
        <v>86</v>
      </c>
      <c r="W133" s="54">
        <v>45821</v>
      </c>
      <c r="X133" s="69" t="s">
        <v>2134</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86</v>
      </c>
      <c r="O134" s="54">
        <v>45709</v>
      </c>
      <c r="P134" s="30" t="s">
        <v>86</v>
      </c>
      <c r="Q134" s="43" t="s">
        <v>86</v>
      </c>
      <c r="R134" s="43" t="s">
        <v>2131</v>
      </c>
      <c r="S134" s="43" t="s">
        <v>86</v>
      </c>
      <c r="T134" s="43" t="s">
        <v>86</v>
      </c>
      <c r="U134" s="69" t="s">
        <v>91</v>
      </c>
      <c r="V134" s="69" t="s">
        <v>91</v>
      </c>
      <c r="W134" s="54">
        <v>45825</v>
      </c>
      <c r="X134" s="69" t="s">
        <v>91</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86</v>
      </c>
      <c r="N135" s="49" t="s">
        <v>86</v>
      </c>
      <c r="O135" s="195">
        <v>45720</v>
      </c>
      <c r="P135" s="49" t="s">
        <v>86</v>
      </c>
      <c r="Q135" s="69" t="s">
        <v>86</v>
      </c>
      <c r="R135" s="43" t="s">
        <v>2131</v>
      </c>
      <c r="S135" s="43" t="s">
        <v>86</v>
      </c>
      <c r="T135" s="43" t="s">
        <v>86</v>
      </c>
      <c r="U135" s="157" t="s">
        <v>86</v>
      </c>
      <c r="V135" s="43" t="s">
        <v>86</v>
      </c>
      <c r="W135" s="54">
        <v>45819</v>
      </c>
      <c r="X135" s="69" t="s">
        <v>2134</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86</v>
      </c>
      <c r="O136" s="54">
        <v>45691</v>
      </c>
      <c r="P136" s="30" t="s">
        <v>86</v>
      </c>
      <c r="Q136" s="43" t="s">
        <v>86</v>
      </c>
      <c r="R136" s="43" t="s">
        <v>2131</v>
      </c>
      <c r="S136" s="43" t="s">
        <v>86</v>
      </c>
      <c r="T136" s="43" t="s">
        <v>86</v>
      </c>
      <c r="U136" s="43" t="s">
        <v>86</v>
      </c>
      <c r="V136" s="43" t="s">
        <v>86</v>
      </c>
      <c r="W136" s="54">
        <v>45791</v>
      </c>
      <c r="X136" s="69" t="s">
        <v>2134</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2131</v>
      </c>
      <c r="S137" s="43" t="s">
        <v>86</v>
      </c>
      <c r="T137" s="43" t="s">
        <v>86</v>
      </c>
      <c r="U137" s="157" t="s">
        <v>86</v>
      </c>
      <c r="V137" s="69" t="s">
        <v>91</v>
      </c>
      <c r="W137" s="30"/>
      <c r="X137" s="69" t="s">
        <v>91</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86</v>
      </c>
      <c r="O138" s="124">
        <v>45707</v>
      </c>
      <c r="P138" s="30" t="s">
        <v>86</v>
      </c>
      <c r="Q138" s="43" t="s">
        <v>86</v>
      </c>
      <c r="R138" s="43" t="s">
        <v>2131</v>
      </c>
      <c r="S138" s="43" t="s">
        <v>86</v>
      </c>
      <c r="T138" s="43" t="s">
        <v>86</v>
      </c>
      <c r="U138" s="43" t="s">
        <v>86</v>
      </c>
      <c r="V138" s="43" t="s">
        <v>86</v>
      </c>
      <c r="W138" s="54">
        <v>45790</v>
      </c>
      <c r="X138" s="69" t="s">
        <v>2134</v>
      </c>
      <c r="Y138" t="e">
        <f>VLOOKUP(A138,#REF!,2,FALSE)</f>
        <v>#REF!</v>
      </c>
    </row>
    <row r="139" spans="1:25" ht="15" customHeight="1">
      <c r="A139" s="358" t="s">
        <v>2139</v>
      </c>
      <c r="B139" s="182" t="s">
        <v>50</v>
      </c>
      <c r="C139" s="408">
        <v>45742</v>
      </c>
      <c r="D139" s="361" t="s">
        <v>2140</v>
      </c>
      <c r="E139" s="521"/>
      <c r="F139" s="361"/>
      <c r="G139" s="361"/>
      <c r="H139" s="361">
        <v>87</v>
      </c>
      <c r="I139" s="360"/>
      <c r="J139" s="361" t="s">
        <v>57</v>
      </c>
      <c r="K139" s="361" t="s">
        <v>57</v>
      </c>
      <c r="L139" s="361" t="s">
        <v>63</v>
      </c>
      <c r="M139" s="49" t="s">
        <v>86</v>
      </c>
      <c r="N139" s="30" t="s">
        <v>86</v>
      </c>
      <c r="O139" s="30" t="s">
        <v>86</v>
      </c>
      <c r="P139" s="30" t="s">
        <v>86</v>
      </c>
      <c r="Q139" s="43" t="s">
        <v>86</v>
      </c>
      <c r="R139" s="43" t="s">
        <v>2131</v>
      </c>
      <c r="S139" s="43" t="s">
        <v>86</v>
      </c>
      <c r="T139" s="43" t="s">
        <v>86</v>
      </c>
      <c r="U139" s="157" t="s">
        <v>86</v>
      </c>
      <c r="V139" s="69" t="s">
        <v>91</v>
      </c>
      <c r="W139" s="30"/>
      <c r="X139" s="69" t="s">
        <v>91</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86</v>
      </c>
      <c r="O140" s="54">
        <v>45743</v>
      </c>
      <c r="P140" s="87" t="s">
        <v>86</v>
      </c>
      <c r="Q140" s="88" t="s">
        <v>86</v>
      </c>
      <c r="R140" s="43" t="s">
        <v>2131</v>
      </c>
      <c r="S140" s="43" t="s">
        <v>86</v>
      </c>
      <c r="T140" s="43" t="s">
        <v>86</v>
      </c>
      <c r="U140" s="88" t="s">
        <v>86</v>
      </c>
      <c r="V140" s="69" t="s">
        <v>86</v>
      </c>
      <c r="W140" s="54">
        <v>45819</v>
      </c>
      <c r="X140" s="69" t="s">
        <v>2134</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86</v>
      </c>
      <c r="O141" s="195">
        <v>45743</v>
      </c>
      <c r="P141" s="87" t="s">
        <v>86</v>
      </c>
      <c r="Q141" s="88" t="s">
        <v>86</v>
      </c>
      <c r="R141" s="43" t="s">
        <v>2131</v>
      </c>
      <c r="S141" s="43" t="s">
        <v>86</v>
      </c>
      <c r="T141" s="43" t="s">
        <v>86</v>
      </c>
      <c r="U141" s="88" t="s">
        <v>86</v>
      </c>
      <c r="V141" s="88" t="s">
        <v>86</v>
      </c>
      <c r="W141" s="54">
        <v>45811</v>
      </c>
      <c r="X141" s="69" t="s">
        <v>2134</v>
      </c>
      <c r="Y141" t="e">
        <f>VLOOKUP(A141,#REF!,2,FALSE)</f>
        <v>#REF!</v>
      </c>
    </row>
    <row r="142" spans="1:25" ht="15" customHeight="1">
      <c r="A142" s="358" t="s">
        <v>2141</v>
      </c>
      <c r="B142" s="406" t="s">
        <v>50</v>
      </c>
      <c r="C142" s="408">
        <v>45742</v>
      </c>
      <c r="D142" s="361" t="s">
        <v>2142</v>
      </c>
      <c r="E142" s="521"/>
      <c r="F142" s="361"/>
      <c r="G142" s="361"/>
      <c r="H142" s="361">
        <v>87</v>
      </c>
      <c r="I142" s="360"/>
      <c r="J142" s="361" t="s">
        <v>57</v>
      </c>
      <c r="K142" s="361" t="s">
        <v>57</v>
      </c>
      <c r="L142" s="361" t="s">
        <v>63</v>
      </c>
      <c r="M142" s="49" t="s">
        <v>86</v>
      </c>
      <c r="N142" s="49" t="s">
        <v>86</v>
      </c>
      <c r="O142" s="195">
        <v>45691</v>
      </c>
      <c r="P142" s="30" t="s">
        <v>86</v>
      </c>
      <c r="Q142" s="69" t="s">
        <v>86</v>
      </c>
      <c r="R142" s="43" t="s">
        <v>2131</v>
      </c>
      <c r="S142" s="43" t="s">
        <v>86</v>
      </c>
      <c r="T142" s="43" t="s">
        <v>86</v>
      </c>
      <c r="U142" s="157" t="s">
        <v>86</v>
      </c>
      <c r="V142" s="69" t="s">
        <v>91</v>
      </c>
      <c r="W142" s="30"/>
      <c r="X142" s="69" t="s">
        <v>91</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86</v>
      </c>
      <c r="N143" s="49" t="s">
        <v>86</v>
      </c>
      <c r="O143" s="195">
        <v>45675</v>
      </c>
      <c r="P143" s="30" t="s">
        <v>86</v>
      </c>
      <c r="Q143" s="69" t="s">
        <v>86</v>
      </c>
      <c r="R143" s="43" t="s">
        <v>2131</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2134</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2104</v>
      </c>
      <c r="B146" s="406" t="s">
        <v>50</v>
      </c>
      <c r="C146" s="359">
        <v>45991</v>
      </c>
      <c r="D146" s="418" t="s">
        <v>2105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2107</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2143</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86</v>
      </c>
      <c r="O150" s="195">
        <v>45744</v>
      </c>
      <c r="P150" s="100" t="s">
        <v>86</v>
      </c>
      <c r="Q150" s="69" t="s">
        <v>86</v>
      </c>
      <c r="R150" s="43" t="s">
        <v>2131</v>
      </c>
      <c r="S150" s="43" t="s">
        <v>86</v>
      </c>
      <c r="T150" s="43" t="s">
        <v>86</v>
      </c>
      <c r="U150" s="69" t="s">
        <v>91</v>
      </c>
      <c r="V150" s="69" t="s">
        <v>91</v>
      </c>
      <c r="W150" s="30"/>
      <c r="X150" s="69" t="s">
        <v>91</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86</v>
      </c>
      <c r="O151" s="195">
        <v>45698</v>
      </c>
      <c r="P151" s="100" t="s">
        <v>86</v>
      </c>
      <c r="Q151" s="69" t="s">
        <v>86</v>
      </c>
      <c r="R151" s="43" t="s">
        <v>2131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86</v>
      </c>
      <c r="O153" s="195">
        <v>45696</v>
      </c>
      <c r="P153" s="30" t="s">
        <v>86</v>
      </c>
      <c r="Q153" s="69" t="s">
        <v>86</v>
      </c>
      <c r="R153" s="43" t="s">
        <v>2131</v>
      </c>
      <c r="S153" s="43" t="s">
        <v>86</v>
      </c>
      <c r="T153" s="157" t="s">
        <v>86</v>
      </c>
      <c r="U153" s="157" t="s">
        <v>86</v>
      </c>
      <c r="V153" s="43" t="s">
        <v>86</v>
      </c>
      <c r="W153" s="54">
        <v>45807</v>
      </c>
      <c r="X153" s="69" t="s">
        <v>2134</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86</v>
      </c>
      <c r="O154" s="347">
        <v>45696</v>
      </c>
      <c r="P154" s="30" t="s">
        <v>86</v>
      </c>
      <c r="Q154" s="69" t="s">
        <v>86</v>
      </c>
      <c r="R154" s="43" t="s">
        <v>2131</v>
      </c>
      <c r="S154" s="43" t="s">
        <v>86</v>
      </c>
      <c r="T154" s="157" t="s">
        <v>86</v>
      </c>
      <c r="U154" s="157" t="s">
        <v>86</v>
      </c>
      <c r="V154" s="43" t="s">
        <v>86</v>
      </c>
      <c r="W154" s="166">
        <v>45792</v>
      </c>
      <c r="X154" s="148" t="s">
        <v>2134</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86</v>
      </c>
      <c r="O155" s="54">
        <v>45699</v>
      </c>
      <c r="P155" s="49" t="s">
        <v>86</v>
      </c>
      <c r="Q155" s="69" t="s">
        <v>86</v>
      </c>
      <c r="R155" s="43" t="s">
        <v>2131</v>
      </c>
      <c r="S155" s="43" t="s">
        <v>86</v>
      </c>
      <c r="T155" s="43" t="s">
        <v>86</v>
      </c>
      <c r="U155" s="157" t="s">
        <v>86</v>
      </c>
      <c r="V155" s="43" t="s">
        <v>86</v>
      </c>
      <c r="W155" s="356">
        <v>45821</v>
      </c>
      <c r="X155" s="69" t="s">
        <v>2134</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86</v>
      </c>
      <c r="O156" s="54">
        <v>45699</v>
      </c>
      <c r="P156" s="49" t="s">
        <v>86</v>
      </c>
      <c r="Q156" s="69" t="s">
        <v>86</v>
      </c>
      <c r="R156" s="43" t="s">
        <v>2131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2112</v>
      </c>
      <c r="E157" s="702"/>
      <c r="F157" s="419"/>
      <c r="G157" s="419"/>
      <c r="H157" s="419">
        <v>79</v>
      </c>
      <c r="I157" s="360"/>
      <c r="J157" s="361" t="s">
        <v>57</v>
      </c>
      <c r="K157" s="551" t="s">
        <v>57</v>
      </c>
      <c r="L157" s="361" t="s">
        <v>63</v>
      </c>
      <c r="M157" s="195">
        <v>45735</v>
      </c>
      <c r="N157" s="30" t="s">
        <v>64</v>
      </c>
      <c r="O157" s="54">
        <v>45737</v>
      </c>
      <c r="P157" s="49" t="s">
        <v>64</v>
      </c>
      <c r="Q157" s="69" t="s">
        <v>64</v>
      </c>
      <c r="R157" s="69" t="s">
        <v>2131</v>
      </c>
      <c r="S157" s="69" t="s">
        <v>64</v>
      </c>
      <c r="T157" s="69" t="s">
        <v>64</v>
      </c>
      <c r="U157" s="69" t="s">
        <v>91</v>
      </c>
      <c r="V157" s="69"/>
      <c r="W157" s="79"/>
      <c r="X157" s="69" t="s">
        <v>91</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86</v>
      </c>
      <c r="O158" s="54">
        <v>45736</v>
      </c>
      <c r="P158" s="49" t="s">
        <v>86</v>
      </c>
      <c r="Q158" s="69" t="s">
        <v>86</v>
      </c>
      <c r="R158" s="43" t="s">
        <v>2131</v>
      </c>
      <c r="S158" s="43" t="s">
        <v>86</v>
      </c>
      <c r="T158" s="43" t="s">
        <v>86</v>
      </c>
      <c r="U158" s="157" t="s">
        <v>86</v>
      </c>
      <c r="V158" s="157" t="s">
        <v>86</v>
      </c>
      <c r="W158" s="356">
        <v>45817</v>
      </c>
      <c r="X158" s="69" t="s">
        <v>2134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2134</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2134</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2134</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2134</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2134</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66" t="s">
        <v>2144</v>
      </c>
      <c r="C1" s="1466"/>
      <c r="D1" s="556"/>
      <c r="E1" s="1466" t="s">
        <v>2145</v>
      </c>
      <c r="F1" s="1466"/>
    </row>
    <row r="2" spans="1:25">
      <c r="B2" s="44" t="s">
        <v>2146</v>
      </c>
      <c r="E2" s="44" t="s">
        <v>22</v>
      </c>
      <c r="F2" t="s">
        <v>1081</v>
      </c>
      <c r="P2" s="44" t="s">
        <v>27</v>
      </c>
      <c r="Q2" t="s">
        <v>2147</v>
      </c>
    </row>
    <row r="3" spans="1:25">
      <c r="B3" s="44" t="s">
        <v>22</v>
      </c>
      <c r="C3" t="s">
        <v>1087</v>
      </c>
      <c r="K3" s="44" t="s">
        <v>2148</v>
      </c>
      <c r="L3" t="s">
        <v>2149</v>
      </c>
      <c r="P3" s="44" t="s">
        <v>2148</v>
      </c>
      <c r="Q3" t="s">
        <v>2149</v>
      </c>
    </row>
    <row r="4" spans="1:25">
      <c r="B4" t="s">
        <v>129</v>
      </c>
      <c r="C4">
        <v>69424</v>
      </c>
      <c r="E4" s="44" t="s">
        <v>2146</v>
      </c>
      <c r="F4" t="s">
        <v>1087</v>
      </c>
      <c r="W4" t="s">
        <v>2150</v>
      </c>
      <c r="X4">
        <v>22</v>
      </c>
    </row>
    <row r="5" spans="1:25">
      <c r="B5" t="s">
        <v>84</v>
      </c>
      <c r="C5">
        <v>28636</v>
      </c>
      <c r="E5" t="s">
        <v>1087</v>
      </c>
      <c r="F5">
        <v>160466</v>
      </c>
      <c r="K5" s="44" t="s">
        <v>2151</v>
      </c>
      <c r="P5" s="44" t="s">
        <v>2151</v>
      </c>
      <c r="W5" t="s">
        <v>2152</v>
      </c>
      <c r="X5">
        <v>13</v>
      </c>
    </row>
    <row r="6" spans="1:25">
      <c r="B6" t="s">
        <v>1114</v>
      </c>
      <c r="C6">
        <v>208773</v>
      </c>
      <c r="K6" s="44" t="s">
        <v>27</v>
      </c>
      <c r="L6" s="44" t="s">
        <v>2153</v>
      </c>
      <c r="M6" t="s">
        <v>1087</v>
      </c>
      <c r="P6" s="44" t="s">
        <v>2154</v>
      </c>
      <c r="Q6" s="44" t="s">
        <v>2153</v>
      </c>
      <c r="R6" t="s">
        <v>1087</v>
      </c>
    </row>
    <row r="7" spans="1:25">
      <c r="B7" t="s">
        <v>51</v>
      </c>
      <c r="C7">
        <v>446</v>
      </c>
      <c r="K7" t="s">
        <v>2147</v>
      </c>
      <c r="L7" t="s">
        <v>667</v>
      </c>
      <c r="M7">
        <v>1</v>
      </c>
      <c r="P7" t="s">
        <v>2155</v>
      </c>
      <c r="R7">
        <v>1</v>
      </c>
      <c r="X7" t="s">
        <v>2156</v>
      </c>
      <c r="Y7" t="s">
        <v>2157</v>
      </c>
    </row>
    <row r="8" spans="1:25">
      <c r="B8" t="s">
        <v>22</v>
      </c>
      <c r="C8">
        <v>0</v>
      </c>
      <c r="L8" t="s">
        <v>669</v>
      </c>
      <c r="M8">
        <v>1</v>
      </c>
      <c r="P8" t="s">
        <v>2158</v>
      </c>
      <c r="R8">
        <v>1</v>
      </c>
      <c r="V8" t="s">
        <v>2159</v>
      </c>
      <c r="W8" s="257">
        <v>203521</v>
      </c>
      <c r="X8" s="313">
        <f>X5/X4</f>
        <v>0.59090909090909094</v>
      </c>
      <c r="Y8" s="313">
        <f>W9/W8</f>
        <v>0.31446386367991508</v>
      </c>
    </row>
    <row r="9" spans="1:25">
      <c r="B9" t="s">
        <v>222</v>
      </c>
      <c r="C9">
        <v>7128</v>
      </c>
      <c r="L9" t="s">
        <v>2160</v>
      </c>
      <c r="M9">
        <v>1</v>
      </c>
      <c r="P9" t="s">
        <v>2161</v>
      </c>
      <c r="Q9" t="s">
        <v>2160</v>
      </c>
      <c r="R9">
        <v>1</v>
      </c>
      <c r="V9" t="s">
        <v>2162</v>
      </c>
      <c r="W9">
        <v>64000</v>
      </c>
    </row>
    <row r="10" spans="1:25">
      <c r="B10" t="s">
        <v>233</v>
      </c>
      <c r="C10">
        <v>29359</v>
      </c>
      <c r="L10" t="s">
        <v>861</v>
      </c>
      <c r="M10">
        <v>1</v>
      </c>
      <c r="Q10" t="s">
        <v>865</v>
      </c>
      <c r="R10">
        <v>1</v>
      </c>
    </row>
    <row r="11" spans="1:25">
      <c r="B11" t="s">
        <v>202</v>
      </c>
      <c r="C11">
        <v>103</v>
      </c>
      <c r="L11" t="s">
        <v>865</v>
      </c>
      <c r="M11">
        <v>1</v>
      </c>
      <c r="Q11" t="s">
        <v>868</v>
      </c>
      <c r="R11">
        <v>1</v>
      </c>
    </row>
    <row r="12" spans="1:25">
      <c r="B12" t="s">
        <v>141</v>
      </c>
      <c r="C12">
        <v>13766</v>
      </c>
      <c r="L12" t="s">
        <v>868</v>
      </c>
      <c r="M12">
        <v>1</v>
      </c>
      <c r="Q12" t="s">
        <v>2163</v>
      </c>
      <c r="R12">
        <v>1</v>
      </c>
    </row>
    <row r="13" spans="1:25">
      <c r="B13" t="s">
        <v>178</v>
      </c>
      <c r="C13">
        <v>3</v>
      </c>
      <c r="L13" t="s">
        <v>2164</v>
      </c>
      <c r="M13">
        <v>1</v>
      </c>
      <c r="Q13" t="s">
        <v>1038</v>
      </c>
      <c r="R13">
        <v>1</v>
      </c>
    </row>
    <row r="14" spans="1:25">
      <c r="B14" t="s">
        <v>67</v>
      </c>
      <c r="C14">
        <v>3796</v>
      </c>
      <c r="L14" t="s">
        <v>882</v>
      </c>
      <c r="M14">
        <v>1</v>
      </c>
      <c r="P14" t="s">
        <v>2165</v>
      </c>
      <c r="R14">
        <v>5</v>
      </c>
    </row>
    <row r="15" spans="1:25">
      <c r="B15" t="s">
        <v>60</v>
      </c>
      <c r="C15">
        <v>10847</v>
      </c>
      <c r="L15" t="s">
        <v>2163</v>
      </c>
      <c r="M15">
        <v>1</v>
      </c>
      <c r="P15" t="s">
        <v>1114</v>
      </c>
      <c r="R15">
        <v>12</v>
      </c>
    </row>
    <row r="16" spans="1:25">
      <c r="B16" t="s">
        <v>266</v>
      </c>
      <c r="C16">
        <v>8622</v>
      </c>
      <c r="L16" t="s">
        <v>884</v>
      </c>
      <c r="M16">
        <v>1</v>
      </c>
      <c r="P16" t="s">
        <v>1084</v>
      </c>
      <c r="R16">
        <v>19</v>
      </c>
    </row>
    <row r="17" spans="2:13">
      <c r="B17" t="s">
        <v>218</v>
      </c>
      <c r="C17">
        <v>0</v>
      </c>
      <c r="L17" t="s">
        <v>888</v>
      </c>
      <c r="M17">
        <v>1</v>
      </c>
    </row>
    <row r="18" spans="2:13">
      <c r="B18" t="s">
        <v>1084</v>
      </c>
      <c r="C18">
        <v>380903</v>
      </c>
      <c r="L18" t="s">
        <v>890</v>
      </c>
      <c r="M18">
        <v>1</v>
      </c>
    </row>
    <row r="19" spans="2:13">
      <c r="L19" t="s">
        <v>894</v>
      </c>
      <c r="M19">
        <v>1</v>
      </c>
    </row>
    <row r="20" spans="2:13">
      <c r="L20" t="s">
        <v>898</v>
      </c>
      <c r="M20">
        <v>1</v>
      </c>
    </row>
    <row r="21" spans="2:13">
      <c r="L21" t="s">
        <v>2166</v>
      </c>
      <c r="M21">
        <v>1</v>
      </c>
    </row>
    <row r="22" spans="2:13">
      <c r="L22" t="s">
        <v>1038</v>
      </c>
      <c r="M22">
        <v>1</v>
      </c>
    </row>
    <row r="23" spans="2:13">
      <c r="L23" t="s">
        <v>930</v>
      </c>
      <c r="M23">
        <v>1</v>
      </c>
    </row>
    <row r="24" spans="2:13">
      <c r="L24" t="s">
        <v>959</v>
      </c>
      <c r="M24">
        <v>1</v>
      </c>
    </row>
    <row r="25" spans="2:13">
      <c r="L25" t="s">
        <v>174</v>
      </c>
      <c r="M25">
        <v>1</v>
      </c>
    </row>
    <row r="26" spans="2:13">
      <c r="K26" t="s">
        <v>2167</v>
      </c>
      <c r="M26">
        <v>19</v>
      </c>
    </row>
    <row r="27" spans="2:13">
      <c r="K27" t="s">
        <v>2168</v>
      </c>
      <c r="L27" t="s">
        <v>876</v>
      </c>
      <c r="M27">
        <v>1</v>
      </c>
    </row>
    <row r="28" spans="2:13">
      <c r="L28" t="s">
        <v>878</v>
      </c>
      <c r="M28">
        <v>1</v>
      </c>
    </row>
    <row r="29" spans="2:13">
      <c r="L29" t="s">
        <v>880</v>
      </c>
      <c r="M29">
        <v>1</v>
      </c>
    </row>
    <row r="30" spans="2:13">
      <c r="L30" t="s">
        <v>896</v>
      </c>
      <c r="M30">
        <v>1</v>
      </c>
    </row>
    <row r="31" spans="2:13">
      <c r="L31" t="s">
        <v>900</v>
      </c>
      <c r="M31">
        <v>1</v>
      </c>
    </row>
    <row r="32" spans="2:13">
      <c r="L32" t="s">
        <v>2169</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7"/>
      <c r="B1" s="1467"/>
      <c r="C1" s="1467"/>
      <c r="D1" s="1467"/>
      <c r="E1" s="1467"/>
      <c r="F1" s="1467"/>
      <c r="G1" s="1467"/>
      <c r="H1" s="1468" t="s">
        <v>2171</v>
      </c>
      <c r="I1" s="1468"/>
      <c r="J1" s="1468"/>
      <c r="K1" s="1468"/>
      <c r="L1" s="1468"/>
      <c r="M1" s="1468"/>
      <c r="N1" s="1468"/>
      <c r="O1" s="1468"/>
      <c r="P1" s="260"/>
      <c r="Q1" s="1469" t="s">
        <v>34</v>
      </c>
      <c r="R1" s="1469"/>
      <c r="S1" s="1465"/>
      <c r="T1" s="1469"/>
      <c r="U1" s="1469"/>
      <c r="V1" s="1469"/>
      <c r="W1" s="1469"/>
      <c r="X1" s="1469"/>
      <c r="Y1" s="264"/>
    </row>
    <row r="2" spans="1:26" ht="15.75" thickBot="1">
      <c r="A2" s="265"/>
      <c r="B2" s="266"/>
      <c r="C2" s="266"/>
      <c r="D2" s="266"/>
      <c r="E2" s="266"/>
      <c r="F2" s="266"/>
      <c r="G2" s="266"/>
      <c r="H2" s="267"/>
      <c r="I2" s="267"/>
      <c r="J2" s="267"/>
      <c r="K2" s="267"/>
      <c r="L2" s="267"/>
      <c r="M2" s="267"/>
      <c r="N2" s="267"/>
      <c r="O2" s="267"/>
      <c r="P2" s="260"/>
      <c r="Q2" s="264"/>
      <c r="R2" s="264" t="s">
        <v>2172</v>
      </c>
      <c r="S2" s="3" t="s">
        <v>2057</v>
      </c>
      <c r="T2" s="264" t="s">
        <v>2058</v>
      </c>
      <c r="U2" s="264" t="s">
        <v>2058</v>
      </c>
      <c r="V2" s="264" t="s">
        <v>2058</v>
      </c>
      <c r="W2" s="264" t="s">
        <v>2058</v>
      </c>
      <c r="X2" s="264" t="s">
        <v>2059</v>
      </c>
      <c r="Y2" s="264" t="s">
        <v>2173</v>
      </c>
    </row>
    <row r="3" spans="1:26" ht="15.75" thickBot="1">
      <c r="A3" s="263" t="s">
        <v>2153</v>
      </c>
      <c r="B3" s="259" t="s">
        <v>20</v>
      </c>
      <c r="C3" s="259" t="s">
        <v>2174</v>
      </c>
      <c r="D3" s="259" t="s">
        <v>26</v>
      </c>
      <c r="E3" s="259" t="s">
        <v>2148</v>
      </c>
      <c r="F3" s="259" t="s">
        <v>2175</v>
      </c>
      <c r="G3" s="259" t="s">
        <v>27</v>
      </c>
      <c r="H3" s="207" t="s">
        <v>28</v>
      </c>
      <c r="I3" s="207" t="s">
        <v>2176</v>
      </c>
      <c r="J3" s="207" t="s">
        <v>2177</v>
      </c>
      <c r="K3" s="207" t="s">
        <v>2178</v>
      </c>
      <c r="L3" s="207" t="s">
        <v>2134</v>
      </c>
      <c r="M3" s="207" t="s">
        <v>2179</v>
      </c>
      <c r="N3" s="207" t="s">
        <v>2180</v>
      </c>
      <c r="O3" s="206" t="s">
        <v>2062</v>
      </c>
      <c r="P3" s="260" t="s">
        <v>2154</v>
      </c>
      <c r="Q3" s="261" t="s">
        <v>34</v>
      </c>
      <c r="R3" s="261" t="s">
        <v>2176</v>
      </c>
      <c r="S3" s="5" t="s">
        <v>2063</v>
      </c>
      <c r="T3" s="261" t="s">
        <v>2181</v>
      </c>
      <c r="U3" s="261" t="s">
        <v>43</v>
      </c>
      <c r="V3" s="261" t="s">
        <v>2064</v>
      </c>
      <c r="W3" s="261" t="s">
        <v>46</v>
      </c>
      <c r="X3" s="261" t="s">
        <v>654</v>
      </c>
      <c r="Y3" s="261" t="s">
        <v>2182</v>
      </c>
      <c r="Z3" s="312" t="s">
        <v>2183</v>
      </c>
    </row>
    <row r="4" spans="1:26" ht="15.75" thickBot="1">
      <c r="A4" s="121" t="s">
        <v>77</v>
      </c>
      <c r="B4" s="102" t="s">
        <v>50</v>
      </c>
      <c r="C4" s="77">
        <v>45807</v>
      </c>
      <c r="D4" s="268"/>
      <c r="E4" s="269" t="s">
        <v>2184</v>
      </c>
      <c r="F4" s="268"/>
      <c r="G4" s="270" t="s">
        <v>2147</v>
      </c>
      <c r="H4" s="268"/>
      <c r="I4" s="268"/>
      <c r="J4" s="271"/>
      <c r="K4" s="205"/>
      <c r="L4" s="205"/>
      <c r="M4" s="205"/>
      <c r="N4" s="272"/>
      <c r="O4" s="273"/>
      <c r="P4" s="274" t="s">
        <v>2185</v>
      </c>
      <c r="Q4" s="275" t="s">
        <v>101</v>
      </c>
      <c r="R4" s="131" t="s">
        <v>2186</v>
      </c>
      <c r="S4" s="131"/>
      <c r="T4" s="276"/>
      <c r="U4" s="277"/>
      <c r="V4" s="277"/>
      <c r="W4" s="277"/>
      <c r="X4" s="277"/>
      <c r="Y4" s="277"/>
      <c r="Z4" t="e">
        <f>VLOOKUP(A4,#REF!,9,FALSE)</f>
        <v>#REF!</v>
      </c>
    </row>
    <row r="5" spans="1:26" ht="15.75" thickBot="1">
      <c r="A5" s="278" t="s">
        <v>2104</v>
      </c>
      <c r="B5" s="102" t="s">
        <v>50</v>
      </c>
      <c r="C5" s="215">
        <v>45807</v>
      </c>
      <c r="D5" s="268"/>
      <c r="E5" s="269" t="s">
        <v>2184</v>
      </c>
      <c r="F5" s="268"/>
      <c r="G5" s="270" t="s">
        <v>2147</v>
      </c>
      <c r="H5" s="268"/>
      <c r="I5" s="268"/>
      <c r="J5" s="279"/>
      <c r="K5" s="205"/>
      <c r="L5" s="205"/>
      <c r="M5" s="205"/>
      <c r="N5" s="272"/>
      <c r="O5" s="273"/>
      <c r="P5" s="274" t="s">
        <v>2185</v>
      </c>
      <c r="Q5" s="275" t="s">
        <v>101</v>
      </c>
      <c r="R5" s="131" t="s">
        <v>2186</v>
      </c>
      <c r="S5" s="131"/>
      <c r="T5" s="276"/>
      <c r="U5" s="277"/>
      <c r="V5" s="277"/>
      <c r="W5" s="277"/>
      <c r="X5" s="277"/>
      <c r="Y5" s="277"/>
      <c r="Z5" t="e">
        <f>VLOOKUP(A5,#REF!,9,FALSE)</f>
        <v>#REF!</v>
      </c>
    </row>
    <row r="6" spans="1:26" ht="15.75" thickBot="1">
      <c r="A6" s="121" t="s">
        <v>1111</v>
      </c>
      <c r="B6" s="102" t="s">
        <v>50</v>
      </c>
      <c r="C6" s="215">
        <v>45807</v>
      </c>
      <c r="D6" s="268"/>
      <c r="E6" s="269" t="s">
        <v>2184</v>
      </c>
      <c r="F6" s="268"/>
      <c r="G6" s="270" t="s">
        <v>2147</v>
      </c>
      <c r="H6" s="268"/>
      <c r="I6" s="268"/>
      <c r="J6" s="279"/>
      <c r="K6" s="205"/>
      <c r="L6" s="205"/>
      <c r="M6" s="205"/>
      <c r="N6" s="272"/>
      <c r="O6" s="273"/>
      <c r="P6" s="274" t="s">
        <v>2185</v>
      </c>
      <c r="Q6" s="275" t="s">
        <v>101</v>
      </c>
      <c r="R6" s="131" t="s">
        <v>2186</v>
      </c>
      <c r="S6" s="131"/>
      <c r="T6" s="276"/>
      <c r="U6" s="277"/>
      <c r="V6" s="277"/>
      <c r="W6" s="277"/>
      <c r="X6" s="277"/>
      <c r="Y6" s="277"/>
      <c r="Z6" t="e">
        <f>VLOOKUP(A6,#REF!,9,FALSE)</f>
        <v>#REF!</v>
      </c>
    </row>
    <row r="7" spans="1:26" ht="15.75" thickBot="1">
      <c r="A7" s="121" t="s">
        <v>1128</v>
      </c>
      <c r="B7" s="102" t="s">
        <v>50</v>
      </c>
      <c r="C7" s="215">
        <v>45807</v>
      </c>
      <c r="D7" s="268"/>
      <c r="E7" s="269" t="s">
        <v>2184</v>
      </c>
      <c r="F7" s="268"/>
      <c r="G7" s="270" t="s">
        <v>2147</v>
      </c>
      <c r="H7" s="268"/>
      <c r="I7" s="268"/>
      <c r="J7" s="279"/>
      <c r="K7" s="205"/>
      <c r="L7" s="205"/>
      <c r="M7" s="205"/>
      <c r="N7" s="272"/>
      <c r="O7" s="273"/>
      <c r="P7" s="274" t="s">
        <v>2185</v>
      </c>
      <c r="Q7" s="275" t="s">
        <v>101</v>
      </c>
      <c r="R7" s="131" t="s">
        <v>2186</v>
      </c>
      <c r="S7" s="131"/>
      <c r="T7" s="276"/>
      <c r="U7" s="277"/>
      <c r="V7" s="277"/>
      <c r="W7" s="277"/>
      <c r="X7" s="277"/>
      <c r="Y7" s="277"/>
      <c r="Z7" t="e">
        <f>VLOOKUP(A7,#REF!,9,FALSE)</f>
        <v>#REF!</v>
      </c>
    </row>
    <row r="8" spans="1:26" ht="15.75" thickBot="1">
      <c r="A8" s="278" t="s">
        <v>2187</v>
      </c>
      <c r="B8" s="102" t="s">
        <v>50</v>
      </c>
      <c r="C8" s="215">
        <v>45807</v>
      </c>
      <c r="D8" s="268"/>
      <c r="E8" s="269" t="s">
        <v>2184</v>
      </c>
      <c r="F8" s="268"/>
      <c r="G8" s="270" t="s">
        <v>2147</v>
      </c>
      <c r="H8" s="268"/>
      <c r="I8" s="268"/>
      <c r="J8" s="279"/>
      <c r="K8" s="205"/>
      <c r="L8" s="205"/>
      <c r="M8" s="205"/>
      <c r="N8" s="272"/>
      <c r="O8" s="273"/>
      <c r="P8" s="274" t="s">
        <v>2158</v>
      </c>
      <c r="Q8" s="275" t="s">
        <v>2188</v>
      </c>
      <c r="R8" s="131" t="s">
        <v>2189</v>
      </c>
      <c r="S8" s="131"/>
      <c r="T8" s="276"/>
      <c r="U8" s="277"/>
      <c r="V8" s="277"/>
      <c r="W8" s="277"/>
      <c r="X8" s="277"/>
      <c r="Y8" s="277"/>
      <c r="Z8" t="e">
        <f>VLOOKUP(A8,#REF!,9,FALSE)</f>
        <v>#REF!</v>
      </c>
    </row>
    <row r="9" spans="1:26" ht="15.75" thickBot="1">
      <c r="A9" s="121" t="s">
        <v>1136</v>
      </c>
      <c r="B9" s="102" t="s">
        <v>50</v>
      </c>
      <c r="C9" s="215">
        <v>45807</v>
      </c>
      <c r="D9" s="280"/>
      <c r="E9" s="269" t="s">
        <v>2184</v>
      </c>
      <c r="F9" s="280"/>
      <c r="G9" s="281" t="s">
        <v>2147</v>
      </c>
      <c r="H9" s="268"/>
      <c r="I9" s="268"/>
      <c r="J9" s="279"/>
      <c r="K9" s="205"/>
      <c r="L9" s="205"/>
      <c r="M9" s="205"/>
      <c r="N9" s="272"/>
      <c r="O9" s="273"/>
      <c r="P9" s="274" t="s">
        <v>2185</v>
      </c>
      <c r="Q9" s="275" t="s">
        <v>101</v>
      </c>
      <c r="R9" s="131" t="s">
        <v>2186</v>
      </c>
      <c r="S9" s="131"/>
      <c r="T9" s="276"/>
      <c r="U9" s="277"/>
      <c r="V9" s="277"/>
      <c r="W9" s="277"/>
      <c r="X9" s="277"/>
      <c r="Y9" s="277"/>
      <c r="Z9" t="e">
        <f>VLOOKUP(A9,#REF!,9,FALSE)</f>
        <v>#REF!</v>
      </c>
    </row>
    <row r="10" spans="1:26" ht="15.75" thickBot="1">
      <c r="A10" s="121" t="s">
        <v>1113</v>
      </c>
      <c r="B10" s="102" t="s">
        <v>50</v>
      </c>
      <c r="C10" s="215" t="e">
        <v>#N/A</v>
      </c>
      <c r="D10" s="282"/>
      <c r="E10" s="269" t="s">
        <v>2184</v>
      </c>
      <c r="F10" s="282"/>
      <c r="G10" s="283" t="s">
        <v>2147</v>
      </c>
      <c r="H10" s="230"/>
      <c r="I10" s="230"/>
      <c r="J10" s="45"/>
      <c r="K10" s="204"/>
      <c r="L10" s="204"/>
      <c r="M10" s="204"/>
      <c r="N10" s="284"/>
      <c r="O10" s="285"/>
      <c r="P10" s="274" t="s">
        <v>2185</v>
      </c>
      <c r="Q10" s="275" t="s">
        <v>58</v>
      </c>
      <c r="R10" s="131" t="s">
        <v>2186</v>
      </c>
      <c r="S10" s="131"/>
      <c r="T10" s="276"/>
      <c r="U10" s="277"/>
      <c r="V10" s="277"/>
      <c r="W10" s="277"/>
      <c r="X10" s="277"/>
      <c r="Y10" s="277"/>
      <c r="Z10" t="e">
        <f>VLOOKUP(A10,#REF!,9,FALSE)</f>
        <v>#REF!</v>
      </c>
    </row>
    <row r="11" spans="1:26" ht="15.75" thickBot="1">
      <c r="A11" s="121" t="s">
        <v>516</v>
      </c>
      <c r="B11" s="102" t="s">
        <v>50</v>
      </c>
      <c r="C11" s="215">
        <v>45807</v>
      </c>
      <c r="D11" s="282"/>
      <c r="E11" s="269" t="s">
        <v>2184</v>
      </c>
      <c r="F11" s="282"/>
      <c r="G11" s="283" t="s">
        <v>2147</v>
      </c>
      <c r="H11" s="230"/>
      <c r="I11" s="230"/>
      <c r="J11" s="45"/>
      <c r="K11" s="204"/>
      <c r="L11" s="204"/>
      <c r="M11" s="204"/>
      <c r="N11" s="284"/>
      <c r="O11" s="285"/>
      <c r="P11" s="274" t="s">
        <v>2185</v>
      </c>
      <c r="Q11" s="275" t="s">
        <v>101</v>
      </c>
      <c r="R11" s="131" t="s">
        <v>2186</v>
      </c>
      <c r="S11" s="131"/>
      <c r="T11" s="276"/>
      <c r="U11" s="277"/>
      <c r="V11" s="277"/>
      <c r="W11" s="277"/>
      <c r="X11" s="277"/>
      <c r="Y11" s="277"/>
      <c r="Z11" t="e">
        <f>VLOOKUP(A11,#REF!,9,FALSE)</f>
        <v>#REF!</v>
      </c>
    </row>
    <row r="12" spans="1:26" ht="15.75" thickBot="1">
      <c r="A12" s="121" t="s">
        <v>1108</v>
      </c>
      <c r="B12" s="102" t="s">
        <v>50</v>
      </c>
      <c r="C12" s="215" t="e">
        <v>#N/A</v>
      </c>
      <c r="D12" s="282"/>
      <c r="E12" s="269" t="s">
        <v>2184</v>
      </c>
      <c r="F12" s="282"/>
      <c r="G12" s="283" t="s">
        <v>2147</v>
      </c>
      <c r="H12" s="230"/>
      <c r="I12" s="230"/>
      <c r="J12" s="45"/>
      <c r="K12" s="204"/>
      <c r="L12" s="204"/>
      <c r="M12" s="204"/>
      <c r="N12" s="284"/>
      <c r="O12" s="285"/>
      <c r="P12" s="274" t="s">
        <v>2185</v>
      </c>
      <c r="Q12" s="275" t="s">
        <v>101</v>
      </c>
      <c r="R12" s="131" t="s">
        <v>2186</v>
      </c>
      <c r="S12" s="131"/>
      <c r="T12" s="276"/>
      <c r="U12" s="277"/>
      <c r="V12" s="277"/>
      <c r="W12" s="277"/>
      <c r="X12" s="277"/>
      <c r="Y12" s="277"/>
      <c r="Z12" t="e">
        <f>VLOOKUP(A12,#REF!,9,FALSE)</f>
        <v>#REF!</v>
      </c>
    </row>
    <row r="13" spans="1:26" ht="15.75" thickBot="1">
      <c r="A13" s="121" t="s">
        <v>1134</v>
      </c>
      <c r="B13" s="102" t="s">
        <v>50</v>
      </c>
      <c r="C13" s="215" t="e">
        <v>#N/A</v>
      </c>
      <c r="D13" s="282"/>
      <c r="E13" s="269" t="s">
        <v>2184</v>
      </c>
      <c r="F13" s="282"/>
      <c r="G13" s="283" t="s">
        <v>2147</v>
      </c>
      <c r="H13" s="230"/>
      <c r="I13" s="230"/>
      <c r="J13" s="45"/>
      <c r="K13" s="204"/>
      <c r="L13" s="204"/>
      <c r="M13" s="204"/>
      <c r="N13" s="284"/>
      <c r="O13" s="285"/>
      <c r="P13" s="274" t="s">
        <v>2185</v>
      </c>
      <c r="Q13" s="275" t="s">
        <v>101</v>
      </c>
      <c r="R13" s="131" t="s">
        <v>2186</v>
      </c>
      <c r="S13" s="131"/>
      <c r="T13" s="276"/>
      <c r="U13" s="277"/>
      <c r="V13" s="277"/>
      <c r="W13" s="277"/>
      <c r="X13" s="277"/>
      <c r="Y13" s="277"/>
      <c r="Z13" t="e">
        <f>VLOOKUP(A13,#REF!,9,FALSE)</f>
        <v>#REF!</v>
      </c>
    </row>
    <row r="14" spans="1:26" ht="15.75" thickBot="1">
      <c r="A14" s="278" t="s">
        <v>512</v>
      </c>
      <c r="B14" s="102" t="s">
        <v>50</v>
      </c>
      <c r="C14" s="215">
        <v>45807</v>
      </c>
      <c r="D14" s="282"/>
      <c r="E14" s="269" t="s">
        <v>2184</v>
      </c>
      <c r="F14" s="282"/>
      <c r="G14" s="283" t="s">
        <v>2147</v>
      </c>
      <c r="H14" s="230"/>
      <c r="I14" s="230"/>
      <c r="J14" s="45"/>
      <c r="K14" s="204"/>
      <c r="L14" s="204"/>
      <c r="M14" s="204"/>
      <c r="N14" s="284"/>
      <c r="O14" s="285"/>
      <c r="P14" s="274" t="s">
        <v>2185</v>
      </c>
      <c r="Q14" s="275" t="s">
        <v>101</v>
      </c>
      <c r="R14" s="131" t="s">
        <v>2186</v>
      </c>
      <c r="S14" s="131"/>
      <c r="T14" s="276"/>
      <c r="U14" s="277"/>
      <c r="V14" s="277"/>
      <c r="W14" s="277"/>
      <c r="X14" s="277"/>
      <c r="Y14" s="277"/>
      <c r="Z14" t="e">
        <f>VLOOKUP(A14,#REF!,9,FALSE)</f>
        <v>#REF!</v>
      </c>
    </row>
    <row r="15" spans="1:26" ht="15.75" thickBot="1">
      <c r="A15" s="121" t="s">
        <v>1112</v>
      </c>
      <c r="B15" s="102" t="s">
        <v>50</v>
      </c>
      <c r="C15" s="215" t="e">
        <v>#N/A</v>
      </c>
      <c r="D15" s="282"/>
      <c r="E15" s="269" t="s">
        <v>2184</v>
      </c>
      <c r="F15" s="282"/>
      <c r="G15" s="283" t="s">
        <v>2147</v>
      </c>
      <c r="H15" s="230"/>
      <c r="I15" s="230"/>
      <c r="J15" s="45"/>
      <c r="K15" s="204"/>
      <c r="L15" s="204"/>
      <c r="M15" s="204"/>
      <c r="N15" s="284"/>
      <c r="O15" s="285"/>
      <c r="P15" s="274" t="s">
        <v>2185</v>
      </c>
      <c r="Q15" s="275" t="s">
        <v>101</v>
      </c>
      <c r="R15" s="131" t="s">
        <v>2186</v>
      </c>
      <c r="S15" s="131"/>
      <c r="T15" s="276"/>
      <c r="U15" s="277"/>
      <c r="V15" s="277"/>
      <c r="W15" s="277"/>
      <c r="X15" s="277"/>
      <c r="Y15" s="277"/>
      <c r="Z15" t="e">
        <f>VLOOKUP(A15,#REF!,9,FALSE)</f>
        <v>#REF!</v>
      </c>
    </row>
    <row r="16" spans="1:26" ht="15.75" thickBot="1">
      <c r="A16" s="286" t="s">
        <v>2190</v>
      </c>
      <c r="B16" s="102" t="s">
        <v>50</v>
      </c>
      <c r="C16" s="215" t="e">
        <v>#N/A</v>
      </c>
      <c r="D16" s="282"/>
      <c r="E16" s="269" t="s">
        <v>2184</v>
      </c>
      <c r="F16" s="282"/>
      <c r="G16" s="283" t="s">
        <v>2147</v>
      </c>
      <c r="H16" s="230"/>
      <c r="I16" s="230"/>
      <c r="J16" s="45"/>
      <c r="K16" s="204"/>
      <c r="L16" s="204"/>
      <c r="M16" s="204"/>
      <c r="N16" s="284"/>
      <c r="O16" s="285"/>
      <c r="P16" s="274" t="s">
        <v>2185</v>
      </c>
      <c r="Q16" s="275" t="s">
        <v>101</v>
      </c>
      <c r="R16" s="131" t="s">
        <v>2186</v>
      </c>
      <c r="S16" s="131"/>
      <c r="T16" s="276"/>
      <c r="U16" s="277"/>
      <c r="V16" s="277"/>
      <c r="W16" s="277"/>
      <c r="X16" s="277"/>
      <c r="Y16" s="277"/>
      <c r="Z16" t="e">
        <f>VLOOKUP(A16,#REF!,9,FALSE)</f>
        <v>#REF!</v>
      </c>
    </row>
    <row r="17" spans="1:26" ht="15.75" thickBot="1">
      <c r="A17" s="275" t="s">
        <v>959</v>
      </c>
      <c r="B17" s="102" t="s">
        <v>50</v>
      </c>
      <c r="C17" s="215" t="e">
        <v>#N/A</v>
      </c>
      <c r="D17" s="282"/>
      <c r="E17" s="269" t="s">
        <v>2149</v>
      </c>
      <c r="F17" s="282"/>
      <c r="G17" s="283" t="s">
        <v>2147</v>
      </c>
      <c r="H17" s="230"/>
      <c r="I17" s="230"/>
      <c r="J17" s="45"/>
      <c r="K17" s="204"/>
      <c r="L17" s="204"/>
      <c r="M17" s="204"/>
      <c r="N17" s="284"/>
      <c r="O17" s="285"/>
      <c r="P17" s="274"/>
      <c r="Q17" s="275" t="s">
        <v>101</v>
      </c>
      <c r="R17" s="131" t="s">
        <v>2186</v>
      </c>
      <c r="S17" s="131"/>
      <c r="T17" s="276"/>
      <c r="U17" s="277"/>
      <c r="V17" s="277"/>
      <c r="W17" s="277"/>
      <c r="X17" s="277"/>
      <c r="Y17" s="277"/>
      <c r="Z17" t="e">
        <f>VLOOKUP(A17,#REF!,9,FALSE)</f>
        <v>#REF!</v>
      </c>
    </row>
    <row r="18" spans="1:26" ht="15.75" thickBot="1">
      <c r="A18" s="275" t="s">
        <v>930</v>
      </c>
      <c r="B18" s="102" t="s">
        <v>50</v>
      </c>
      <c r="C18" s="215">
        <v>45807</v>
      </c>
      <c r="D18" s="282"/>
      <c r="E18" s="269" t="s">
        <v>2149</v>
      </c>
      <c r="F18" s="282"/>
      <c r="G18" s="283" t="s">
        <v>2147</v>
      </c>
      <c r="H18" s="230"/>
      <c r="I18" s="230"/>
      <c r="J18" s="45"/>
      <c r="K18" s="204"/>
      <c r="L18" s="204"/>
      <c r="M18" s="204"/>
      <c r="N18" s="284"/>
      <c r="O18" s="285"/>
      <c r="P18" s="274" t="s">
        <v>2155</v>
      </c>
      <c r="Q18" s="275"/>
      <c r="R18" s="131" t="s">
        <v>2186</v>
      </c>
      <c r="S18" s="131"/>
      <c r="T18" s="276"/>
      <c r="U18" s="277"/>
      <c r="V18" s="277"/>
      <c r="W18" s="277"/>
      <c r="X18" s="277"/>
      <c r="Y18" s="277"/>
      <c r="Z18" t="e">
        <f>VLOOKUP(A18,#REF!,9,FALSE)</f>
        <v>#REF!</v>
      </c>
    </row>
    <row r="19" spans="1:26" ht="15.75" thickBot="1">
      <c r="A19" s="275" t="s">
        <v>933</v>
      </c>
      <c r="B19" s="102" t="s">
        <v>50</v>
      </c>
      <c r="C19" s="215" t="e">
        <v>#N/A</v>
      </c>
      <c r="D19" s="282"/>
      <c r="E19" s="269" t="s">
        <v>2149</v>
      </c>
      <c r="F19" s="282"/>
      <c r="G19" s="283" t="s">
        <v>2168</v>
      </c>
      <c r="H19" s="230"/>
      <c r="I19" s="230"/>
      <c r="J19" s="45"/>
      <c r="K19" s="204"/>
      <c r="L19" s="204"/>
      <c r="M19" s="204"/>
      <c r="N19" s="284"/>
      <c r="O19" s="285"/>
      <c r="P19" s="274"/>
      <c r="Q19" s="275" t="s">
        <v>2168</v>
      </c>
      <c r="R19" s="131" t="s">
        <v>2186</v>
      </c>
      <c r="S19" s="131"/>
      <c r="T19" s="276"/>
      <c r="U19" s="277"/>
      <c r="V19" s="277"/>
      <c r="W19" s="277"/>
      <c r="X19" s="277"/>
      <c r="Y19" s="277"/>
      <c r="Z19" t="e">
        <f>VLOOKUP(A19,#REF!,9,FALSE)</f>
        <v>#REF!</v>
      </c>
    </row>
    <row r="20" spans="1:26" ht="15.75" thickBot="1">
      <c r="A20" s="275" t="s">
        <v>876</v>
      </c>
      <c r="B20" s="102" t="s">
        <v>50</v>
      </c>
      <c r="C20" s="215" t="e">
        <v>#N/A</v>
      </c>
      <c r="D20" s="282"/>
      <c r="E20" s="269" t="s">
        <v>2149</v>
      </c>
      <c r="F20" s="282"/>
      <c r="G20" s="283" t="s">
        <v>2168</v>
      </c>
      <c r="H20" s="230"/>
      <c r="I20" s="230"/>
      <c r="J20" s="45"/>
      <c r="K20" s="204"/>
      <c r="L20" s="204"/>
      <c r="M20" s="204"/>
      <c r="N20" s="284"/>
      <c r="O20" s="285"/>
      <c r="P20" s="274"/>
      <c r="Q20" s="275" t="s">
        <v>2168</v>
      </c>
      <c r="R20" s="131" t="s">
        <v>2186</v>
      </c>
      <c r="S20" s="131"/>
      <c r="T20" s="276"/>
      <c r="U20" s="277"/>
      <c r="V20" s="277"/>
      <c r="W20" s="277"/>
      <c r="X20" s="277"/>
      <c r="Y20" s="277"/>
      <c r="Z20" t="e">
        <f>VLOOKUP(A20,#REF!,9,FALSE)</f>
        <v>#REF!</v>
      </c>
    </row>
    <row r="21" spans="1:26" s="214" customFormat="1" ht="15.75" thickBot="1">
      <c r="A21" s="262" t="s">
        <v>2164</v>
      </c>
      <c r="B21" s="102" t="e">
        <v>#N/A</v>
      </c>
      <c r="C21" s="231">
        <v>45807</v>
      </c>
      <c r="D21" s="282"/>
      <c r="E21" s="269" t="s">
        <v>2149</v>
      </c>
      <c r="F21" s="282"/>
      <c r="G21" s="283" t="s">
        <v>2147</v>
      </c>
      <c r="H21" s="230"/>
      <c r="I21" s="230"/>
      <c r="J21" s="230"/>
      <c r="K21" s="229"/>
      <c r="L21" s="229"/>
      <c r="M21" s="229"/>
      <c r="N21" s="284"/>
      <c r="O21" s="285"/>
      <c r="P21" s="274"/>
      <c r="Q21" s="225" t="s">
        <v>64</v>
      </c>
      <c r="R21" s="131" t="s">
        <v>2186</v>
      </c>
      <c r="S21" s="228"/>
      <c r="T21" s="227"/>
      <c r="U21" s="226"/>
      <c r="V21" s="226"/>
      <c r="W21" s="226"/>
      <c r="X21" s="226"/>
      <c r="Y21" s="226" t="s">
        <v>2191</v>
      </c>
      <c r="Z21" t="e">
        <f>VLOOKUP(A21,#REF!,9,FALSE)</f>
        <v>#REF!</v>
      </c>
    </row>
    <row r="22" spans="1:26" ht="15.75" thickBot="1">
      <c r="A22" s="275" t="s">
        <v>878</v>
      </c>
      <c r="B22" s="102" t="s">
        <v>50</v>
      </c>
      <c r="C22" s="215" t="e">
        <v>#N/A</v>
      </c>
      <c r="D22" s="282"/>
      <c r="E22" s="269" t="s">
        <v>2149</v>
      </c>
      <c r="F22" s="282"/>
      <c r="G22" s="283" t="s">
        <v>2168</v>
      </c>
      <c r="H22" s="230"/>
      <c r="I22" s="230"/>
      <c r="J22" s="45"/>
      <c r="K22" s="204"/>
      <c r="L22" s="204"/>
      <c r="M22" s="204"/>
      <c r="N22" s="284"/>
      <c r="O22" s="285"/>
      <c r="P22" s="274"/>
      <c r="Q22" s="275" t="s">
        <v>2168</v>
      </c>
      <c r="R22" s="131" t="s">
        <v>2186</v>
      </c>
      <c r="S22" s="131"/>
      <c r="T22" s="276"/>
      <c r="U22" s="277"/>
      <c r="V22" s="277"/>
      <c r="W22" s="277"/>
      <c r="X22" s="277"/>
      <c r="Y22" s="277"/>
      <c r="Z22" t="e">
        <f>VLOOKUP(A22,#REF!,9,FALSE)</f>
        <v>#REF!</v>
      </c>
    </row>
    <row r="23" spans="1:26" ht="15.75" thickBot="1">
      <c r="A23" s="275" t="s">
        <v>861</v>
      </c>
      <c r="B23" s="102" t="s">
        <v>50</v>
      </c>
      <c r="C23" s="215" t="e">
        <v>#N/A</v>
      </c>
      <c r="D23" s="282"/>
      <c r="E23" s="269" t="s">
        <v>2149</v>
      </c>
      <c r="F23" s="282"/>
      <c r="G23" s="283" t="s">
        <v>2147</v>
      </c>
      <c r="H23" s="230"/>
      <c r="I23" s="230"/>
      <c r="J23" s="45"/>
      <c r="K23" s="204"/>
      <c r="L23" s="204"/>
      <c r="M23" s="204"/>
      <c r="N23" s="284"/>
      <c r="O23" s="285"/>
      <c r="P23" s="274"/>
      <c r="Q23" s="275" t="s">
        <v>64</v>
      </c>
      <c r="R23" s="131" t="s">
        <v>2186</v>
      </c>
      <c r="S23" s="131"/>
      <c r="T23" s="276"/>
      <c r="U23" s="277"/>
      <c r="V23" s="277"/>
      <c r="W23" s="277"/>
      <c r="X23" s="277"/>
      <c r="Y23" s="277" t="s">
        <v>2192</v>
      </c>
      <c r="Z23" t="e">
        <f>VLOOKUP(A23,#REF!,9,FALSE)</f>
        <v>#REF!</v>
      </c>
    </row>
    <row r="24" spans="1:26" s="214" customFormat="1" ht="69.599999999999994" customHeight="1" thickBot="1">
      <c r="A24" s="225" t="s">
        <v>2160</v>
      </c>
      <c r="B24" s="232" t="e">
        <v>#N/A</v>
      </c>
      <c r="C24" s="231">
        <v>45716</v>
      </c>
      <c r="D24" s="282"/>
      <c r="E24" s="269" t="s">
        <v>2149</v>
      </c>
      <c r="F24" s="282"/>
      <c r="G24" s="283" t="s">
        <v>2147</v>
      </c>
      <c r="H24" s="230"/>
      <c r="I24" s="230"/>
      <c r="J24" s="230"/>
      <c r="K24" s="229"/>
      <c r="L24" s="229"/>
      <c r="M24" s="229"/>
      <c r="N24" s="284"/>
      <c r="O24" s="285"/>
      <c r="P24" s="274" t="s">
        <v>2161</v>
      </c>
      <c r="Q24" s="225" t="s">
        <v>64</v>
      </c>
      <c r="R24" s="131" t="s">
        <v>2186</v>
      </c>
      <c r="S24" s="228"/>
      <c r="T24" s="227"/>
      <c r="U24" s="226"/>
      <c r="V24" s="226"/>
      <c r="W24" s="226"/>
      <c r="X24" s="226"/>
      <c r="Y24" s="226" t="s">
        <v>2192</v>
      </c>
      <c r="Z24" t="e">
        <f>VLOOKUP(A24,#REF!,9,FALSE)</f>
        <v>#REF!</v>
      </c>
    </row>
    <row r="25" spans="1:26" ht="15.75" thickBot="1">
      <c r="A25" s="275" t="s">
        <v>865</v>
      </c>
      <c r="B25" s="102" t="s">
        <v>50</v>
      </c>
      <c r="C25" s="215">
        <v>45772</v>
      </c>
      <c r="D25" s="282"/>
      <c r="E25" s="269" t="s">
        <v>2149</v>
      </c>
      <c r="F25" s="282"/>
      <c r="G25" s="283" t="s">
        <v>2147</v>
      </c>
      <c r="H25" s="230"/>
      <c r="I25" s="230"/>
      <c r="J25" s="45"/>
      <c r="K25" s="204"/>
      <c r="L25" s="204"/>
      <c r="M25" s="204"/>
      <c r="N25" s="284"/>
      <c r="O25" s="285"/>
      <c r="P25" s="274" t="s">
        <v>2161</v>
      </c>
      <c r="Q25" s="275" t="s">
        <v>64</v>
      </c>
      <c r="R25" s="131" t="s">
        <v>2186</v>
      </c>
      <c r="S25" s="131"/>
      <c r="T25" s="276"/>
      <c r="U25" s="277"/>
      <c r="V25" s="277"/>
      <c r="W25" s="277"/>
      <c r="X25" s="277"/>
      <c r="Y25" s="277"/>
      <c r="Z25" t="e">
        <f>VLOOKUP(A25,#REF!,9,FALSE)</f>
        <v>#REF!</v>
      </c>
    </row>
    <row r="26" spans="1:26" ht="15.75" thickBot="1">
      <c r="A26" s="275" t="s">
        <v>868</v>
      </c>
      <c r="B26" s="102" t="s">
        <v>50</v>
      </c>
      <c r="C26" s="215">
        <v>45772</v>
      </c>
      <c r="D26" s="282"/>
      <c r="E26" s="269" t="s">
        <v>2149</v>
      </c>
      <c r="F26" s="282"/>
      <c r="G26" s="283" t="s">
        <v>2147</v>
      </c>
      <c r="H26" s="230"/>
      <c r="I26" s="230"/>
      <c r="J26" s="45"/>
      <c r="K26" s="204"/>
      <c r="L26" s="204"/>
      <c r="M26" s="204"/>
      <c r="N26" s="284"/>
      <c r="O26" s="285"/>
      <c r="P26" s="274" t="s">
        <v>2161</v>
      </c>
      <c r="Q26" s="275" t="s">
        <v>64</v>
      </c>
      <c r="R26" s="131" t="s">
        <v>2186</v>
      </c>
      <c r="S26" s="131"/>
      <c r="T26" s="276"/>
      <c r="U26" s="277"/>
      <c r="V26" s="277"/>
      <c r="W26" s="277"/>
      <c r="X26" s="277"/>
      <c r="Y26" s="277"/>
      <c r="Z26" t="e">
        <f>VLOOKUP(A26,#REF!,9,FALSE)</f>
        <v>#REF!</v>
      </c>
    </row>
    <row r="27" spans="1:26" ht="15.75" thickBot="1">
      <c r="A27" s="275" t="s">
        <v>1038</v>
      </c>
      <c r="B27" s="102" t="s">
        <v>50</v>
      </c>
      <c r="C27" s="215">
        <v>45772</v>
      </c>
      <c r="D27" s="282"/>
      <c r="E27" s="269" t="s">
        <v>2149</v>
      </c>
      <c r="F27" s="282"/>
      <c r="G27" s="283" t="s">
        <v>2147</v>
      </c>
      <c r="H27" s="230"/>
      <c r="I27" s="230"/>
      <c r="J27" s="45"/>
      <c r="K27" s="204"/>
      <c r="L27" s="204"/>
      <c r="M27" s="204"/>
      <c r="N27" s="284"/>
      <c r="O27" s="285"/>
      <c r="P27" s="274" t="s">
        <v>2161</v>
      </c>
      <c r="Q27" s="275" t="s">
        <v>64</v>
      </c>
      <c r="R27" s="131" t="s">
        <v>2186</v>
      </c>
      <c r="S27" s="131"/>
      <c r="T27" s="276"/>
      <c r="U27" s="277"/>
      <c r="V27" s="277"/>
      <c r="W27" s="277"/>
      <c r="X27" s="277"/>
      <c r="Y27" s="277"/>
      <c r="Z27" t="e">
        <f>VLOOKUP(A27,#REF!,9,FALSE)</f>
        <v>#REF!</v>
      </c>
    </row>
    <row r="28" spans="1:26" ht="70.150000000000006" customHeight="1" thickBot="1">
      <c r="A28" s="225" t="s">
        <v>2163</v>
      </c>
      <c r="B28" s="232"/>
      <c r="C28" s="231"/>
      <c r="D28" s="282"/>
      <c r="E28" s="269" t="s">
        <v>2149</v>
      </c>
      <c r="F28" s="282"/>
      <c r="G28" s="283" t="s">
        <v>2147</v>
      </c>
      <c r="H28" s="230"/>
      <c r="I28" s="230"/>
      <c r="J28" s="230"/>
      <c r="K28" s="229"/>
      <c r="L28" s="229"/>
      <c r="M28" s="229"/>
      <c r="N28" s="284"/>
      <c r="O28" s="285"/>
      <c r="P28" s="274" t="s">
        <v>2161</v>
      </c>
      <c r="Q28" s="225" t="s">
        <v>64</v>
      </c>
      <c r="R28" s="131" t="s">
        <v>2186</v>
      </c>
      <c r="S28" s="228"/>
      <c r="T28" s="227"/>
      <c r="U28" s="226"/>
      <c r="V28" s="226"/>
      <c r="W28" s="226"/>
      <c r="X28" s="226"/>
      <c r="Y28" s="288" t="s">
        <v>2193</v>
      </c>
      <c r="Z28" t="e">
        <f>VLOOKUP(A28,#REF!,9,FALSE)</f>
        <v>#REF!</v>
      </c>
    </row>
    <row r="29" spans="1:26" s="214" customFormat="1" ht="69.599999999999994" customHeight="1" thickBot="1">
      <c r="A29" s="225" t="s">
        <v>2166</v>
      </c>
      <c r="B29" s="232" t="e">
        <v>#N/A</v>
      </c>
      <c r="C29" s="231" t="e">
        <v>#N/A</v>
      </c>
      <c r="D29" s="282"/>
      <c r="E29" s="269" t="s">
        <v>2149</v>
      </c>
      <c r="F29" s="282"/>
      <c r="G29" s="283" t="s">
        <v>2147</v>
      </c>
      <c r="H29" s="230"/>
      <c r="I29" s="230"/>
      <c r="J29" s="230"/>
      <c r="K29" s="229"/>
      <c r="L29" s="229"/>
      <c r="M29" s="229"/>
      <c r="N29" s="284"/>
      <c r="O29" s="285"/>
      <c r="P29" s="274"/>
      <c r="Q29" s="220" t="s">
        <v>64</v>
      </c>
      <c r="R29" s="131" t="s">
        <v>2186</v>
      </c>
      <c r="S29" s="228"/>
      <c r="T29" s="227"/>
      <c r="U29" s="226"/>
      <c r="V29" s="226"/>
      <c r="W29" s="226"/>
      <c r="X29" s="226"/>
      <c r="Y29" s="226" t="s">
        <v>2193</v>
      </c>
      <c r="Z29" t="e">
        <f>VLOOKUP(A29,#REF!,9,FALSE)</f>
        <v>#REF!</v>
      </c>
    </row>
    <row r="30" spans="1:26" ht="15.75" thickBot="1">
      <c r="A30" s="275" t="s">
        <v>896</v>
      </c>
      <c r="B30" s="102" t="s">
        <v>50</v>
      </c>
      <c r="C30" s="215">
        <v>45772</v>
      </c>
      <c r="D30" s="282"/>
      <c r="E30" s="269" t="s">
        <v>2149</v>
      </c>
      <c r="F30" s="282"/>
      <c r="G30" s="283" t="s">
        <v>2168</v>
      </c>
      <c r="H30" s="230"/>
      <c r="I30" s="230"/>
      <c r="J30" s="45"/>
      <c r="K30" s="204"/>
      <c r="L30" s="204"/>
      <c r="M30" s="204"/>
      <c r="N30" s="284"/>
      <c r="O30" s="285"/>
      <c r="P30" s="274"/>
      <c r="Q30" s="275" t="s">
        <v>2168</v>
      </c>
      <c r="R30" s="131" t="s">
        <v>2186</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2149</v>
      </c>
      <c r="F31" s="289"/>
      <c r="G31" s="290" t="s">
        <v>2168</v>
      </c>
      <c r="H31" s="222"/>
      <c r="I31" s="222"/>
      <c r="J31" s="236"/>
      <c r="K31" s="237"/>
      <c r="L31" s="237"/>
      <c r="M31" s="237"/>
      <c r="N31" s="222"/>
      <c r="O31" s="291"/>
      <c r="P31" s="274"/>
      <c r="Q31" s="233" t="s">
        <v>2168</v>
      </c>
      <c r="R31" s="131" t="s">
        <v>2186</v>
      </c>
      <c r="S31" s="238"/>
      <c r="T31" s="239"/>
      <c r="U31" s="240"/>
      <c r="V31" s="240"/>
      <c r="W31" s="240"/>
      <c r="X31" s="240"/>
      <c r="Y31" s="240" t="s">
        <v>2194</v>
      </c>
      <c r="Z31" t="e">
        <f>VLOOKUP(A31,#REF!,9,FALSE)</f>
        <v>#REF!</v>
      </c>
    </row>
    <row r="32" spans="1:26" ht="15.75" thickBot="1">
      <c r="A32" s="275" t="s">
        <v>900</v>
      </c>
      <c r="B32" s="102" t="s">
        <v>50</v>
      </c>
      <c r="C32" s="215">
        <v>45772</v>
      </c>
      <c r="D32" s="282"/>
      <c r="E32" s="269" t="s">
        <v>2149</v>
      </c>
      <c r="F32" s="282"/>
      <c r="G32" s="283" t="s">
        <v>2168</v>
      </c>
      <c r="H32" s="230"/>
      <c r="I32" s="230"/>
      <c r="J32" s="45"/>
      <c r="K32" s="204"/>
      <c r="L32" s="204"/>
      <c r="M32" s="204"/>
      <c r="N32" s="284"/>
      <c r="O32" s="285"/>
      <c r="P32" s="274"/>
      <c r="Q32" s="275" t="s">
        <v>2168</v>
      </c>
      <c r="R32" s="131" t="s">
        <v>2186</v>
      </c>
      <c r="S32" s="131"/>
      <c r="T32" s="276"/>
      <c r="U32" s="277"/>
      <c r="V32" s="277"/>
      <c r="W32" s="277"/>
      <c r="X32" s="277"/>
      <c r="Y32" s="277"/>
      <c r="Z32" t="e">
        <f>VLOOKUP(A32,#REF!,9,FALSE)</f>
        <v>#REF!</v>
      </c>
    </row>
    <row r="33" spans="1:26" ht="15.75" thickBot="1">
      <c r="A33" s="275" t="s">
        <v>888</v>
      </c>
      <c r="B33" s="102" t="s">
        <v>50</v>
      </c>
      <c r="C33" s="215">
        <v>45831</v>
      </c>
      <c r="D33" s="282"/>
      <c r="E33" s="269" t="s">
        <v>2149</v>
      </c>
      <c r="F33" s="282"/>
      <c r="G33" s="283" t="s">
        <v>2147</v>
      </c>
      <c r="H33" s="230"/>
      <c r="I33" s="230"/>
      <c r="J33" s="45"/>
      <c r="K33" s="204"/>
      <c r="L33" s="204"/>
      <c r="M33" s="204"/>
      <c r="N33" s="284"/>
      <c r="O33" s="285"/>
      <c r="P33" s="274"/>
      <c r="Q33" s="225" t="s">
        <v>64</v>
      </c>
      <c r="R33" s="131" t="s">
        <v>2186</v>
      </c>
      <c r="S33" s="131"/>
      <c r="T33" s="276"/>
      <c r="U33" s="277"/>
      <c r="V33" s="277"/>
      <c r="W33" s="277"/>
      <c r="X33" s="277"/>
      <c r="Y33" s="277"/>
      <c r="Z33" t="e">
        <f>VLOOKUP(A33,#REF!,9,FALSE)</f>
        <v>#REF!</v>
      </c>
    </row>
    <row r="34" spans="1:26" ht="15.75" thickBot="1">
      <c r="A34" s="275" t="s">
        <v>882</v>
      </c>
      <c r="B34" s="102" t="s">
        <v>50</v>
      </c>
      <c r="C34" s="215">
        <v>45831</v>
      </c>
      <c r="D34" s="282"/>
      <c r="E34" s="269" t="s">
        <v>2149</v>
      </c>
      <c r="F34" s="282"/>
      <c r="G34" s="283" t="s">
        <v>2147</v>
      </c>
      <c r="H34" s="230"/>
      <c r="I34" s="230"/>
      <c r="J34" s="45"/>
      <c r="K34" s="204"/>
      <c r="L34" s="204"/>
      <c r="M34" s="204"/>
      <c r="N34" s="284"/>
      <c r="O34" s="285"/>
      <c r="P34" s="274"/>
      <c r="Q34" s="275" t="s">
        <v>64</v>
      </c>
      <c r="R34" s="131" t="s">
        <v>2186</v>
      </c>
      <c r="S34" s="131"/>
      <c r="T34" s="276"/>
      <c r="U34" s="277"/>
      <c r="V34" s="277"/>
      <c r="W34" s="277"/>
      <c r="X34" s="277"/>
      <c r="Y34" s="277"/>
      <c r="Z34" t="e">
        <f>VLOOKUP(A34,#REF!,9,FALSE)</f>
        <v>#REF!</v>
      </c>
    </row>
    <row r="35" spans="1:26" ht="15.75" thickBot="1">
      <c r="A35" s="275" t="s">
        <v>884</v>
      </c>
      <c r="B35" s="102" t="s">
        <v>50</v>
      </c>
      <c r="C35" s="215">
        <v>45831</v>
      </c>
      <c r="D35" s="282"/>
      <c r="E35" s="269" t="s">
        <v>2149</v>
      </c>
      <c r="F35" s="282"/>
      <c r="G35" s="283" t="s">
        <v>2147</v>
      </c>
      <c r="H35" s="230"/>
      <c r="I35" s="230"/>
      <c r="J35" s="45"/>
      <c r="K35" s="204"/>
      <c r="L35" s="204"/>
      <c r="M35" s="204"/>
      <c r="N35" s="284"/>
      <c r="O35" s="285"/>
      <c r="P35" s="274"/>
      <c r="Q35" s="275" t="s">
        <v>64</v>
      </c>
      <c r="R35" s="131" t="s">
        <v>2186</v>
      </c>
      <c r="S35" s="131"/>
      <c r="T35" s="276"/>
      <c r="U35" s="277"/>
      <c r="V35" s="277"/>
      <c r="W35" s="277"/>
      <c r="X35" s="277"/>
      <c r="Y35" s="277"/>
      <c r="Z35" t="e">
        <f>VLOOKUP(A35,#REF!,9,FALSE)</f>
        <v>#REF!</v>
      </c>
    </row>
    <row r="36" spans="1:26" ht="15.75" thickBot="1">
      <c r="A36" s="275" t="s">
        <v>880</v>
      </c>
      <c r="B36" s="102" t="s">
        <v>50</v>
      </c>
      <c r="C36" s="215">
        <v>45772</v>
      </c>
      <c r="D36" s="282"/>
      <c r="E36" s="269" t="s">
        <v>2149</v>
      </c>
      <c r="F36" s="282"/>
      <c r="G36" s="283" t="s">
        <v>2168</v>
      </c>
      <c r="H36" s="230"/>
      <c r="I36" s="230"/>
      <c r="J36" s="45"/>
      <c r="K36" s="204"/>
      <c r="L36" s="204"/>
      <c r="M36" s="204"/>
      <c r="N36" s="284"/>
      <c r="O36" s="285"/>
      <c r="P36" s="274"/>
      <c r="Q36" s="275" t="s">
        <v>2168</v>
      </c>
      <c r="R36" s="131" t="s">
        <v>2186</v>
      </c>
      <c r="S36" s="131"/>
      <c r="T36" s="276"/>
      <c r="U36" s="277"/>
      <c r="V36" s="277"/>
      <c r="W36" s="277"/>
      <c r="X36" s="277"/>
      <c r="Y36" s="277"/>
      <c r="Z36" t="e">
        <f>VLOOKUP(A36,#REF!,9,FALSE)</f>
        <v>#REF!</v>
      </c>
    </row>
    <row r="37" spans="1:26" ht="15.75" thickBot="1">
      <c r="A37" s="275" t="s">
        <v>890</v>
      </c>
      <c r="B37" s="102" t="s">
        <v>50</v>
      </c>
      <c r="C37" s="215">
        <v>45831</v>
      </c>
      <c r="D37" s="282"/>
      <c r="E37" s="269" t="s">
        <v>2149</v>
      </c>
      <c r="F37" s="282"/>
      <c r="G37" s="283" t="s">
        <v>2147</v>
      </c>
      <c r="H37" s="230"/>
      <c r="I37" s="230"/>
      <c r="J37" s="45"/>
      <c r="K37" s="204"/>
      <c r="L37" s="204"/>
      <c r="M37" s="204"/>
      <c r="N37" s="284"/>
      <c r="O37" s="285"/>
      <c r="P37" s="274"/>
      <c r="Q37" s="275" t="s">
        <v>64</v>
      </c>
      <c r="R37" s="131" t="s">
        <v>2186</v>
      </c>
      <c r="S37" s="131"/>
      <c r="T37" s="276"/>
      <c r="U37" s="277"/>
      <c r="V37" s="277"/>
      <c r="W37" s="277"/>
      <c r="X37" s="277"/>
      <c r="Y37" s="277"/>
      <c r="Z37" t="e">
        <f>VLOOKUP(A37,#REF!,9,FALSE)</f>
        <v>#REF!</v>
      </c>
    </row>
    <row r="38" spans="1:26" ht="15.75" thickBot="1">
      <c r="A38" s="275" t="s">
        <v>894</v>
      </c>
      <c r="B38" s="102" t="s">
        <v>50</v>
      </c>
      <c r="C38" s="215">
        <v>45831</v>
      </c>
      <c r="D38" s="282"/>
      <c r="E38" s="269" t="s">
        <v>2149</v>
      </c>
      <c r="F38" s="282"/>
      <c r="G38" s="283" t="s">
        <v>2147</v>
      </c>
      <c r="H38" s="230"/>
      <c r="I38" s="230"/>
      <c r="J38" s="45"/>
      <c r="K38" s="204"/>
      <c r="L38" s="204"/>
      <c r="M38" s="204"/>
      <c r="N38" s="284"/>
      <c r="O38" s="285"/>
      <c r="P38" s="274"/>
      <c r="Q38" s="275" t="s">
        <v>64</v>
      </c>
      <c r="R38" s="131" t="s">
        <v>2186</v>
      </c>
      <c r="S38" s="131"/>
      <c r="T38" s="276"/>
      <c r="U38" s="277"/>
      <c r="V38" s="277"/>
      <c r="W38" s="277"/>
      <c r="X38" s="277"/>
      <c r="Y38" s="277"/>
      <c r="Z38" t="e">
        <f>VLOOKUP(A38,#REF!,9,FALSE)</f>
        <v>#REF!</v>
      </c>
    </row>
    <row r="39" spans="1:26" s="216" customFormat="1" ht="70.150000000000006" customHeight="1" thickBot="1">
      <c r="A39" s="220" t="s">
        <v>2169</v>
      </c>
      <c r="B39" s="224" t="e">
        <v>#N/A</v>
      </c>
      <c r="C39" s="223" t="e">
        <v>#N/A</v>
      </c>
      <c r="D39" s="289"/>
      <c r="E39" s="269" t="s">
        <v>2149</v>
      </c>
      <c r="F39" s="289"/>
      <c r="G39" s="290" t="s">
        <v>2168</v>
      </c>
      <c r="H39" s="222"/>
      <c r="I39" s="222"/>
      <c r="J39" s="222"/>
      <c r="K39" s="221"/>
      <c r="L39" s="221"/>
      <c r="M39" s="221"/>
      <c r="N39" s="222"/>
      <c r="O39" s="291"/>
      <c r="P39" s="274"/>
      <c r="Q39" s="220" t="s">
        <v>2168</v>
      </c>
      <c r="R39" s="131" t="s">
        <v>2186</v>
      </c>
      <c r="S39" s="219"/>
      <c r="T39" s="218"/>
      <c r="U39" s="217"/>
      <c r="V39" s="217"/>
      <c r="W39" s="217"/>
      <c r="X39" s="217"/>
      <c r="Y39" s="217" t="s">
        <v>2193</v>
      </c>
      <c r="Z39" t="e">
        <f>VLOOKUP(A39,#REF!,9,FALSE)</f>
        <v>#REF!</v>
      </c>
    </row>
    <row r="40" spans="1:26" ht="15.75" thickBot="1">
      <c r="A40" s="275" t="s">
        <v>898</v>
      </c>
      <c r="B40" s="102" t="s">
        <v>50</v>
      </c>
      <c r="C40" s="215">
        <v>45831</v>
      </c>
      <c r="D40" s="282"/>
      <c r="E40" s="269" t="s">
        <v>2149</v>
      </c>
      <c r="F40" s="282"/>
      <c r="G40" s="283" t="s">
        <v>2147</v>
      </c>
      <c r="H40" s="230"/>
      <c r="I40" s="230"/>
      <c r="J40" s="45"/>
      <c r="K40" s="204"/>
      <c r="L40" s="204"/>
      <c r="M40" s="204"/>
      <c r="N40" s="284"/>
      <c r="O40" s="285"/>
      <c r="P40" s="274"/>
      <c r="Q40" s="275" t="s">
        <v>64</v>
      </c>
      <c r="R40" s="131" t="s">
        <v>2186</v>
      </c>
      <c r="S40" s="131"/>
      <c r="T40" s="276"/>
      <c r="U40" s="277"/>
      <c r="V40" s="277"/>
      <c r="W40" s="277"/>
      <c r="X40" s="277"/>
      <c r="Y40" s="277"/>
      <c r="Z40" t="e">
        <f>VLOOKUP(A40,#REF!,9,FALSE)</f>
        <v>#REF!</v>
      </c>
    </row>
    <row r="41" spans="1:26" ht="15.75" thickBot="1">
      <c r="A41" s="275" t="s">
        <v>88</v>
      </c>
      <c r="B41" s="102" t="s">
        <v>50</v>
      </c>
      <c r="C41" s="215">
        <v>45807</v>
      </c>
      <c r="D41" s="282"/>
      <c r="E41" s="269" t="s">
        <v>2184</v>
      </c>
      <c r="F41" s="282"/>
      <c r="G41" s="283" t="s">
        <v>2147</v>
      </c>
      <c r="H41" s="230"/>
      <c r="I41" s="230"/>
      <c r="J41" s="45"/>
      <c r="K41" s="204"/>
      <c r="L41" s="204"/>
      <c r="M41" s="204"/>
      <c r="N41" s="284"/>
      <c r="O41" s="285"/>
      <c r="P41" s="274" t="s">
        <v>2185</v>
      </c>
      <c r="Q41" s="275" t="s">
        <v>58</v>
      </c>
      <c r="R41" s="131" t="s">
        <v>2186</v>
      </c>
      <c r="S41" s="131"/>
      <c r="T41" s="276"/>
      <c r="U41" s="277"/>
      <c r="V41" s="277"/>
      <c r="W41" s="277"/>
      <c r="X41" s="277"/>
      <c r="Y41" s="277"/>
      <c r="Z41" t="e">
        <f>VLOOKUP(A41,#REF!,9,FALSE)</f>
        <v>#REF!</v>
      </c>
    </row>
    <row r="42" spans="1:26" ht="15.75" thickBot="1">
      <c r="A42" s="275" t="s">
        <v>83</v>
      </c>
      <c r="B42" s="102" t="s">
        <v>50</v>
      </c>
      <c r="C42" s="215">
        <v>45807</v>
      </c>
      <c r="D42" s="282"/>
      <c r="E42" s="269" t="s">
        <v>2184</v>
      </c>
      <c r="F42" s="282"/>
      <c r="G42" s="283" t="s">
        <v>2147</v>
      </c>
      <c r="H42" s="230"/>
      <c r="I42" s="230"/>
      <c r="J42" s="45"/>
      <c r="K42" s="204"/>
      <c r="L42" s="204"/>
      <c r="M42" s="204"/>
      <c r="N42" s="284"/>
      <c r="O42" s="285"/>
      <c r="P42" s="274" t="s">
        <v>2185</v>
      </c>
      <c r="Q42" s="275" t="s">
        <v>64</v>
      </c>
      <c r="R42" s="131" t="s">
        <v>2186</v>
      </c>
      <c r="S42" s="131"/>
      <c r="T42" s="276"/>
      <c r="U42" s="277"/>
      <c r="V42" s="277"/>
      <c r="W42" s="277"/>
      <c r="X42" s="277"/>
      <c r="Y42" s="277"/>
      <c r="Z42" t="e">
        <f>VLOOKUP(A42,#REF!,9,FALSE)</f>
        <v>#REF!</v>
      </c>
    </row>
    <row r="43" spans="1:26" ht="15.75" thickBot="1">
      <c r="A43" s="275" t="s">
        <v>519</v>
      </c>
      <c r="B43" s="102" t="s">
        <v>50</v>
      </c>
      <c r="C43" s="215">
        <v>45807</v>
      </c>
      <c r="D43" s="282"/>
      <c r="E43" s="269" t="s">
        <v>2184</v>
      </c>
      <c r="F43" s="282"/>
      <c r="G43" s="283" t="s">
        <v>2147</v>
      </c>
      <c r="H43" s="230"/>
      <c r="I43" s="230"/>
      <c r="J43" s="45"/>
      <c r="K43" s="204"/>
      <c r="L43" s="204"/>
      <c r="M43" s="204"/>
      <c r="N43" s="284"/>
      <c r="O43" s="285"/>
      <c r="P43" s="274" t="s">
        <v>2185</v>
      </c>
      <c r="Q43" s="275" t="s">
        <v>58</v>
      </c>
      <c r="R43" s="131" t="s">
        <v>2186</v>
      </c>
      <c r="S43" s="131"/>
      <c r="T43" s="276"/>
      <c r="U43" s="277"/>
      <c r="V43" s="277"/>
      <c r="W43" s="277"/>
      <c r="X43" s="277"/>
      <c r="Y43" s="277"/>
      <c r="Z43" t="e">
        <f>VLOOKUP(A43,#REF!,9,FALSE)</f>
        <v>#REF!</v>
      </c>
    </row>
    <row r="44" spans="1:26" ht="15.75" thickBot="1">
      <c r="A44" s="275" t="s">
        <v>80</v>
      </c>
      <c r="B44" s="102" t="s">
        <v>50</v>
      </c>
      <c r="C44" s="215">
        <v>45807</v>
      </c>
      <c r="D44" s="282"/>
      <c r="E44" s="269" t="s">
        <v>2184</v>
      </c>
      <c r="F44" s="282"/>
      <c r="G44" s="283" t="s">
        <v>2147</v>
      </c>
      <c r="H44" s="230"/>
      <c r="I44" s="230"/>
      <c r="J44" s="45"/>
      <c r="K44" s="204"/>
      <c r="L44" s="204"/>
      <c r="M44" s="204"/>
      <c r="N44" s="284"/>
      <c r="O44" s="285"/>
      <c r="P44" s="274" t="s">
        <v>2155</v>
      </c>
      <c r="Q44" s="275" t="s">
        <v>64</v>
      </c>
      <c r="R44" s="131" t="s">
        <v>2186</v>
      </c>
      <c r="S44" s="131"/>
      <c r="T44" s="276"/>
      <c r="U44" s="277"/>
      <c r="V44" s="277"/>
      <c r="W44" s="277"/>
      <c r="X44" s="277"/>
      <c r="Y44" s="277"/>
      <c r="Z44" t="e">
        <f>VLOOKUP(A44,#REF!,9,FALSE)</f>
        <v>#REF!</v>
      </c>
    </row>
    <row r="45" spans="1:26" ht="15.75" thickBot="1">
      <c r="A45" s="335" t="s">
        <v>667</v>
      </c>
      <c r="B45" s="102" t="s">
        <v>50</v>
      </c>
      <c r="C45" s="215">
        <v>45807</v>
      </c>
      <c r="D45" s="282"/>
      <c r="E45" s="269" t="s">
        <v>2149</v>
      </c>
      <c r="F45" s="282"/>
      <c r="G45" s="283" t="s">
        <v>2147</v>
      </c>
      <c r="H45" s="230"/>
      <c r="I45" s="230"/>
      <c r="J45" s="45"/>
      <c r="K45" s="204"/>
      <c r="L45" s="204"/>
      <c r="M45" s="204"/>
      <c r="N45" s="284"/>
      <c r="O45" s="285"/>
      <c r="P45" s="274"/>
      <c r="Q45" s="275" t="s">
        <v>58</v>
      </c>
      <c r="R45" s="131" t="s">
        <v>2186</v>
      </c>
      <c r="S45" s="131"/>
      <c r="T45" s="276"/>
      <c r="U45" s="277"/>
      <c r="V45" s="277"/>
      <c r="W45" s="277"/>
      <c r="X45" s="277"/>
      <c r="Y45" s="277"/>
      <c r="Z45" t="e">
        <f>VLOOKUP(A45,#REF!,9,FALSE)</f>
        <v>#REF!</v>
      </c>
    </row>
    <row r="46" spans="1:26" ht="15.75" thickBot="1">
      <c r="A46" s="292" t="s">
        <v>669</v>
      </c>
      <c r="B46" s="102" t="s">
        <v>50</v>
      </c>
      <c r="C46" s="215">
        <v>45807</v>
      </c>
      <c r="D46" s="282"/>
      <c r="E46" s="269" t="s">
        <v>2149</v>
      </c>
      <c r="F46" s="282"/>
      <c r="G46" s="290" t="s">
        <v>2147</v>
      </c>
      <c r="H46" s="230"/>
      <c r="I46" s="230"/>
      <c r="J46" s="45"/>
      <c r="K46" s="204"/>
      <c r="L46" s="204"/>
      <c r="M46" s="204"/>
      <c r="N46" s="284"/>
      <c r="O46" s="285"/>
      <c r="P46" s="274"/>
      <c r="Q46" s="275" t="s">
        <v>58</v>
      </c>
      <c r="R46" s="131" t="s">
        <v>2186</v>
      </c>
      <c r="S46" s="131"/>
      <c r="T46" s="276"/>
      <c r="U46" s="277"/>
      <c r="V46" s="277"/>
      <c r="W46" s="277"/>
      <c r="X46" s="277"/>
      <c r="Y46" s="277"/>
      <c r="Z46" t="e">
        <f>VLOOKUP(A46,#REF!,9,FALSE)</f>
        <v>#REF!</v>
      </c>
    </row>
    <row r="47" spans="1:26" ht="15.75" thickBot="1">
      <c r="A47" s="293" t="s">
        <v>174</v>
      </c>
      <c r="B47" s="102" t="s">
        <v>50</v>
      </c>
      <c r="C47" s="215">
        <v>45807</v>
      </c>
      <c r="D47" s="282"/>
      <c r="E47" s="269" t="s">
        <v>2149</v>
      </c>
      <c r="F47" s="282"/>
      <c r="G47" s="283" t="s">
        <v>2147</v>
      </c>
      <c r="H47" s="230"/>
      <c r="I47" s="230"/>
      <c r="J47" s="45"/>
      <c r="K47" s="204"/>
      <c r="L47" s="204"/>
      <c r="M47" s="204"/>
      <c r="N47" s="284"/>
      <c r="O47" s="285"/>
      <c r="P47" s="274" t="s">
        <v>2158</v>
      </c>
      <c r="Q47" s="275" t="s">
        <v>58</v>
      </c>
      <c r="R47" s="131" t="s">
        <v>2189</v>
      </c>
      <c r="S47" s="131"/>
      <c r="T47" s="276"/>
      <c r="U47" s="277"/>
      <c r="V47" s="277"/>
      <c r="W47" s="277"/>
      <c r="X47" s="277"/>
      <c r="Y47" s="277"/>
      <c r="Z47" t="e">
        <f>VLOOKUP(A47,#REF!,9,FALSE)</f>
        <v>#REF!</v>
      </c>
    </row>
    <row r="48" spans="1:26" ht="15.75" thickBot="1">
      <c r="A48" s="292" t="s">
        <v>718</v>
      </c>
      <c r="B48" s="102" t="s">
        <v>50</v>
      </c>
      <c r="C48" s="215">
        <v>45807</v>
      </c>
      <c r="D48" s="282"/>
      <c r="E48" s="269" t="s">
        <v>2149</v>
      </c>
      <c r="F48" s="282"/>
      <c r="G48" s="290" t="s">
        <v>2168</v>
      </c>
      <c r="H48" s="230"/>
      <c r="I48" s="230"/>
      <c r="J48" s="45"/>
      <c r="K48" s="204"/>
      <c r="L48" s="204"/>
      <c r="M48" s="204"/>
      <c r="N48" s="284"/>
      <c r="O48" s="285"/>
      <c r="P48" s="274" t="s">
        <v>2195</v>
      </c>
      <c r="Q48" s="275" t="s">
        <v>2168</v>
      </c>
      <c r="R48" s="131" t="s">
        <v>2186</v>
      </c>
      <c r="S48" s="131"/>
      <c r="T48" s="276"/>
      <c r="U48" s="277"/>
      <c r="V48" s="277"/>
      <c r="W48" s="277"/>
      <c r="X48" s="277"/>
      <c r="Y48" s="277"/>
      <c r="Z48" t="e">
        <f>VLOOKUP(A48,#REF!,9,FALSE)</f>
        <v>#REF!</v>
      </c>
    </row>
    <row r="49" spans="1:26" ht="15.75" thickBot="1">
      <c r="A49" s="292" t="s">
        <v>712</v>
      </c>
      <c r="B49" s="102" t="s">
        <v>109</v>
      </c>
      <c r="C49" s="215">
        <v>45772</v>
      </c>
      <c r="D49" s="282"/>
      <c r="E49" s="269" t="s">
        <v>2149</v>
      </c>
      <c r="F49" s="282"/>
      <c r="G49" s="290" t="s">
        <v>2168</v>
      </c>
      <c r="H49" s="230"/>
      <c r="I49" s="230"/>
      <c r="J49" s="45"/>
      <c r="K49" s="204"/>
      <c r="L49" s="204"/>
      <c r="M49" s="204"/>
      <c r="N49" s="284"/>
      <c r="O49" s="285"/>
      <c r="P49" s="274" t="s">
        <v>2195</v>
      </c>
      <c r="Q49" s="275" t="s">
        <v>2168</v>
      </c>
      <c r="R49" s="131" t="s">
        <v>2186</v>
      </c>
      <c r="S49" s="131"/>
      <c r="T49" s="276"/>
      <c r="U49" s="277"/>
      <c r="V49" s="277"/>
      <c r="W49" s="277"/>
      <c r="X49" s="277"/>
      <c r="Y49" s="277"/>
      <c r="Z49" t="e">
        <f>VLOOKUP(A49,#REF!,9,FALSE)</f>
        <v>#REF!</v>
      </c>
    </row>
    <row r="50" spans="1:26" ht="15.75" thickBot="1">
      <c r="A50" s="292" t="s">
        <v>710</v>
      </c>
      <c r="B50" s="102" t="s">
        <v>109</v>
      </c>
      <c r="C50" s="215">
        <v>45772</v>
      </c>
      <c r="D50" s="282"/>
      <c r="E50" s="269" t="s">
        <v>2149</v>
      </c>
      <c r="F50" s="282"/>
      <c r="G50" s="290" t="s">
        <v>2168</v>
      </c>
      <c r="H50" s="230"/>
      <c r="I50" s="230"/>
      <c r="J50" s="45"/>
      <c r="K50" s="204"/>
      <c r="L50" s="204"/>
      <c r="M50" s="204"/>
      <c r="N50" s="284"/>
      <c r="O50" s="285"/>
      <c r="P50" s="274" t="s">
        <v>2195</v>
      </c>
      <c r="Q50" s="275" t="s">
        <v>2168</v>
      </c>
      <c r="R50" s="131" t="s">
        <v>2186</v>
      </c>
      <c r="S50" s="131"/>
      <c r="T50" s="276"/>
      <c r="U50" s="277"/>
      <c r="V50" s="277"/>
      <c r="W50" s="277"/>
      <c r="X50" s="277"/>
      <c r="Y50" s="277"/>
      <c r="Z50" t="e">
        <f>VLOOKUP(A50,#REF!,9,FALSE)</f>
        <v>#REF!</v>
      </c>
    </row>
    <row r="51" spans="1:26" ht="15.75" thickBot="1">
      <c r="A51" s="292" t="s">
        <v>716</v>
      </c>
      <c r="B51" s="102" t="e">
        <v>#N/A</v>
      </c>
      <c r="C51" s="215" t="e">
        <v>#N/A</v>
      </c>
      <c r="D51" s="282"/>
      <c r="E51" s="269" t="s">
        <v>2149</v>
      </c>
      <c r="F51" s="282"/>
      <c r="G51" s="290" t="s">
        <v>2168</v>
      </c>
      <c r="H51" s="230"/>
      <c r="I51" s="230"/>
      <c r="J51" s="45"/>
      <c r="K51" s="204"/>
      <c r="L51" s="204"/>
      <c r="M51" s="204"/>
      <c r="N51" s="284"/>
      <c r="O51" s="285"/>
      <c r="P51" s="274" t="s">
        <v>2195</v>
      </c>
      <c r="Q51" s="275" t="s">
        <v>2168</v>
      </c>
      <c r="R51" s="131" t="s">
        <v>2186</v>
      </c>
      <c r="S51" s="131"/>
      <c r="T51" s="276"/>
      <c r="U51" s="277"/>
      <c r="V51" s="277"/>
      <c r="W51" s="277"/>
      <c r="X51" s="277"/>
      <c r="Y51" s="277"/>
      <c r="Z51" t="e">
        <f>VLOOKUP(A51,#REF!,9,FALSE)</f>
        <v>#REF!</v>
      </c>
    </row>
    <row r="52" spans="1:26" ht="13.9" customHeight="1" thickBot="1">
      <c r="A52" s="292" t="s">
        <v>692</v>
      </c>
      <c r="B52" s="102" t="s">
        <v>109</v>
      </c>
      <c r="C52" s="215">
        <v>45925</v>
      </c>
      <c r="D52" s="282"/>
      <c r="E52" s="269" t="s">
        <v>2184</v>
      </c>
      <c r="F52" s="282"/>
      <c r="G52" s="283" t="s">
        <v>2147</v>
      </c>
      <c r="H52" s="230"/>
      <c r="I52" s="230"/>
      <c r="J52" s="45"/>
      <c r="K52" s="204"/>
      <c r="L52" s="204"/>
      <c r="M52" s="204"/>
      <c r="N52" s="284"/>
      <c r="O52" s="285"/>
      <c r="P52" s="274" t="s">
        <v>2185</v>
      </c>
      <c r="Q52" s="275" t="s">
        <v>64</v>
      </c>
      <c r="R52" s="131" t="s">
        <v>2186</v>
      </c>
      <c r="S52" s="131"/>
      <c r="T52" s="276"/>
      <c r="U52" s="277"/>
      <c r="V52" s="277"/>
      <c r="W52" s="277"/>
      <c r="X52" s="277"/>
      <c r="Y52" s="277"/>
      <c r="Z52" t="e">
        <f>VLOOKUP(A52,#REF!,9,FALSE)</f>
        <v>#REF!</v>
      </c>
    </row>
    <row r="53" spans="1:26" ht="15.75" thickBot="1">
      <c r="A53" s="292" t="s">
        <v>694</v>
      </c>
      <c r="B53" s="102" t="s">
        <v>109</v>
      </c>
      <c r="C53" s="215">
        <v>45925</v>
      </c>
      <c r="D53" s="282"/>
      <c r="E53" s="269" t="s">
        <v>2184</v>
      </c>
      <c r="F53" s="282"/>
      <c r="G53" s="283" t="s">
        <v>2147</v>
      </c>
      <c r="H53" s="230"/>
      <c r="I53" s="230"/>
      <c r="J53" s="45"/>
      <c r="K53" s="204"/>
      <c r="L53" s="204"/>
      <c r="M53" s="204"/>
      <c r="N53" s="284"/>
      <c r="O53" s="285"/>
      <c r="P53" s="274" t="s">
        <v>2185</v>
      </c>
      <c r="Q53" s="275" t="s">
        <v>64</v>
      </c>
      <c r="R53" s="131" t="s">
        <v>2186</v>
      </c>
      <c r="S53" s="131"/>
      <c r="T53" s="276"/>
      <c r="U53" s="277"/>
      <c r="V53" s="277"/>
      <c r="W53" s="277"/>
      <c r="X53" s="277"/>
      <c r="Y53" s="277"/>
      <c r="Z53" t="e">
        <f>VLOOKUP(A53,#REF!,9,FALSE)</f>
        <v>#REF!</v>
      </c>
    </row>
    <row r="54" spans="1:26" ht="15.75" thickBot="1">
      <c r="A54" s="292" t="s">
        <v>690</v>
      </c>
      <c r="B54" s="102" t="s">
        <v>109</v>
      </c>
      <c r="C54" s="215">
        <v>45925</v>
      </c>
      <c r="D54" s="282"/>
      <c r="E54" s="269" t="s">
        <v>2184</v>
      </c>
      <c r="F54" s="282"/>
      <c r="G54" s="283" t="s">
        <v>2147</v>
      </c>
      <c r="H54" s="230"/>
      <c r="I54" s="230"/>
      <c r="J54" s="45"/>
      <c r="K54" s="204"/>
      <c r="L54" s="204"/>
      <c r="M54" s="204"/>
      <c r="N54" s="284"/>
      <c r="O54" s="285"/>
      <c r="P54" s="274" t="s">
        <v>2185</v>
      </c>
      <c r="Q54" s="275" t="s">
        <v>64</v>
      </c>
      <c r="R54" s="131" t="s">
        <v>2186</v>
      </c>
      <c r="S54" s="131"/>
      <c r="T54" s="276"/>
      <c r="U54" s="277"/>
      <c r="V54" s="277"/>
      <c r="W54" s="277"/>
      <c r="X54" s="277"/>
      <c r="Y54" s="277"/>
      <c r="Z54" t="e">
        <f>VLOOKUP(A54,#REF!,9,FALSE)</f>
        <v>#REF!</v>
      </c>
    </row>
    <row r="55" spans="1:26" ht="15.75" thickBot="1">
      <c r="A55" s="292" t="s">
        <v>748</v>
      </c>
      <c r="B55" s="102" t="s">
        <v>109</v>
      </c>
      <c r="C55" s="215">
        <v>45862</v>
      </c>
      <c r="D55" s="282"/>
      <c r="E55" s="269" t="s">
        <v>2184</v>
      </c>
      <c r="F55" s="282"/>
      <c r="G55" s="283" t="s">
        <v>2147</v>
      </c>
      <c r="H55" s="230"/>
      <c r="I55" s="230"/>
      <c r="J55" s="45"/>
      <c r="K55" s="204"/>
      <c r="L55" s="204"/>
      <c r="M55" s="204"/>
      <c r="N55" s="284"/>
      <c r="O55" s="285"/>
      <c r="P55" s="274" t="s">
        <v>2158</v>
      </c>
      <c r="Q55" s="275" t="s">
        <v>58</v>
      </c>
      <c r="R55" s="131" t="s">
        <v>2189</v>
      </c>
      <c r="S55" s="131"/>
      <c r="T55" s="276"/>
      <c r="U55" s="277"/>
      <c r="V55" s="277"/>
      <c r="W55" s="277"/>
      <c r="X55" s="277"/>
      <c r="Y55" s="277"/>
      <c r="Z55" t="e">
        <f>VLOOKUP(A55,#REF!,9,FALSE)</f>
        <v>#REF!</v>
      </c>
    </row>
    <row r="56" spans="1:26" ht="15.75" thickBot="1">
      <c r="A56" s="292" t="s">
        <v>126</v>
      </c>
      <c r="B56" s="102"/>
      <c r="C56" s="215" t="e">
        <v>#N/A</v>
      </c>
      <c r="D56" s="282"/>
      <c r="E56" s="269" t="s">
        <v>2184</v>
      </c>
      <c r="F56" s="282"/>
      <c r="G56" s="283" t="s">
        <v>2147</v>
      </c>
      <c r="H56" s="230"/>
      <c r="I56" s="230"/>
      <c r="J56" s="45"/>
      <c r="K56" s="204"/>
      <c r="L56" s="204"/>
      <c r="M56" s="204"/>
      <c r="N56" s="284"/>
      <c r="O56" s="285"/>
      <c r="P56" s="274" t="s">
        <v>2196</v>
      </c>
      <c r="Q56" s="275" t="s">
        <v>58</v>
      </c>
      <c r="R56" s="131" t="s">
        <v>2189</v>
      </c>
      <c r="S56" s="131"/>
      <c r="T56" s="276"/>
      <c r="U56" s="277"/>
      <c r="V56" s="277"/>
      <c r="W56" s="277"/>
      <c r="X56" s="277"/>
      <c r="Y56" s="277"/>
      <c r="Z56" t="e">
        <f>VLOOKUP(A56,#REF!,9,FALSE)</f>
        <v>#REF!</v>
      </c>
    </row>
    <row r="57" spans="1:26" ht="15.75" thickBot="1">
      <c r="A57" s="162" t="s">
        <v>2197</v>
      </c>
      <c r="B57" s="102" t="s">
        <v>109</v>
      </c>
      <c r="C57" s="294">
        <v>45787</v>
      </c>
      <c r="D57" s="282"/>
      <c r="E57" s="269" t="s">
        <v>2184</v>
      </c>
      <c r="F57" s="282"/>
      <c r="G57" s="283" t="s">
        <v>2147</v>
      </c>
      <c r="H57" s="230"/>
      <c r="I57" s="230"/>
      <c r="J57" s="45"/>
      <c r="K57" s="204"/>
      <c r="L57" s="204"/>
      <c r="M57" s="204"/>
      <c r="N57" s="284"/>
      <c r="O57" s="285"/>
      <c r="P57" s="274" t="s">
        <v>2158</v>
      </c>
      <c r="Q57" s="275" t="s">
        <v>2198</v>
      </c>
      <c r="R57" s="131" t="s">
        <v>2189</v>
      </c>
      <c r="S57" s="131"/>
      <c r="T57" s="276"/>
      <c r="U57" s="277"/>
      <c r="V57" s="277"/>
      <c r="W57" s="277"/>
      <c r="X57" s="277"/>
      <c r="Y57" s="277"/>
      <c r="Z57" t="e">
        <f>VLOOKUP(A57,#REF!,9,FALSE)</f>
        <v>#REF!</v>
      </c>
    </row>
    <row r="58" spans="1:26" ht="15.75" thickBot="1">
      <c r="A58" s="620" t="s">
        <v>690</v>
      </c>
      <c r="B58" s="102" t="s">
        <v>50</v>
      </c>
      <c r="C58" s="296">
        <v>45807</v>
      </c>
      <c r="D58" s="282"/>
      <c r="E58" s="269" t="s">
        <v>2149</v>
      </c>
      <c r="F58" s="282"/>
      <c r="G58" s="283" t="s">
        <v>2147</v>
      </c>
      <c r="H58" s="230"/>
      <c r="I58" s="230"/>
      <c r="J58" s="45"/>
      <c r="K58" s="204"/>
      <c r="L58" s="204"/>
      <c r="M58" s="204"/>
      <c r="N58" s="284"/>
      <c r="O58" s="285"/>
      <c r="P58" s="287"/>
      <c r="Q58" s="275" t="s">
        <v>64</v>
      </c>
      <c r="R58" s="131" t="s">
        <v>2186</v>
      </c>
      <c r="S58" s="131"/>
      <c r="T58" s="276"/>
      <c r="U58" s="277"/>
      <c r="V58" s="277"/>
      <c r="W58" s="277"/>
      <c r="X58" s="277"/>
      <c r="Y58" s="277"/>
    </row>
    <row r="59" spans="1:26" ht="15.75" thickBot="1">
      <c r="A59" s="620" t="s">
        <v>692</v>
      </c>
      <c r="B59" s="102" t="s">
        <v>109</v>
      </c>
      <c r="C59" s="296">
        <v>45772</v>
      </c>
      <c r="D59" s="282"/>
      <c r="E59" s="269" t="s">
        <v>2149</v>
      </c>
      <c r="F59" s="282"/>
      <c r="G59" s="283" t="s">
        <v>2147</v>
      </c>
      <c r="H59" s="230"/>
      <c r="I59" s="230"/>
      <c r="J59" s="45"/>
      <c r="K59" s="204"/>
      <c r="L59" s="204"/>
      <c r="M59" s="204"/>
      <c r="N59" s="284"/>
      <c r="O59" s="285"/>
      <c r="P59" s="287"/>
      <c r="Q59" s="275" t="s">
        <v>64</v>
      </c>
      <c r="R59" s="131" t="s">
        <v>2186</v>
      </c>
      <c r="S59" s="131"/>
      <c r="T59" s="276"/>
      <c r="U59" s="277"/>
      <c r="V59" s="277"/>
      <c r="W59" s="277"/>
      <c r="X59" s="277"/>
      <c r="Y59" s="277"/>
    </row>
    <row r="60" spans="1:26" ht="15.75" thickBot="1">
      <c r="A60" s="621" t="s">
        <v>694</v>
      </c>
      <c r="B60" s="102" t="s">
        <v>109</v>
      </c>
      <c r="C60" s="296">
        <v>45772</v>
      </c>
      <c r="D60" s="282"/>
      <c r="E60" s="269" t="s">
        <v>2149</v>
      </c>
      <c r="F60" s="282"/>
      <c r="G60" s="283" t="s">
        <v>2147</v>
      </c>
      <c r="H60" s="230"/>
      <c r="I60" s="230"/>
      <c r="J60" s="45"/>
      <c r="K60" s="204"/>
      <c r="L60" s="204"/>
      <c r="M60" s="204"/>
      <c r="N60" s="284"/>
      <c r="O60" s="285"/>
      <c r="P60" s="287"/>
      <c r="Q60" s="275" t="s">
        <v>64</v>
      </c>
      <c r="R60" s="131" t="s">
        <v>2186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2178</v>
      </c>
      <c r="B70" s="301">
        <f>SUM(K4:K9)</f>
        <v>0</v>
      </c>
      <c r="C70" s="302" t="e">
        <f>B70/B73</f>
        <v>#DIV/0!</v>
      </c>
    </row>
    <row r="71" spans="1:25">
      <c r="A71" s="300" t="s">
        <v>2134</v>
      </c>
      <c r="B71" s="301">
        <f>SUM(L4:L9)</f>
        <v>0</v>
      </c>
      <c r="C71" s="302" t="e">
        <f>B71/B73</f>
        <v>#DIV/0!</v>
      </c>
    </row>
    <row r="72" spans="1:25">
      <c r="A72" s="300" t="s">
        <v>2179</v>
      </c>
      <c r="B72" s="301">
        <f>SUM(M4:M9)</f>
        <v>0</v>
      </c>
      <c r="C72" s="302" t="e">
        <f>B72/B73</f>
        <v>#DIV/0!</v>
      </c>
    </row>
    <row r="73" spans="1:25">
      <c r="A73" s="300" t="s">
        <v>1087</v>
      </c>
      <c r="B73" s="301">
        <f>SUM(B70:B72)</f>
        <v>0</v>
      </c>
      <c r="C73" s="279"/>
    </row>
    <row r="80" spans="1:25">
      <c r="A80" t="s">
        <v>2199</v>
      </c>
    </row>
    <row r="81" spans="1:1">
      <c r="A81" t="s">
        <v>2200</v>
      </c>
    </row>
    <row r="82" spans="1:1">
      <c r="A82" t="s">
        <v>2185</v>
      </c>
    </row>
    <row r="83" spans="1:1">
      <c r="A83" t="s">
        <v>2201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2FAB15-7697-4C37-8DF2-5F452ACA05C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2026-01-19T18:19:53Z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