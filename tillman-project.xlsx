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31" documentId="8_{E14B221E-02E2-46A3-8CEC-C736815F2DD5}" xr6:coauthVersionLast="47" xr6:coauthVersionMax="47" xr10:uidLastSave="{B345622B-ED52-4604-99B7-7B8041A3530B}"/>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45" r:id="rId12"/>
    <pivotCache cacheId="3152" r:id="rId13"/>
    <pivotCache cacheId="3157" r:id="rId14"/>
    <pivotCache cacheId="3161" r:id="rId15"/>
    <pivotCache cacheId="3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<sst xmlns="http://schemas.openxmlformats.org/spreadsheetml/2006/main" count="14722" uniqueCount="1802">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</sst>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21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805559" createdVersion="8" refreshedVersion="8" minRefreshableVersion="3" recordCount="2122"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FX4-FWP-09"/>
        <s v="D-HSH245"/>
        <s v="D-HSH220"/>
        <s v="D-HSH221"/>
        <s v="D-HSH225"/>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FX4-FWP-09"/>
    <x v="5"/>
    <d v="2025-11-21T00:00:00"/>
    <m/>
    <m/>
    <m/>
    <x v="10"/>
  </r>
  <r>
    <s v="Heatherwood MHP"/>
    <x v="44"/>
    <d v="2025-11-21T00:00:00"/>
    <m/>
    <m/>
    <m/>
    <x v="10"/>
  </r>
  <r>
    <s v="Sherwood"/>
    <x v="36"/>
    <d v="2025-11-21T00:00:00"/>
    <m/>
    <m/>
    <s v="FDH / Proofing"/>
    <x v="10"/>
  </r>
  <r>
    <s v="BHUD-FOE-06-E"/>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71"/>
    <x v="1"/>
    <x v="202"/>
    <m/>
    <m/>
    <m/>
  </r>
  <r>
    <x v="174"/>
    <x v="27"/>
    <x v="202"/>
    <m/>
    <m/>
    <m/>
  </r>
  <r>
    <x v="251"/>
    <x v="35"/>
    <x v="202"/>
    <m/>
    <m/>
    <m/>
  </r>
  <r>
    <x v="269"/>
    <x v="45"/>
    <x v="202"/>
    <m/>
    <m/>
    <m/>
  </r>
  <r>
    <x v="257"/>
    <x v="5"/>
    <x v="202"/>
    <m/>
    <m/>
    <m/>
  </r>
  <r>
    <x v="260"/>
    <x v="5"/>
    <x v="202"/>
    <m/>
    <m/>
    <m/>
  </r>
  <r>
    <x v="258"/>
    <x v="5"/>
    <x v="202"/>
    <m/>
    <m/>
    <m/>
  </r>
  <r>
    <x v="272"/>
    <x v="5"/>
    <x v="202"/>
    <m/>
    <m/>
    <m/>
  </r>
  <r>
    <x v="60"/>
    <x v="27"/>
    <x v="203"/>
    <m/>
    <m/>
    <m/>
  </r>
  <r>
    <x v="270"/>
    <x v="32"/>
    <x v="203"/>
    <m/>
    <m/>
    <m/>
  </r>
  <r>
    <x v="273"/>
    <x v="5"/>
    <x v="203"/>
    <m/>
    <m/>
    <m/>
  </r>
  <r>
    <x v="262"/>
    <x v="44"/>
    <x v="203"/>
    <m/>
    <m/>
    <m/>
  </r>
  <r>
    <x v="261"/>
    <x v="36"/>
    <x v="203"/>
    <m/>
    <m/>
    <s v="FDH / Proofing"/>
  </r>
  <r>
    <x v="271"/>
    <x v="1"/>
    <x v="203"/>
    <m/>
    <m/>
    <s v="Pulling Fiber Cable"/>
  </r>
  <r>
    <x v="269"/>
    <x v="45"/>
    <x v="203"/>
    <m/>
    <m/>
    <m/>
  </r>
  <r>
    <x v="260"/>
    <x v="5"/>
    <x v="203"/>
    <m/>
    <m/>
    <m/>
  </r>
  <r>
    <x v="272"/>
    <x v="5"/>
    <x v="203"/>
    <m/>
    <m/>
    <m/>
  </r>
  <r>
    <x v="274"/>
    <x v="5"/>
    <x v="203"/>
    <m/>
    <m/>
    <m/>
  </r>
  <r>
    <x v="275"/>
    <x v="1"/>
    <x v="203"/>
    <m/>
    <m/>
    <s v="Stingray"/>
  </r>
  <r>
    <x v="276"/>
    <x v="1"/>
    <x v="203"/>
    <m/>
    <m/>
    <s v="Stingray"/>
  </r>
  <r>
    <x v="242"/>
    <x v="1"/>
    <x v="203"/>
    <m/>
    <m/>
    <s v="Stingray"/>
  </r>
  <r>
    <x v="277"/>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60"/>
    </i>
    <i>
      <x v="261"/>
    </i>
    <i>
      <x v="262"/>
    </i>
    <i>
      <x v="264"/>
    </i>
    <i>
      <x v="265"/>
    </i>
    <i>
      <x v="267"/>
    </i>
    <i>
      <x v="268"/>
    </i>
    <i>
      <x v="269"/>
    </i>
    <i>
      <x v="270"/>
    </i>
    <i>
      <x v="271"/>
    </i>
    <i>
      <x v="272"/>
    </i>
    <i>
      <x v="273"/>
    </i>
    <i>
      <x v="274"/>
    </i>
    <i>
      <x v="275"/>
    </i>
    <i>
      <x v="277"/>
    </i>
    <i>
      <x v="278"/>
    </i>
    <i>
      <x v="279"/>
    </i>
    <i>
      <x v="280"/>
    </i>
    <i>
      <x v="281"/>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125" activePane="topRight" state="frozen"/>
      <selection pane="topRight" activeCell="W134" sqref="W13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9"/>
  <sheetViews>
    <sheetView topLeftCell="A980" workbookViewId="0">
      <selection activeCell="J975" sqref="J975"/>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c r="F976" s="1180"/>
      <c r="G976" s="1180">
        <v>1917</v>
      </c>
    </row>
    <row r="977" spans="1:7">
      <c r="A977" t="s">
        <v>359</v>
      </c>
      <c r="B977" s="1180">
        <v>956</v>
      </c>
      <c r="C977" s="1180"/>
      <c r="D977" s="1180"/>
      <c r="E977" s="1180"/>
      <c r="F977" s="1180"/>
      <c r="G977" s="1180">
        <v>956</v>
      </c>
    </row>
    <row r="978" spans="1:7">
      <c r="A978" t="s">
        <v>354</v>
      </c>
      <c r="B978" s="1180">
        <v>1449</v>
      </c>
      <c r="C978" s="1180"/>
      <c r="D978" s="1180"/>
      <c r="E978" s="1180"/>
      <c r="F978" s="1180"/>
      <c r="G978" s="1180">
        <v>1449</v>
      </c>
    </row>
    <row r="979" spans="1:7">
      <c r="A979" t="s">
        <v>415</v>
      </c>
      <c r="B979" s="1180">
        <v>1662</v>
      </c>
      <c r="C979" s="1180">
        <v>2684</v>
      </c>
      <c r="D979" s="1180"/>
      <c r="E979" s="1180"/>
      <c r="F979" s="1180"/>
      <c r="G979" s="1180">
        <v>4346</v>
      </c>
    </row>
    <row r="980" spans="1:7">
      <c r="A980" t="s">
        <v>301</v>
      </c>
      <c r="B980" s="1180">
        <v>5466</v>
      </c>
      <c r="C980" s="1180"/>
      <c r="D980" s="1180"/>
      <c r="E980" s="1180"/>
      <c r="F980" s="1180"/>
      <c r="G980" s="1180">
        <v>5466</v>
      </c>
    </row>
    <row r="981" spans="1:7">
      <c r="A981" t="s">
        <v>419</v>
      </c>
      <c r="B981" s="1180"/>
      <c r="C981" s="1180"/>
      <c r="D981" s="1180"/>
      <c r="E981" s="1180"/>
      <c r="F981" s="1180"/>
      <c r="G981" s="1180"/>
    </row>
    <row r="982" spans="1:7">
      <c r="A982" t="s">
        <v>943</v>
      </c>
      <c r="B982" s="1180">
        <v>907</v>
      </c>
      <c r="C982" s="1180"/>
      <c r="D982" s="1180"/>
      <c r="E982" s="1180"/>
      <c r="F982" s="1180"/>
      <c r="G982" s="1180">
        <v>907</v>
      </c>
    </row>
    <row r="983" spans="1:7">
      <c r="A983" t="s">
        <v>303</v>
      </c>
      <c r="B983" s="1180">
        <v>1498</v>
      </c>
      <c r="C983" s="1180">
        <v>3613</v>
      </c>
      <c r="D983" s="1180"/>
      <c r="E983" s="1180"/>
      <c r="F983" s="1180"/>
      <c r="G983" s="1180">
        <v>5111</v>
      </c>
    </row>
    <row r="984" spans="1:7">
      <c r="A984" t="s">
        <v>944</v>
      </c>
      <c r="B984" s="1180">
        <v>1505</v>
      </c>
      <c r="C984" s="1180">
        <v>1518</v>
      </c>
      <c r="D984" s="1180">
        <v>1968</v>
      </c>
      <c r="E984" s="1180">
        <v>345</v>
      </c>
      <c r="F984" s="1180"/>
      <c r="G984" s="1180">
        <v>5336</v>
      </c>
    </row>
    <row r="985" spans="1:7">
      <c r="A985" t="s">
        <v>156</v>
      </c>
      <c r="B985" s="1180">
        <v>1471</v>
      </c>
      <c r="C985" s="1180"/>
      <c r="D985" s="1180"/>
      <c r="E985" s="1180"/>
      <c r="F985" s="1180"/>
      <c r="G985" s="1180">
        <v>1471</v>
      </c>
    </row>
    <row r="986" spans="1:7">
      <c r="A986" t="s">
        <v>151</v>
      </c>
      <c r="B986" s="1180">
        <v>762</v>
      </c>
      <c r="C986" s="1180">
        <v>1530</v>
      </c>
      <c r="D986" s="1180">
        <v>954</v>
      </c>
      <c r="E986" s="1180">
        <v>1603</v>
      </c>
      <c r="F986" s="1180"/>
      <c r="G986" s="1180">
        <v>4849</v>
      </c>
    </row>
    <row r="987" spans="1:7">
      <c r="A987" t="s">
        <v>154</v>
      </c>
      <c r="B987" s="1180"/>
      <c r="C987" s="1180">
        <v>1679</v>
      </c>
      <c r="D987" s="1180">
        <v>1429</v>
      </c>
      <c r="E987" s="1180"/>
      <c r="F987" s="1180"/>
      <c r="G987" s="1180">
        <v>3108</v>
      </c>
    </row>
    <row r="988" spans="1:7">
      <c r="A988" t="s">
        <v>945</v>
      </c>
      <c r="B988" s="1180"/>
      <c r="C988" s="1180"/>
      <c r="D988" s="1180"/>
      <c r="E988" s="1180"/>
      <c r="F988" s="1180"/>
      <c r="G988" s="1180"/>
    </row>
    <row r="989" spans="1:7">
      <c r="A989" t="s">
        <v>284</v>
      </c>
      <c r="B989" s="1180"/>
      <c r="C989" s="1180">
        <v>2351</v>
      </c>
      <c r="D989" s="1180">
        <v>1835</v>
      </c>
      <c r="E989" s="1180"/>
      <c r="F989" s="1180"/>
      <c r="G989" s="1180">
        <v>4186</v>
      </c>
    </row>
    <row r="990" spans="1:7">
      <c r="A990" t="s">
        <v>946</v>
      </c>
      <c r="B990" s="1180"/>
      <c r="C990" s="1180">
        <v>12</v>
      </c>
      <c r="D990" s="1180"/>
      <c r="E990" s="1180"/>
      <c r="F990" s="1180"/>
      <c r="G990" s="1180">
        <v>12</v>
      </c>
    </row>
    <row r="991" spans="1:7">
      <c r="A991" t="s">
        <v>947</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205</v>
      </c>
      <c r="B996" s="1180"/>
      <c r="C996" s="1180"/>
      <c r="D996" s="1180"/>
      <c r="E996" s="1180"/>
      <c r="F996" s="1180"/>
      <c r="G996" s="1180"/>
    </row>
    <row r="997" spans="1:7">
      <c r="A997" t="s">
        <v>307</v>
      </c>
      <c r="B997" s="1180"/>
      <c r="C997" s="1180"/>
      <c r="D997" s="1180"/>
      <c r="E997" s="1180"/>
      <c r="F997" s="1180"/>
      <c r="G997" s="1180"/>
    </row>
    <row r="998" spans="1:7">
      <c r="A998" t="s">
        <v>349</v>
      </c>
      <c r="B998" s="1180"/>
      <c r="C998" s="1180"/>
      <c r="D998" s="1180"/>
      <c r="E998" s="1180"/>
      <c r="F998" s="1180"/>
      <c r="G998" s="1180"/>
    </row>
    <row r="999" spans="1:7">
      <c r="A999" t="s">
        <v>876</v>
      </c>
      <c r="B999" s="1180">
        <v>16669</v>
      </c>
      <c r="C999" s="1180">
        <v>15577</v>
      </c>
      <c r="D999" s="1180">
        <v>7386</v>
      </c>
      <c r="E999" s="1180">
        <v>2118</v>
      </c>
      <c r="F999" s="1180"/>
      <c r="G999" s="1180">
        <v>41750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104" sqref="A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945</v>
      </c>
      <c r="B2081" s="322" t="s">
        <v>885</v>
      </c>
      <c r="C2081" s="56">
        <v>45981</v>
      </c>
      <c r="F2081" s="69"/>
      <c r="G2081" t="s">
        <v>1612</v>
      </c>
    </row>
    <row r="2082" spans="1:7">
      <c r="A2082" s="142" t="s">
        <v>265</v>
      </c>
      <c r="B2082" s="308" t="s">
        <v>1317</v>
      </c>
      <c r="C2082" s="56">
        <v>45981</v>
      </c>
      <c r="F2082" s="69"/>
      <c r="G2082" t="s">
        <v>1612</v>
      </c>
    </row>
    <row r="2083" spans="1:7">
      <c r="A2083" s="308" t="s">
        <v>234</v>
      </c>
      <c r="B2083" s="1070" t="s">
        <v>227</v>
      </c>
      <c r="C2083" s="56">
        <v>45981</v>
      </c>
      <c r="F2083" s="69"/>
      <c r="G2083" t="s">
        <v>1612</v>
      </c>
    </row>
    <row r="2084" spans="1:7">
      <c r="A2084" s="308" t="s">
        <v>284</v>
      </c>
      <c r="B2084" s="308" t="s">
        <v>1537</v>
      </c>
      <c r="C2084" s="56">
        <v>45981</v>
      </c>
      <c r="F2084" s="69"/>
      <c r="G2084" t="s">
        <v>1612</v>
      </c>
    </row>
    <row r="2085" spans="1:7">
      <c r="A2085" s="322" t="s">
        <v>415</v>
      </c>
      <c r="B2085" s="398" t="s">
        <v>152</v>
      </c>
      <c r="C2085" s="56">
        <v>45981</v>
      </c>
      <c r="F2085" s="69"/>
      <c r="G2085" t="s">
        <v>1612</v>
      </c>
    </row>
    <row r="2086" spans="1:7">
      <c r="A2086" s="359" t="s">
        <v>303</v>
      </c>
      <c r="B2086" s="368" t="s">
        <v>152</v>
      </c>
      <c r="C2086" s="56">
        <v>45981</v>
      </c>
      <c r="F2086" s="69"/>
      <c r="G2086" t="s">
        <v>1612</v>
      </c>
    </row>
    <row r="2087" spans="1:7">
      <c r="A2087" s="322" t="s">
        <v>419</v>
      </c>
      <c r="B2087" s="398" t="s">
        <v>152</v>
      </c>
      <c r="C2087" s="56">
        <v>45981</v>
      </c>
      <c r="F2087" s="69"/>
      <c r="G2087" t="s">
        <v>1612</v>
      </c>
    </row>
    <row r="2088" spans="1:7">
      <c r="A2088" s="359" t="s">
        <v>305</v>
      </c>
      <c r="B2088" s="311" t="s">
        <v>152</v>
      </c>
      <c r="C2088" s="56">
        <v>45981</v>
      </c>
      <c r="G2088" t="s">
        <v>1612</v>
      </c>
    </row>
    <row r="2089" spans="1:7">
      <c r="A2089" s="43" t="s">
        <v>90</v>
      </c>
      <c r="B2089" s="162" t="s">
        <v>1317</v>
      </c>
      <c r="C2089" s="56">
        <v>45982</v>
      </c>
      <c r="G2089" t="s">
        <v>1612</v>
      </c>
    </row>
    <row r="2090" spans="1:7">
      <c r="A2090" s="69" t="s">
        <v>947</v>
      </c>
      <c r="B2090" s="418" t="s">
        <v>1403</v>
      </c>
      <c r="C2090" s="56">
        <v>45982</v>
      </c>
      <c r="G2090" t="s">
        <v>1612</v>
      </c>
    </row>
    <row r="2091" spans="1:7">
      <c r="A2091" s="43" t="s">
        <v>205</v>
      </c>
      <c r="B2091" s="162" t="s">
        <v>152</v>
      </c>
      <c r="C2091" s="56">
        <v>45982</v>
      </c>
      <c r="F2091" s="69"/>
      <c r="G2091" t="s">
        <v>1612</v>
      </c>
    </row>
    <row r="2092" spans="1:7">
      <c r="A2092" s="43" t="s">
        <v>944</v>
      </c>
      <c r="B2092" s="162" t="s">
        <v>211</v>
      </c>
      <c r="C2092" s="56">
        <v>45982</v>
      </c>
      <c r="E2092" s="204"/>
      <c r="F2092" s="149"/>
      <c r="G2092" t="s">
        <v>1612</v>
      </c>
    </row>
    <row r="2093" spans="1:7">
      <c r="A2093" s="171" t="s">
        <v>943</v>
      </c>
      <c r="B2093" s="43" t="s">
        <v>381</v>
      </c>
      <c r="C2093" s="56">
        <v>45982</v>
      </c>
      <c r="D2093" s="140"/>
      <c r="E2093" s="43"/>
      <c r="F2093" s="69" t="s">
        <v>1609</v>
      </c>
      <c r="G2093" t="s">
        <v>1612</v>
      </c>
    </row>
    <row r="2094" spans="1:7">
      <c r="A2094" s="755" t="s">
        <v>945</v>
      </c>
      <c r="B2094" s="322" t="s">
        <v>885</v>
      </c>
      <c r="C2094" s="56">
        <v>45982</v>
      </c>
      <c r="D2094" s="140"/>
      <c r="E2094" s="43"/>
      <c r="F2094" s="1179" t="s">
        <v>1572</v>
      </c>
      <c r="G2094" t="s">
        <v>1612</v>
      </c>
    </row>
    <row r="2095" spans="1:7">
      <c r="A2095" s="43" t="s">
        <v>284</v>
      </c>
      <c r="B2095" s="43" t="s">
        <v>1537</v>
      </c>
      <c r="C2095" s="56">
        <v>45982</v>
      </c>
      <c r="E2095" s="257"/>
      <c r="F2095" s="92"/>
      <c r="G2095" t="s">
        <v>1612</v>
      </c>
    </row>
    <row r="2096" spans="1:7">
      <c r="A2096" s="345" t="s">
        <v>303</v>
      </c>
      <c r="B2096" s="166" t="s">
        <v>152</v>
      </c>
      <c r="C2096" s="56">
        <v>45982</v>
      </c>
      <c r="F2096" s="69"/>
      <c r="G2096" t="s">
        <v>1612</v>
      </c>
    </row>
    <row r="2097" spans="1:7">
      <c r="A2097" s="418" t="s">
        <v>305</v>
      </c>
      <c r="B2097" s="176" t="s">
        <v>152</v>
      </c>
      <c r="C2097" s="56">
        <v>45982</v>
      </c>
      <c r="F2097" s="69"/>
      <c r="G2097" t="s">
        <v>1612</v>
      </c>
    </row>
    <row r="2098" spans="1:7">
      <c r="A2098" s="418" t="s">
        <v>307</v>
      </c>
      <c r="B2098" s="176" t="s">
        <v>152</v>
      </c>
      <c r="C2098" s="56">
        <v>45982</v>
      </c>
      <c r="F2098" s="69"/>
      <c r="G2098" t="s">
        <v>1612</v>
      </c>
    </row>
    <row r="2099" spans="1:7">
      <c r="A2099" s="69" t="s">
        <v>401</v>
      </c>
      <c r="B2099" s="43" t="s">
        <v>885</v>
      </c>
      <c r="C2099" s="56">
        <v>45982</v>
      </c>
      <c r="F2099" s="69" t="s">
        <v>1325</v>
      </c>
      <c r="G2099" t="s">
        <v>1612</v>
      </c>
    </row>
    <row r="2100" spans="1:7">
      <c r="A2100" s="69" t="s">
        <v>402</v>
      </c>
      <c r="B2100" s="43" t="s">
        <v>885</v>
      </c>
      <c r="C2100" s="56">
        <v>45982</v>
      </c>
      <c r="E2100" s="166"/>
      <c r="F2100" s="69" t="s">
        <v>1325</v>
      </c>
      <c r="G2100" t="s">
        <v>1612</v>
      </c>
    </row>
    <row r="2101" spans="1:7">
      <c r="A2101" s="92" t="s">
        <v>289</v>
      </c>
      <c r="B2101" s="43" t="s">
        <v>885</v>
      </c>
      <c r="C2101" s="56">
        <v>45982</v>
      </c>
      <c r="F2101" s="69" t="s">
        <v>1325</v>
      </c>
      <c r="G2101" t="s">
        <v>1612</v>
      </c>
    </row>
    <row r="2102" spans="1:7">
      <c r="A2102" s="69" t="s">
        <v>349</v>
      </c>
      <c r="B2102" s="43" t="s">
        <v>885</v>
      </c>
      <c r="C2102" s="56">
        <v>45982</v>
      </c>
      <c r="F2102" s="69" t="s">
        <v>1325</v>
      </c>
      <c r="G2102" t="s">
        <v>1612</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1744</v>
      </c>
      <c r="C1" s="1175"/>
      <c r="D1" s="576"/>
      <c r="E1" s="1175" t="s">
        <v>1745</v>
      </c>
      <c r="F1" s="1175"/>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s="1180">
        <v>140697</v>
      </c>
      <c r="E4" s="44" t="s">
        <v>1746</v>
      </c>
      <c r="F4" t="s">
        <v>879</v>
      </c>
      <c r="W4" t="s">
        <v>1750</v>
      </c>
      <c r="X4">
        <v>22</v>
      </c>
    </row>
    <row r="5" spans="1:25">
      <c r="B5" t="s">
        <v>71</v>
      </c>
      <c r="C5" s="1180">
        <v>47789</v>
      </c>
      <c r="E5" t="s">
        <v>879</v>
      </c>
      <c r="F5" s="1180">
        <v>218528</v>
      </c>
      <c r="K5" s="44" t="s">
        <v>1751</v>
      </c>
      <c r="P5" s="44" t="s">
        <v>1751</v>
      </c>
      <c r="W5" t="s">
        <v>1752</v>
      </c>
      <c r="X5">
        <v>13</v>
      </c>
    </row>
    <row r="6" spans="1:25">
      <c r="B6" t="s">
        <v>102</v>
      </c>
      <c r="C6" s="1180">
        <v>22387</v>
      </c>
      <c r="K6" s="44" t="s">
        <v>27</v>
      </c>
      <c r="L6" s="44" t="s">
        <v>1753</v>
      </c>
      <c r="M6" t="s">
        <v>879</v>
      </c>
      <c r="P6" s="44" t="s">
        <v>1754</v>
      </c>
      <c r="Q6" s="44" t="s">
        <v>1753</v>
      </c>
      <c r="R6" t="s">
        <v>879</v>
      </c>
    </row>
    <row r="7" spans="1:25">
      <c r="B7" t="s">
        <v>905</v>
      </c>
      <c r="C7" s="1180">
        <v>233194</v>
      </c>
      <c r="K7" t="s">
        <v>1747</v>
      </c>
      <c r="L7" t="s">
        <v>510</v>
      </c>
      <c r="M7" s="1180">
        <v>1</v>
      </c>
      <c r="P7" t="s">
        <v>1755</v>
      </c>
      <c r="R7" s="1180">
        <v>1</v>
      </c>
      <c r="X7" t="s">
        <v>1756</v>
      </c>
      <c r="Y7" t="s">
        <v>1757</v>
      </c>
    </row>
    <row r="8" spans="1:25">
      <c r="B8" t="s">
        <v>51</v>
      </c>
      <c r="C8" s="1180">
        <v>446</v>
      </c>
      <c r="L8" t="s">
        <v>512</v>
      </c>
      <c r="M8" s="1180">
        <v>1</v>
      </c>
      <c r="P8" t="s">
        <v>1758</v>
      </c>
      <c r="R8" s="1180">
        <v>1</v>
      </c>
      <c r="V8" t="s">
        <v>1759</v>
      </c>
      <c r="W8" s="261">
        <v>203521</v>
      </c>
      <c r="X8" s="317">
        <f>X5/X4</f>
        <v>0.59090909090909094</v>
      </c>
      <c r="Y8" s="317">
        <f>W9/W8</f>
        <v>0.31446386367991508</v>
      </c>
    </row>
    <row r="9" spans="1:25">
      <c r="B9" t="s">
        <v>22</v>
      </c>
      <c r="C9" s="1180">
        <v>0</v>
      </c>
      <c r="L9" t="s">
        <v>1760</v>
      </c>
      <c r="M9" s="1180">
        <v>1</v>
      </c>
      <c r="P9" t="s">
        <v>1761</v>
      </c>
      <c r="Q9" t="s">
        <v>1760</v>
      </c>
      <c r="R9" s="1180">
        <v>1</v>
      </c>
      <c r="V9" t="s">
        <v>1762</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1763</v>
      </c>
      <c r="R12" s="1180">
        <v>1</v>
      </c>
    </row>
    <row r="13" spans="1:25">
      <c r="B13" t="s">
        <v>211</v>
      </c>
      <c r="C13" s="1180">
        <v>16290</v>
      </c>
      <c r="L13" t="s">
        <v>1764</v>
      </c>
      <c r="M13" s="1180">
        <v>1</v>
      </c>
      <c r="Q13" t="s">
        <v>829</v>
      </c>
      <c r="R13" s="1180">
        <v>1</v>
      </c>
    </row>
    <row r="14" spans="1:25">
      <c r="B14" t="s">
        <v>130</v>
      </c>
      <c r="C14" s="1180">
        <v>7655</v>
      </c>
      <c r="L14" t="s">
        <v>629</v>
      </c>
      <c r="M14" s="1180">
        <v>1</v>
      </c>
      <c r="P14" t="s">
        <v>1765</v>
      </c>
      <c r="R14" s="1180">
        <v>5</v>
      </c>
    </row>
    <row r="15" spans="1:25">
      <c r="B15" t="s">
        <v>184</v>
      </c>
      <c r="C15" s="1180">
        <v>3</v>
      </c>
      <c r="L15" t="s">
        <v>1763</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1766</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1767</v>
      </c>
      <c r="M26" s="1180">
        <v>19</v>
      </c>
    </row>
    <row r="27" spans="2:13">
      <c r="K27" t="s">
        <v>1768</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1769</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1770</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1771</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0B1F9E2-E9CE-4C3C-B114-892AFFDE04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2025-11-21T14:50:31Z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