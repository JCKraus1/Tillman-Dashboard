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654" documentId="8_{E14B221E-02E2-46A3-8CEC-C736815F2DD5}" xr6:coauthVersionLast="47" xr6:coauthVersionMax="47" xr10:uidLastSave="{3AE75AF8-6287-4979-978F-6E91E047672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996" r:id="rId12"/>
    <pivotCache cacheId="5003" r:id="rId13"/>
    <pivotCache cacheId="5008" r:id="rId14"/>
    <pivotCache cacheId="5012" r:id="rId15"/>
    <pivotCache cacheId="5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1" i="2" l="1"/>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7"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6"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1" i="2"/>
  <c r="X72"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1" i="2"/>
  <c r="Y72"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76"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<sst xmlns="http://schemas.openxmlformats.org/spreadsheetml/2006/main" count="14484" uniqueCount="1782">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</sst>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9" xfId="0" applyNumberFormat="1" applyFont="1" applyFill="1" applyBorder="1" applyAlignment="1">
      <alignment horizontal="center"/>
    </xf>
    <xf numFmtId="0" fontId="0" fillId="0" borderId="0" xfId="0" applyNumberForma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1" xfId="0" applyFont="1" applyFill="1" applyBorder="1" applyAlignment="1"/>
    <xf numFmtId="0" fontId="7" fillId="0" borderId="50" xfId="0" applyFont="1" applyFill="1" applyBorder="1" applyAlignment="1"/>
    <xf numFmtId="0" fontId="7" fillId="0" borderId="24" xfId="0" applyFont="1" applyFill="1" applyBorder="1" applyAlignment="1"/>
    <xf numFmtId="0" fontId="7" fillId="0" borderId="35" xfId="0" applyFont="1" applyFill="1" applyBorder="1" applyAlignment="1"/>
    <xf numFmtId="0" fontId="32" fillId="0" borderId="35" xfId="0" applyFont="1" applyFill="1" applyBorder="1" applyAlignment="1"/>
    <xf numFmtId="0" fontId="0" fillId="0" borderId="69" xfId="0" applyFont="1" applyBorder="1" applyAlignment="1">
      <alignment horizontal="center"/>
    </xf>
    <xf numFmtId="0" fontId="0" fillId="0" borderId="69" xfId="0" applyFont="1" applyBorder="1"/>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118" xfId="0" applyFont="1" applyBorder="1" applyAlignment="1">
      <alignment horizontal="center"/>
    </xf>
    <xf numFmtId="0" fontId="0" fillId="4" borderId="118" xfId="0" applyFont="1" applyFill="1" applyBorder="1" applyAlignment="1">
      <alignment horizontal="center"/>
    </xf>
    <xf numFmtId="0" fontId="0" fillId="0" borderId="118" xfId="0" applyFont="1" applyBorder="1"/>
    <xf numFmtId="2" fontId="0" fillId="0" borderId="118" xfId="0" applyNumberFormat="1" applyFont="1" applyBorder="1" applyAlignment="1">
      <alignment horizontal="center"/>
    </xf>
    <xf numFmtId="0" fontId="0" fillId="0" borderId="108" xfId="0" applyFont="1" applyBorder="1" applyAlignment="1">
      <alignment horizontal="center"/>
    </xf>
    <xf numFmtId="14" fontId="0" fillId="0" borderId="100" xfId="0" applyNumberFormat="1" applyFont="1" applyBorder="1" applyAlignment="1">
      <alignment horizontal="center"/>
    </xf>
    <xf numFmtId="3" fontId="0" fillId="4" borderId="100" xfId="0" applyNumberFormat="1" applyFont="1" applyFill="1" applyBorder="1" applyAlignment="1">
      <alignment horizontal="center"/>
    </xf>
    <xf numFmtId="9" fontId="0" fillId="0" borderId="100" xfId="1" applyNumberFormat="1" applyFont="1" applyBorder="1" applyAlignment="1">
      <alignment horizontal="center"/>
    </xf>
    <xf numFmtId="0" fontId="30" fillId="0" borderId="100" xfId="0" applyNumberFormat="1" applyFont="1" applyBorder="1" applyAlignment="1">
      <alignment horizontal="center" wrapText="1"/>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146"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20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60185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601852" createdVersion="8" refreshedVersion="8" minRefreshableVersion="3" recordCount="2057"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310"/>
    <n v="3266"/>
    <n v="0.41427546628407458"/>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m/>
    <m/>
    <m/>
    <x v="10"/>
  </r>
  <r>
    <s v="Heatherwood MHP"/>
    <x v="44"/>
    <d v="2025-11-17T00:00:00"/>
    <m/>
    <m/>
    <m/>
    <x v="10"/>
  </r>
  <r>
    <s v="D-HWP1312"/>
    <x v="5"/>
    <d v="2025-11-17T00:00:00"/>
    <m/>
    <m/>
    <m/>
    <x v="10"/>
  </r>
  <r>
    <s v="Sherwood"/>
    <x v="36"/>
    <d v="2025-11-17T00:00:00"/>
    <m/>
    <m/>
    <m/>
    <x v="10"/>
  </r>
  <r>
    <s v="D-HWP1311"/>
    <x v="5"/>
    <d v="2025-11-17T00:00:00"/>
    <m/>
    <m/>
    <m/>
    <x v="10"/>
  </r>
  <r>
    <s v="FB-HWP1379"/>
    <x v="5"/>
    <d v="2025-11-17T00:00:00"/>
    <m/>
    <m/>
    <m/>
    <x v="10"/>
  </r>
  <r>
    <s v="D-HWP916"/>
    <x v="5"/>
    <d v="2025-11-17T00:00:00"/>
    <m/>
    <m/>
    <m/>
    <x v="10"/>
  </r>
  <r>
    <s v="FB-HLR201"/>
    <x v="1"/>
    <d v="2025-11-17T00:00:00"/>
    <m/>
    <m/>
    <m/>
    <x v="10"/>
  </r>
  <r>
    <s v="FB-HLR201"/>
    <x v="1"/>
    <d v="2025-11-17T00:00:00"/>
    <m/>
    <m/>
    <m/>
    <x v="10"/>
  </r>
  <r>
    <s v="FB-HLR201"/>
    <x v="27"/>
    <d v="2025-11-17T00:00:00"/>
    <m/>
    <m/>
    <m/>
    <x v="10"/>
  </r>
  <r>
    <s v="D-HLR204"/>
    <x v="57"/>
    <d v="2025-11-17T00:00:00"/>
    <m/>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310"/>
    <n v="3266"/>
    <n v="0.41427546628407458"/>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m/>
    <m/>
    <m/>
  </r>
  <r>
    <x v="263"/>
    <x v="44"/>
    <x v="199"/>
    <m/>
    <m/>
    <m/>
  </r>
  <r>
    <x v="264"/>
    <x v="5"/>
    <x v="199"/>
    <m/>
    <m/>
    <m/>
  </r>
  <r>
    <x v="261"/>
    <x v="36"/>
    <x v="199"/>
    <m/>
    <m/>
    <m/>
  </r>
  <r>
    <x v="265"/>
    <x v="5"/>
    <x v="199"/>
    <m/>
    <m/>
    <m/>
  </r>
  <r>
    <x v="245"/>
    <x v="5"/>
    <x v="199"/>
    <m/>
    <m/>
    <m/>
  </r>
  <r>
    <x v="253"/>
    <x v="5"/>
    <x v="199"/>
    <m/>
    <m/>
    <m/>
  </r>
  <r>
    <x v="174"/>
    <x v="1"/>
    <x v="199"/>
    <m/>
    <m/>
    <m/>
  </r>
  <r>
    <x v="174"/>
    <x v="1"/>
    <x v="199"/>
    <m/>
    <m/>
    <m/>
  </r>
  <r>
    <x v="174"/>
    <x v="27"/>
    <x v="199"/>
    <m/>
    <m/>
    <m/>
  </r>
  <r>
    <x v="238"/>
    <x v="57"/>
    <x v="199"/>
    <m/>
    <m/>
    <m/>
  </r>
  <r>
    <x v="251"/>
    <x v="35"/>
    <x v="199"/>
    <m/>
    <m/>
    <m/>
  </r>
  <r>
    <x v="256"/>
    <x v="45"/>
    <x v="199"/>
    <m/>
    <m/>
    <m/>
  </r>
  <r>
    <x v="258"/>
    <x v="5"/>
    <x v="199"/>
    <m/>
    <m/>
    <m/>
  </r>
  <r>
    <x v="257"/>
    <x v="5"/>
    <x v="199"/>
    <m/>
    <m/>
    <m/>
  </r>
  <r>
    <x v="260"/>
    <x v="5"/>
    <x v="199"/>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5:AD117" totalsRowShown="0" headerRowDxfId="207" tableBorderDxfId="206">
  <autoFilter ref="A75: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SUM(V76-W76)</calculatedColumnFormula>
    </tableColumn>
    <tableColumn id="25" xr3:uid="{379DDEA3-89EB-4099-83E7-3171E0DEAC62}" name="UG Percentage Complete" dataDxfId="181">
      <calculatedColumnFormula>IFERROR($W76/$V76,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2" totalsRowShown="0" headerRowDxfId="175" tableBorderDxfId="174">
  <autoFilter ref="A26:AD72"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7" zoomScale="80" zoomScaleNormal="80" workbookViewId="0">
      <pane xSplit="1" topLeftCell="U25" activePane="topRight" state="frozen"/>
      <selection pane="topRight" activeCell="W37" sqref="W3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1167">
        <v>51</v>
      </c>
      <c r="I17" s="857" t="s">
        <v>55</v>
      </c>
      <c r="J17" s="492" t="s">
        <v>94</v>
      </c>
      <c r="K17" s="1168"/>
      <c r="L17" s="490"/>
      <c r="M17" s="492" t="s">
        <v>57</v>
      </c>
      <c r="N17" s="1169">
        <v>31462.5</v>
      </c>
      <c r="O17" s="492" t="s">
        <v>57</v>
      </c>
      <c r="P17" s="1170" t="s">
        <v>58</v>
      </c>
      <c r="Q17" s="1171"/>
      <c r="R17" s="1171"/>
      <c r="S17" s="1171"/>
      <c r="T17" s="1171"/>
      <c r="U17" s="1171"/>
      <c r="V17" s="1172">
        <v>2390</v>
      </c>
      <c r="W17" s="486"/>
      <c r="X17" s="1173">
        <f>SUM(V17-W17)</f>
        <v>2390</v>
      </c>
      <c r="Y17" s="684">
        <f>IFERROR($W17/$V17, 0)</f>
        <v>0</v>
      </c>
      <c r="Z17" s="1171"/>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1167">
        <v>18</v>
      </c>
      <c r="I23" s="683" t="s">
        <v>55</v>
      </c>
      <c r="J23" s="483" t="s">
        <v>56</v>
      </c>
      <c r="K23" s="1168"/>
      <c r="L23" s="490"/>
      <c r="M23" s="492" t="s">
        <v>57</v>
      </c>
      <c r="N23" s="1169">
        <v>2490.5</v>
      </c>
      <c r="O23" s="492" t="s">
        <v>57</v>
      </c>
      <c r="P23" s="1170" t="s">
        <v>58</v>
      </c>
      <c r="Q23" s="1171"/>
      <c r="R23" s="1171"/>
      <c r="S23" s="1171"/>
      <c r="T23" s="1171"/>
      <c r="U23" s="1171"/>
      <c r="V23" s="1172">
        <v>130</v>
      </c>
      <c r="W23" s="486"/>
      <c r="X23" s="1173">
        <f>SUM(V23-W23)</f>
        <v>130</v>
      </c>
      <c r="Y23" s="684">
        <f>IFERROR($W23/$V23, 0)</f>
        <v>0</v>
      </c>
      <c r="Z23" s="1171"/>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2"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486">
        <v>1691</v>
      </c>
      <c r="X38" s="486">
        <f t="shared" si="3"/>
        <v>836</v>
      </c>
      <c r="Y38" s="684">
        <f t="shared" ref="Y38:Y70" si="4">IFERROR($W38/$V38, 0)</f>
        <v>0.66917293233082709</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2968</v>
      </c>
      <c r="X39" s="486">
        <f t="shared" si="3"/>
        <v>-117</v>
      </c>
      <c r="Y39" s="684">
        <f t="shared" si="4"/>
        <v>1.0410382321992284</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1183">
        <v>23475.5</v>
      </c>
      <c r="O60" s="483" t="s">
        <v>57</v>
      </c>
      <c r="P60" s="1184" t="s">
        <v>58</v>
      </c>
      <c r="Q60" s="1185"/>
      <c r="R60" s="1185"/>
      <c r="S60" s="1185"/>
      <c r="T60" s="1185"/>
      <c r="U60" s="1185"/>
      <c r="V60" s="430">
        <v>1890</v>
      </c>
      <c r="W60" s="486"/>
      <c r="X60" s="1173">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1183">
        <v>255.05</v>
      </c>
      <c r="O61" s="483" t="s">
        <v>57</v>
      </c>
      <c r="P61" s="1184" t="s">
        <v>58</v>
      </c>
      <c r="Q61" s="1185"/>
      <c r="R61" s="1185"/>
      <c r="S61" s="1185"/>
      <c r="T61" s="1185"/>
      <c r="U61" s="1185"/>
      <c r="V61" s="430">
        <v>3</v>
      </c>
      <c r="W61" s="486"/>
      <c r="X61" s="1173">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5" t="s">
        <v>209</v>
      </c>
      <c r="B71" s="479" t="s">
        <v>114</v>
      </c>
      <c r="C71" s="481">
        <v>45989</v>
      </c>
      <c r="D71" s="481" t="s">
        <v>210</v>
      </c>
      <c r="E71" s="481">
        <v>45958</v>
      </c>
      <c r="F71" s="479" t="s">
        <v>141</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486"/>
      <c r="X71" s="486">
        <f t="shared" si="3"/>
        <v>16290</v>
      </c>
      <c r="Y71" s="684">
        <f t="shared" ref="Y71:Y117" si="5">IFERROR($W71/$V71, 0)</f>
        <v>0</v>
      </c>
      <c r="Z71" s="363"/>
      <c r="AA71" s="366">
        <v>0</v>
      </c>
      <c r="AB71" s="366">
        <v>0</v>
      </c>
      <c r="AC71" s="486">
        <v>0</v>
      </c>
      <c r="AD71" s="780" t="s">
        <v>211</v>
      </c>
      <c r="AE71" s="172"/>
      <c r="AF71" s="400"/>
    </row>
    <row r="72" spans="1:32" ht="24.75" customHeight="1">
      <c r="A72" s="905" t="s">
        <v>212</v>
      </c>
      <c r="B72" s="479" t="s">
        <v>114</v>
      </c>
      <c r="C72" s="481">
        <v>46017</v>
      </c>
      <c r="D72" s="481" t="s">
        <v>213</v>
      </c>
      <c r="E72" s="481">
        <v>45936</v>
      </c>
      <c r="F72" s="479" t="s">
        <v>115</v>
      </c>
      <c r="G72" s="482"/>
      <c r="H72" s="483">
        <v>157</v>
      </c>
      <c r="I72" s="683" t="s">
        <v>55</v>
      </c>
      <c r="J72" s="483" t="s">
        <v>56</v>
      </c>
      <c r="K72" s="483"/>
      <c r="L72" s="481">
        <v>45943</v>
      </c>
      <c r="M72" s="483" t="s">
        <v>57</v>
      </c>
      <c r="N72" s="560">
        <v>64059.5</v>
      </c>
      <c r="O72" s="483" t="s">
        <v>57</v>
      </c>
      <c r="P72" s="809" t="s">
        <v>64</v>
      </c>
      <c r="Q72" s="485">
        <v>45943</v>
      </c>
      <c r="R72" s="485"/>
      <c r="S72" s="485"/>
      <c r="T72" s="485"/>
      <c r="U72" s="485"/>
      <c r="V72" s="486">
        <v>5576</v>
      </c>
      <c r="W72" s="1150">
        <v>2310</v>
      </c>
      <c r="X72" s="486">
        <f t="shared" si="3"/>
        <v>3266</v>
      </c>
      <c r="Y72" s="684">
        <f t="shared" si="5"/>
        <v>0.41427546628407458</v>
      </c>
      <c r="Z72" s="493">
        <v>45971</v>
      </c>
      <c r="AA72" s="366">
        <v>0</v>
      </c>
      <c r="AB72" s="366">
        <v>0</v>
      </c>
      <c r="AC72" s="486">
        <v>0</v>
      </c>
      <c r="AD72" s="780" t="s">
        <v>214</v>
      </c>
      <c r="AE72" s="172"/>
      <c r="AF72" s="400"/>
    </row>
    <row r="73" spans="1:32" ht="24.75" customHeight="1">
      <c r="A73" s="479"/>
      <c r="B73" s="1040"/>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904" t="s">
        <v>215</v>
      </c>
      <c r="B75" s="847" t="s">
        <v>20</v>
      </c>
      <c r="C75" s="847" t="s">
        <v>21</v>
      </c>
      <c r="D75" s="847" t="s">
        <v>22</v>
      </c>
      <c r="E75" s="847" t="s">
        <v>23</v>
      </c>
      <c r="F75" s="847" t="s">
        <v>24</v>
      </c>
      <c r="G75" s="847" t="s">
        <v>25</v>
      </c>
      <c r="H75" s="847" t="s">
        <v>26</v>
      </c>
      <c r="I75" s="847" t="s">
        <v>27</v>
      </c>
      <c r="J75" s="847" t="s">
        <v>28</v>
      </c>
      <c r="K75" s="847" t="s">
        <v>29</v>
      </c>
      <c r="L75" s="847" t="s">
        <v>30</v>
      </c>
      <c r="M75" s="847" t="s">
        <v>31</v>
      </c>
      <c r="N75" s="848" t="s">
        <v>32</v>
      </c>
      <c r="O75" s="847" t="s">
        <v>33</v>
      </c>
      <c r="P75" s="849" t="s">
        <v>34</v>
      </c>
      <c r="Q75" s="477" t="s">
        <v>35</v>
      </c>
      <c r="R75" s="477" t="s">
        <v>36</v>
      </c>
      <c r="S75" s="477" t="s">
        <v>37</v>
      </c>
      <c r="T75" s="477" t="s">
        <v>38</v>
      </c>
      <c r="U75" s="477" t="s">
        <v>39</v>
      </c>
      <c r="V75" s="477" t="s">
        <v>40</v>
      </c>
      <c r="W75" s="477" t="s">
        <v>41</v>
      </c>
      <c r="X75" s="477" t="s">
        <v>42</v>
      </c>
      <c r="Y75" s="477" t="s">
        <v>43</v>
      </c>
      <c r="Z75" s="477" t="s">
        <v>44</v>
      </c>
      <c r="AA75" s="478" t="s">
        <v>45</v>
      </c>
      <c r="AB75" s="477" t="s">
        <v>46</v>
      </c>
      <c r="AC75" s="477" t="s">
        <v>47</v>
      </c>
      <c r="AD75" s="850" t="s">
        <v>48</v>
      </c>
      <c r="AE75" s="172"/>
      <c r="AF75" s="400"/>
    </row>
    <row r="76" spans="1:32" ht="24.75" customHeight="1">
      <c r="A76" s="905" t="s">
        <v>216</v>
      </c>
      <c r="B76" s="860" t="s">
        <v>217</v>
      </c>
      <c r="C76" s="481">
        <v>45991</v>
      </c>
      <c r="D76" s="481" t="s">
        <v>60</v>
      </c>
      <c r="E76" s="481">
        <v>45966</v>
      </c>
      <c r="F76" s="481" t="s">
        <v>218</v>
      </c>
      <c r="G76" s="704"/>
      <c r="H76" s="483">
        <v>0</v>
      </c>
      <c r="I76" s="683" t="s">
        <v>55</v>
      </c>
      <c r="J76" s="483" t="s">
        <v>63</v>
      </c>
      <c r="K76" s="492"/>
      <c r="L76" s="481"/>
      <c r="M76" s="483" t="s">
        <v>57</v>
      </c>
      <c r="N76" s="560">
        <v>82825</v>
      </c>
      <c r="O76" s="483" t="s">
        <v>57</v>
      </c>
      <c r="P76" s="809" t="s">
        <v>68</v>
      </c>
      <c r="Q76" s="485">
        <v>45965</v>
      </c>
      <c r="R76" s="485"/>
      <c r="S76" s="485"/>
      <c r="T76" s="485"/>
      <c r="U76" s="485"/>
      <c r="V76" s="430">
        <v>6210</v>
      </c>
      <c r="W76" s="430"/>
      <c r="X76" s="486">
        <f t="shared" ref="X76:X117" si="6">SUM(V76-W76)</f>
        <v>6210</v>
      </c>
      <c r="Y76" s="684">
        <f t="shared" si="5"/>
        <v>0</v>
      </c>
      <c r="Z76" s="363"/>
      <c r="AA76" s="366">
        <v>0</v>
      </c>
      <c r="AB76" s="366">
        <v>0</v>
      </c>
      <c r="AC76" s="41">
        <v>0</v>
      </c>
      <c r="AD76" s="780" t="s">
        <v>219</v>
      </c>
      <c r="AE76" s="172"/>
      <c r="AF76" s="400"/>
    </row>
    <row r="77" spans="1:32" ht="24.75" customHeight="1">
      <c r="A77" s="905" t="s">
        <v>220</v>
      </c>
      <c r="B77" s="860" t="s">
        <v>217</v>
      </c>
      <c r="C77" s="481">
        <v>45976</v>
      </c>
      <c r="D77" s="481" t="s">
        <v>60</v>
      </c>
      <c r="E77" s="481">
        <v>45966</v>
      </c>
      <c r="F77" s="481" t="s">
        <v>221</v>
      </c>
      <c r="G77" s="704" t="s">
        <v>222</v>
      </c>
      <c r="H77" s="483">
        <v>7</v>
      </c>
      <c r="I77" s="683" t="s">
        <v>55</v>
      </c>
      <c r="J77" s="483" t="s">
        <v>63</v>
      </c>
      <c r="K77" s="492"/>
      <c r="L77" s="481"/>
      <c r="M77" s="483" t="s">
        <v>57</v>
      </c>
      <c r="N77" s="560">
        <v>34736.85</v>
      </c>
      <c r="O77" s="483" t="s">
        <v>57</v>
      </c>
      <c r="P77" s="809" t="s">
        <v>68</v>
      </c>
      <c r="Q77" s="485">
        <v>45965</v>
      </c>
      <c r="R77" s="485"/>
      <c r="S77" s="485"/>
      <c r="T77" s="485"/>
      <c r="U77" s="485"/>
      <c r="V77" s="430">
        <v>2601</v>
      </c>
      <c r="W77" s="1149">
        <v>1466</v>
      </c>
      <c r="X77" s="486">
        <f t="shared" si="6"/>
        <v>1135</v>
      </c>
      <c r="Y77" s="684">
        <f t="shared" si="5"/>
        <v>0.5636293733179546</v>
      </c>
      <c r="Z77" s="493">
        <v>45973</v>
      </c>
      <c r="AA77" s="366">
        <v>0</v>
      </c>
      <c r="AB77" s="366">
        <v>0</v>
      </c>
      <c r="AC77" s="41">
        <v>2601</v>
      </c>
      <c r="AD77" s="488" t="s">
        <v>223</v>
      </c>
      <c r="AE77" s="172"/>
      <c r="AF77" s="400"/>
    </row>
    <row r="78" spans="1:32" ht="24.75" customHeight="1">
      <c r="A78" s="906" t="s">
        <v>224</v>
      </c>
      <c r="B78" s="860" t="s">
        <v>217</v>
      </c>
      <c r="C78" s="481">
        <v>45991</v>
      </c>
      <c r="D78" s="489"/>
      <c r="E78" s="490">
        <v>45716</v>
      </c>
      <c r="F78" s="489" t="s">
        <v>225</v>
      </c>
      <c r="G78" s="852" t="s">
        <v>226</v>
      </c>
      <c r="H78" s="492">
        <v>0</v>
      </c>
      <c r="I78" s="857" t="s">
        <v>55</v>
      </c>
      <c r="J78" s="492" t="s">
        <v>63</v>
      </c>
      <c r="K78" s="492" t="s">
        <v>227</v>
      </c>
      <c r="L78" s="481">
        <v>45716</v>
      </c>
      <c r="M78" s="492" t="s">
        <v>57</v>
      </c>
      <c r="N78" s="561">
        <v>14013.5</v>
      </c>
      <c r="O78" s="492" t="s">
        <v>57</v>
      </c>
      <c r="P78" s="806" t="s">
        <v>68</v>
      </c>
      <c r="Q78" s="493">
        <v>45721</v>
      </c>
      <c r="R78" s="493"/>
      <c r="S78" s="493"/>
      <c r="T78" s="493"/>
      <c r="U78" s="493"/>
      <c r="V78" s="41">
        <v>150</v>
      </c>
      <c r="W78" s="495"/>
      <c r="X78" s="486">
        <f t="shared" si="6"/>
        <v>150</v>
      </c>
      <c r="Y78" s="684">
        <f t="shared" si="5"/>
        <v>0</v>
      </c>
      <c r="Z78" s="363"/>
      <c r="AA78" s="366">
        <v>0</v>
      </c>
      <c r="AB78" s="366">
        <v>0</v>
      </c>
      <c r="AC78" s="41">
        <v>0</v>
      </c>
      <c r="AD78" s="173" t="s">
        <v>228</v>
      </c>
      <c r="AE78" s="172"/>
      <c r="AF78" s="400"/>
    </row>
    <row r="79" spans="1:32" ht="24.75" customHeight="1">
      <c r="A79" s="905" t="s">
        <v>229</v>
      </c>
      <c r="B79" s="860" t="s">
        <v>217</v>
      </c>
      <c r="C79" s="481">
        <v>45999</v>
      </c>
      <c r="D79" s="489" t="s">
        <v>60</v>
      </c>
      <c r="E79" s="490"/>
      <c r="F79" s="489" t="s">
        <v>230</v>
      </c>
      <c r="G79" s="491" t="s">
        <v>231</v>
      </c>
      <c r="H79" s="492">
        <v>0</v>
      </c>
      <c r="I79" s="683" t="s">
        <v>55</v>
      </c>
      <c r="J79" s="483" t="s">
        <v>63</v>
      </c>
      <c r="K79" s="483"/>
      <c r="L79" s="481"/>
      <c r="M79" s="492" t="s">
        <v>57</v>
      </c>
      <c r="N79" s="561">
        <v>4911.8999999999996</v>
      </c>
      <c r="O79" s="492" t="s">
        <v>57</v>
      </c>
      <c r="P79" s="806" t="s">
        <v>58</v>
      </c>
      <c r="Q79" s="493"/>
      <c r="R79" s="493"/>
      <c r="S79" s="493"/>
      <c r="T79" s="493"/>
      <c r="U79" s="493"/>
      <c r="V79" s="41">
        <v>294</v>
      </c>
      <c r="W79" s="486"/>
      <c r="X79" s="486">
        <f t="shared" si="6"/>
        <v>294</v>
      </c>
      <c r="Y79" s="684">
        <f t="shared" si="5"/>
        <v>0</v>
      </c>
      <c r="Z79" s="363"/>
      <c r="AA79" s="366">
        <v>0</v>
      </c>
      <c r="AB79" s="366">
        <v>0</v>
      </c>
      <c r="AC79" s="41">
        <v>0</v>
      </c>
      <c r="AD79" s="780" t="s">
        <v>232</v>
      </c>
      <c r="AE79" s="172"/>
      <c r="AF79" s="400"/>
    </row>
    <row r="80" spans="1:32" ht="24.75" customHeight="1">
      <c r="A80" s="905" t="s">
        <v>233</v>
      </c>
      <c r="B80" s="860" t="s">
        <v>217</v>
      </c>
      <c r="C80" s="481">
        <v>46006</v>
      </c>
      <c r="D80" s="489"/>
      <c r="E80" s="490"/>
      <c r="F80" s="489"/>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234</v>
      </c>
      <c r="AE80" s="172"/>
      <c r="AF80" s="400"/>
    </row>
    <row r="81" spans="1:56" ht="24.75" customHeight="1">
      <c r="A81" s="905" t="s">
        <v>235</v>
      </c>
      <c r="B81" s="860" t="s">
        <v>217</v>
      </c>
      <c r="C81" s="481">
        <v>46021</v>
      </c>
      <c r="D81" s="481"/>
      <c r="E81" s="481"/>
      <c r="F81" s="481"/>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217</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217</v>
      </c>
      <c r="C83" s="481">
        <v>45989</v>
      </c>
      <c r="D83" s="490" t="s">
        <v>239</v>
      </c>
      <c r="E83" s="490">
        <v>45959</v>
      </c>
      <c r="F83" s="489" t="s">
        <v>230</v>
      </c>
      <c r="G83" s="856" t="s">
        <v>240</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1149">
        <v>2897</v>
      </c>
      <c r="X83" s="486">
        <f t="shared" si="6"/>
        <v>1100</v>
      </c>
      <c r="Y83" s="684">
        <f t="shared" si="5"/>
        <v>0.7247935951963973</v>
      </c>
      <c r="Z83" s="493">
        <v>45960</v>
      </c>
      <c r="AA83" s="366">
        <v>0</v>
      </c>
      <c r="AB83" s="366">
        <v>0</v>
      </c>
      <c r="AC83" s="664">
        <v>0</v>
      </c>
      <c r="AD83" s="488" t="s">
        <v>241</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242</v>
      </c>
      <c r="B84" s="860" t="s">
        <v>217</v>
      </c>
      <c r="C84" s="481">
        <v>45989</v>
      </c>
      <c r="D84" s="490" t="s">
        <v>243</v>
      </c>
      <c r="E84" s="490">
        <v>45964</v>
      </c>
      <c r="F84" s="489" t="s">
        <v>225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1558</v>
      </c>
      <c r="X84" s="486">
        <f t="shared" si="6"/>
        <v>2808</v>
      </c>
      <c r="Y84" s="684">
        <f t="shared" si="5"/>
        <v>0.35684837379752632</v>
      </c>
      <c r="Z84" s="493">
        <v>45971</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244</v>
      </c>
      <c r="B85" s="860" t="s">
        <v>217</v>
      </c>
      <c r="C85" s="481">
        <v>45989</v>
      </c>
      <c r="D85" s="490" t="s">
        <v>245</v>
      </c>
      <c r="E85" s="490">
        <v>45964</v>
      </c>
      <c r="F85" s="489" t="s">
        <v>246</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247</v>
      </c>
      <c r="B86" s="860" t="s">
        <v>217</v>
      </c>
      <c r="C86" s="481">
        <v>45989</v>
      </c>
      <c r="D86" s="490" t="s">
        <v>243</v>
      </c>
      <c r="E86" s="490">
        <v>45975</v>
      </c>
      <c r="F86" s="489" t="s">
        <v>225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248</v>
      </c>
      <c r="AE86" s="101"/>
    </row>
    <row r="87" spans="1:56" ht="24.75" customHeight="1">
      <c r="A87" s="906" t="s">
        <v>249</v>
      </c>
      <c r="B87" s="860" t="s">
        <v>217</v>
      </c>
      <c r="C87" s="481">
        <v>46172</v>
      </c>
      <c r="D87" s="490"/>
      <c r="E87" s="490"/>
      <c r="F87" s="489"/>
      <c r="G87" s="986"/>
      <c r="H87" s="492">
        <v>52</v>
      </c>
      <c r="I87" s="857" t="s">
        <v>55</v>
      </c>
      <c r="J87" s="861" t="s">
        <v>63</v>
      </c>
      <c r="K87" s="483" t="s">
        <v>125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250</v>
      </c>
      <c r="AE87" s="101"/>
    </row>
    <row r="88" spans="1:56" ht="24.75" customHeight="1">
      <c r="A88" s="906" t="s">
        <v>251</v>
      </c>
      <c r="B88" s="860" t="s">
        <v>217</v>
      </c>
      <c r="C88" s="481">
        <v>46172</v>
      </c>
      <c r="D88" s="490"/>
      <c r="E88" s="490"/>
      <c r="F88" s="489"/>
      <c r="G88" s="986"/>
      <c r="H88" s="492">
        <v>56</v>
      </c>
      <c r="I88" s="857" t="s">
        <v>55</v>
      </c>
      <c r="J88" s="861" t="s">
        <v>63</v>
      </c>
      <c r="K88" s="483" t="s">
        <v>125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252</v>
      </c>
      <c r="AE88" s="101"/>
    </row>
    <row r="89" spans="1:56" ht="24.75" customHeight="1">
      <c r="A89" s="906" t="s">
        <v>253</v>
      </c>
      <c r="B89" s="860" t="s">
        <v>217</v>
      </c>
      <c r="C89" s="481">
        <v>46172</v>
      </c>
      <c r="D89" s="490"/>
      <c r="E89" s="490"/>
      <c r="F89" s="489"/>
      <c r="G89" s="856"/>
      <c r="H89" s="861">
        <v>70</v>
      </c>
      <c r="I89" s="857" t="s">
        <v>55</v>
      </c>
      <c r="J89" s="861" t="s">
        <v>63</v>
      </c>
      <c r="K89" s="483" t="s">
        <v>125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254</v>
      </c>
      <c r="AE89" s="101"/>
    </row>
    <row r="90" spans="1:56" ht="24.75" customHeight="1">
      <c r="A90" s="906" t="s">
        <v>255</v>
      </c>
      <c r="B90" s="860" t="s">
        <v>217</v>
      </c>
      <c r="C90" s="481">
        <v>46172</v>
      </c>
      <c r="D90" s="490"/>
      <c r="E90" s="490"/>
      <c r="F90" s="489"/>
      <c r="G90" s="986"/>
      <c r="H90" s="492">
        <v>30</v>
      </c>
      <c r="I90" s="857" t="s">
        <v>55</v>
      </c>
      <c r="J90" s="861" t="s">
        <v>63</v>
      </c>
      <c r="K90" s="483" t="s">
        <v>125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256</v>
      </c>
      <c r="AE90" s="101"/>
    </row>
    <row r="91" spans="1:56" ht="24.75" customHeight="1">
      <c r="A91" s="906" t="s">
        <v>257</v>
      </c>
      <c r="B91" s="860" t="s">
        <v>217</v>
      </c>
      <c r="C91" s="481">
        <v>46172</v>
      </c>
      <c r="D91" s="490"/>
      <c r="E91" s="490"/>
      <c r="F91" s="489"/>
      <c r="G91" s="856"/>
      <c r="H91" s="861">
        <v>48</v>
      </c>
      <c r="I91" s="857" t="s">
        <v>55</v>
      </c>
      <c r="J91" s="861" t="s">
        <v>63</v>
      </c>
      <c r="K91" s="483" t="s">
        <v>125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258</v>
      </c>
      <c r="AE91" s="101"/>
    </row>
    <row r="92" spans="1:56" ht="24.75" customHeight="1">
      <c r="A92" s="906" t="s">
        <v>259</v>
      </c>
      <c r="B92" s="860" t="s">
        <v>217</v>
      </c>
      <c r="C92" s="481">
        <v>46172</v>
      </c>
      <c r="D92" s="490"/>
      <c r="E92" s="490"/>
      <c r="F92" s="489"/>
      <c r="G92" s="856"/>
      <c r="H92" s="861">
        <v>60</v>
      </c>
      <c r="I92" s="857" t="s">
        <v>55</v>
      </c>
      <c r="J92" s="861" t="s">
        <v>63</v>
      </c>
      <c r="K92" s="483" t="s">
        <v>125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258</v>
      </c>
      <c r="AE92" s="101"/>
    </row>
    <row r="93" spans="1:56" ht="24.75" customHeight="1">
      <c r="A93" s="906" t="s">
        <v>260</v>
      </c>
      <c r="B93" s="860" t="s">
        <v>217</v>
      </c>
      <c r="C93" s="481">
        <v>46172</v>
      </c>
      <c r="D93" s="490"/>
      <c r="E93" s="490"/>
      <c r="F93" s="489"/>
      <c r="G93" s="856"/>
      <c r="H93" s="861">
        <v>72</v>
      </c>
      <c r="I93" s="857" t="s">
        <v>55</v>
      </c>
      <c r="J93" s="861" t="s">
        <v>63</v>
      </c>
      <c r="K93" s="483" t="s">
        <v>125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258</v>
      </c>
      <c r="AE93" s="101"/>
    </row>
    <row r="94" spans="1:56" ht="24.75" customHeight="1">
      <c r="A94" s="906" t="s">
        <v>261</v>
      </c>
      <c r="B94" s="860" t="s">
        <v>217</v>
      </c>
      <c r="C94" s="481">
        <v>46172</v>
      </c>
      <c r="D94" s="490"/>
      <c r="E94" s="490"/>
      <c r="F94" s="489"/>
      <c r="G94" s="986"/>
      <c r="H94" s="492">
        <v>20</v>
      </c>
      <c r="I94" s="857" t="s">
        <v>55</v>
      </c>
      <c r="J94" s="861" t="s">
        <v>63</v>
      </c>
      <c r="K94" s="483" t="s">
        <v>125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252</v>
      </c>
      <c r="AE94" s="101"/>
    </row>
    <row r="95" spans="1:56" ht="24.75" customHeight="1">
      <c r="A95" s="906" t="s">
        <v>262</v>
      </c>
      <c r="B95" s="860" t="s">
        <v>217</v>
      </c>
      <c r="C95" s="481">
        <v>46111</v>
      </c>
      <c r="D95" s="490"/>
      <c r="E95" s="490"/>
      <c r="F95" s="489"/>
      <c r="G95" s="856"/>
      <c r="H95" s="492">
        <v>0</v>
      </c>
      <c r="I95" s="483" t="s">
        <v>55</v>
      </c>
      <c r="J95" s="483" t="s">
        <v>94</v>
      </c>
      <c r="K95" s="483" t="s">
        <v>116</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263</v>
      </c>
      <c r="AE95" s="101"/>
    </row>
    <row r="96" spans="1:56" ht="24.75" customHeight="1">
      <c r="A96" s="905" t="s">
        <v>264</v>
      </c>
      <c r="B96" s="860" t="s">
        <v>217</v>
      </c>
      <c r="C96" s="481">
        <v>46111</v>
      </c>
      <c r="D96" s="490"/>
      <c r="E96" s="490"/>
      <c r="F96" s="489"/>
      <c r="G96" s="986"/>
      <c r="H96" s="492">
        <v>20</v>
      </c>
      <c r="I96" s="857" t="s">
        <v>55</v>
      </c>
      <c r="J96" s="861" t="s">
        <v>63</v>
      </c>
      <c r="K96" s="483"/>
      <c r="L96" s="490"/>
      <c r="M96" s="492" t="s">
        <v>57</v>
      </c>
      <c r="N96" s="561">
        <v>1733.25</v>
      </c>
      <c r="O96" s="492" t="s">
        <v>57</v>
      </c>
      <c r="P96" s="806" t="s">
        <v>58</v>
      </c>
      <c r="Q96" s="493"/>
      <c r="R96" s="493"/>
      <c r="S96" s="493"/>
      <c r="T96" s="493"/>
      <c r="U96" s="493"/>
      <c r="V96" s="41">
        <v>255</v>
      </c>
      <c r="W96" s="486"/>
      <c r="X96" s="486">
        <f>SUM(V96-W96)</f>
        <v>255</v>
      </c>
      <c r="Y96" s="684">
        <f>IFERROR($W96/$V96, 0)</f>
        <v>0</v>
      </c>
      <c r="Z96" s="363"/>
      <c r="AA96" s="366">
        <v>0</v>
      </c>
      <c r="AB96" s="366">
        <v>0</v>
      </c>
      <c r="AC96" s="664">
        <v>0</v>
      </c>
      <c r="AD96" s="1076" t="s">
        <v>265</v>
      </c>
      <c r="AE96" s="101"/>
    </row>
    <row r="97" spans="1:31" ht="24.75" customHeight="1">
      <c r="A97" s="905" t="s">
        <v>266</v>
      </c>
      <c r="B97" s="860" t="s">
        <v>217</v>
      </c>
      <c r="C97" s="481">
        <v>46111</v>
      </c>
      <c r="D97" s="489"/>
      <c r="E97" s="490"/>
      <c r="F97" s="489"/>
      <c r="G97" s="491"/>
      <c r="H97" s="492">
        <v>0</v>
      </c>
      <c r="I97" s="857" t="s">
        <v>55</v>
      </c>
      <c r="J97" s="492" t="s">
        <v>63</v>
      </c>
      <c r="K97" s="483"/>
      <c r="L97" s="490"/>
      <c r="M97" s="492" t="s">
        <v>57</v>
      </c>
      <c r="N97" s="561">
        <v>3995.4</v>
      </c>
      <c r="O97" s="492" t="s">
        <v>57</v>
      </c>
      <c r="P97" s="806" t="s">
        <v>58</v>
      </c>
      <c r="Q97" s="493"/>
      <c r="R97" s="493"/>
      <c r="S97" s="493"/>
      <c r="T97" s="493"/>
      <c r="U97" s="493"/>
      <c r="V97" s="41">
        <v>294</v>
      </c>
      <c r="W97" s="486"/>
      <c r="X97" s="486">
        <f t="shared" si="6"/>
        <v>294</v>
      </c>
      <c r="Y97" s="684">
        <f t="shared" si="5"/>
        <v>0</v>
      </c>
      <c r="Z97" s="363"/>
      <c r="AA97" s="366">
        <v>0</v>
      </c>
      <c r="AB97" s="366">
        <v>0</v>
      </c>
      <c r="AC97" s="41">
        <v>0</v>
      </c>
      <c r="AD97" s="780" t="s">
        <v>267</v>
      </c>
      <c r="AE97" s="101"/>
    </row>
    <row r="98" spans="1:31" ht="24.75" customHeight="1">
      <c r="A98" s="905" t="s">
        <v>268</v>
      </c>
      <c r="B98" s="860" t="s">
        <v>217</v>
      </c>
      <c r="C98" s="481">
        <v>46040</v>
      </c>
      <c r="D98" s="489"/>
      <c r="E98" s="490"/>
      <c r="F98" s="489"/>
      <c r="G98" s="491"/>
      <c r="H98" s="492">
        <v>0</v>
      </c>
      <c r="I98" s="857" t="s">
        <v>55</v>
      </c>
      <c r="J98" s="492" t="s">
        <v>63</v>
      </c>
      <c r="K98" s="483"/>
      <c r="L98" s="490"/>
      <c r="M98" s="492" t="s">
        <v>57</v>
      </c>
      <c r="N98" s="561">
        <v>18171.599999999999</v>
      </c>
      <c r="O98" s="492" t="s">
        <v>57</v>
      </c>
      <c r="P98" s="806" t="s">
        <v>58</v>
      </c>
      <c r="Q98" s="493"/>
      <c r="R98" s="493"/>
      <c r="S98" s="493"/>
      <c r="T98" s="493"/>
      <c r="U98" s="493"/>
      <c r="V98" s="41">
        <v>1514</v>
      </c>
      <c r="W98" s="486"/>
      <c r="X98" s="486">
        <f>SUM(V98-W98)</f>
        <v>1514</v>
      </c>
      <c r="Y98" s="684">
        <f>IFERROR($W98/$V98, 0)</f>
        <v>0</v>
      </c>
      <c r="Z98" s="363"/>
      <c r="AA98" s="366">
        <v>0</v>
      </c>
      <c r="AB98" s="366">
        <v>0</v>
      </c>
      <c r="AC98" s="41">
        <v>0</v>
      </c>
      <c r="AD98" s="780" t="s">
        <v>269</v>
      </c>
      <c r="AE98" s="101"/>
    </row>
    <row r="99" spans="1:31" ht="24.75" customHeight="1">
      <c r="A99" s="905" t="s">
        <v>270</v>
      </c>
      <c r="B99" s="860" t="s">
        <v>217</v>
      </c>
      <c r="C99" s="481">
        <v>46002</v>
      </c>
      <c r="D99" s="489"/>
      <c r="E99" s="490"/>
      <c r="F99" s="489"/>
      <c r="G99" s="491"/>
      <c r="H99" s="492">
        <v>0</v>
      </c>
      <c r="I99" s="857" t="s">
        <v>55</v>
      </c>
      <c r="J99" s="492" t="s">
        <v>63</v>
      </c>
      <c r="K99" s="483"/>
      <c r="L99" s="490"/>
      <c r="M99" s="492" t="s">
        <v>57</v>
      </c>
      <c r="N99" s="561">
        <v>1675.2</v>
      </c>
      <c r="O99" s="492" t="s">
        <v>57</v>
      </c>
      <c r="P99" s="806" t="s">
        <v>58</v>
      </c>
      <c r="Q99" s="493"/>
      <c r="R99" s="493"/>
      <c r="S99" s="493"/>
      <c r="T99" s="493"/>
      <c r="U99" s="493"/>
      <c r="V99" s="41">
        <v>123</v>
      </c>
      <c r="W99" s="486"/>
      <c r="X99" s="486">
        <f t="shared" si="6"/>
        <v>123</v>
      </c>
      <c r="Y99" s="684">
        <f t="shared" si="5"/>
        <v>0</v>
      </c>
      <c r="Z99" s="363"/>
      <c r="AA99" s="366">
        <v>0</v>
      </c>
      <c r="AB99" s="366">
        <v>0</v>
      </c>
      <c r="AC99" s="41">
        <v>0</v>
      </c>
      <c r="AD99" s="780" t="s">
        <v>271</v>
      </c>
      <c r="AE99" s="101"/>
    </row>
    <row r="100" spans="1:31" ht="24.75" customHeight="1">
      <c r="A100" s="905" t="s">
        <v>272</v>
      </c>
      <c r="B100" s="860" t="s">
        <v>217</v>
      </c>
      <c r="C100" s="481">
        <v>46009</v>
      </c>
      <c r="D100" s="489"/>
      <c r="E100" s="490"/>
      <c r="F100" s="489"/>
      <c r="G100" s="491"/>
      <c r="H100" s="492">
        <v>0</v>
      </c>
      <c r="I100" s="857" t="s">
        <v>55</v>
      </c>
      <c r="J100" s="492" t="s">
        <v>63</v>
      </c>
      <c r="K100" s="483"/>
      <c r="L100" s="490"/>
      <c r="M100" s="492" t="s">
        <v>57</v>
      </c>
      <c r="N100" s="561">
        <v>105558.2</v>
      </c>
      <c r="O100" s="492" t="s">
        <v>57</v>
      </c>
      <c r="P100" s="806" t="s">
        <v>58</v>
      </c>
      <c r="Q100" s="493"/>
      <c r="R100" s="493"/>
      <c r="S100" s="493"/>
      <c r="T100" s="493"/>
      <c r="U100" s="493"/>
      <c r="V100" s="41">
        <v>7753</v>
      </c>
      <c r="W100" s="486"/>
      <c r="X100" s="486">
        <f>SUM(V100-W100)</f>
        <v>7753</v>
      </c>
      <c r="Y100" s="684">
        <f>IFERROR($W100/$V100, 0)</f>
        <v>0</v>
      </c>
      <c r="Z100" s="363"/>
      <c r="AA100" s="366">
        <v>0</v>
      </c>
      <c r="AB100" s="366">
        <v>0</v>
      </c>
      <c r="AC100" s="41">
        <v>0</v>
      </c>
      <c r="AD100" s="488" t="s">
        <v>273</v>
      </c>
      <c r="AE100" s="101"/>
    </row>
    <row r="101" spans="1:31" ht="24.75" customHeight="1">
      <c r="A101" s="905" t="s">
        <v>274</v>
      </c>
      <c r="B101" s="860" t="s">
        <v>217</v>
      </c>
      <c r="C101" s="481">
        <v>45960</v>
      </c>
      <c r="D101" s="489" t="s">
        <v>60</v>
      </c>
      <c r="E101" s="490">
        <v>45867</v>
      </c>
      <c r="F101" s="489" t="s">
        <v>221</v>
      </c>
      <c r="G101" s="852" t="s">
        <v>275</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486">
        <v>2733</v>
      </c>
      <c r="X101" s="486">
        <f t="shared" si="6"/>
        <v>2092</v>
      </c>
      <c r="Y101" s="684">
        <f t="shared" si="5"/>
        <v>0.56642487046632128</v>
      </c>
      <c r="Z101" s="493">
        <v>45884</v>
      </c>
      <c r="AA101" s="366">
        <v>0</v>
      </c>
      <c r="AB101" s="366">
        <v>0</v>
      </c>
      <c r="AC101" s="41">
        <v>0</v>
      </c>
      <c r="AD101" s="488"/>
      <c r="AE101" s="101"/>
    </row>
    <row r="102" spans="1:31" ht="24.75" customHeight="1">
      <c r="A102" s="906" t="s">
        <v>276</v>
      </c>
      <c r="B102" s="860" t="s">
        <v>217</v>
      </c>
      <c r="C102" s="481">
        <v>45960</v>
      </c>
      <c r="D102" s="489" t="s">
        <v>245</v>
      </c>
      <c r="E102" s="490">
        <v>45923</v>
      </c>
      <c r="F102" s="489" t="s">
        <v>246</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277</v>
      </c>
      <c r="AE102" s="101"/>
    </row>
    <row r="103" spans="1:31" ht="24.75" customHeight="1">
      <c r="A103" s="905" t="s">
        <v>278</v>
      </c>
      <c r="B103" s="860" t="s">
        <v>217</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279</v>
      </c>
      <c r="B104" s="860" t="s">
        <v>217</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250</v>
      </c>
      <c r="AE104" s="101"/>
    </row>
    <row r="105" spans="1:31" ht="24.75" customHeight="1">
      <c r="A105" s="905" t="s">
        <v>280</v>
      </c>
      <c r="B105" s="508" t="s">
        <v>281</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282</v>
      </c>
      <c r="AE105" s="101"/>
    </row>
    <row r="106" spans="1:31" ht="24.75" customHeight="1">
      <c r="A106" s="906" t="s">
        <v>283</v>
      </c>
      <c r="B106" s="508" t="s">
        <v>281</v>
      </c>
      <c r="C106" s="481">
        <v>46053</v>
      </c>
      <c r="D106" s="489"/>
      <c r="E106" s="490"/>
      <c r="F106" s="489"/>
      <c r="G106" s="491"/>
      <c r="H106" s="492">
        <v>30</v>
      </c>
      <c r="I106" s="857" t="s">
        <v>55</v>
      </c>
      <c r="J106" s="861" t="s">
        <v>63</v>
      </c>
      <c r="K106" s="483" t="s">
        <v>125</v>
      </c>
      <c r="L106" s="490"/>
      <c r="M106" s="492" t="s">
        <v>95</v>
      </c>
      <c r="N106" s="561"/>
      <c r="O106" s="492" t="s">
        <v>95</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284</v>
      </c>
      <c r="B107" s="508" t="s">
        <v>281</v>
      </c>
      <c r="C107" s="481">
        <v>46053</v>
      </c>
      <c r="D107" s="489" t="s">
        <v>245</v>
      </c>
      <c r="E107" s="490">
        <v>45975</v>
      </c>
      <c r="F107" s="489" t="s">
        <v>225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285</v>
      </c>
      <c r="AE107" s="101"/>
    </row>
    <row r="108" spans="1:31" ht="24.75" customHeight="1">
      <c r="A108" s="905" t="s">
        <v>286</v>
      </c>
      <c r="B108" s="508" t="s">
        <v>281</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287</v>
      </c>
      <c r="AE108" s="101"/>
    </row>
    <row r="109" spans="1:31" ht="24.75" customHeight="1">
      <c r="A109" s="905" t="s">
        <v>288</v>
      </c>
      <c r="B109" s="508" t="s">
        <v>281</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289</v>
      </c>
      <c r="AE109" s="101"/>
    </row>
    <row r="110" spans="1:31" ht="24.75" customHeight="1">
      <c r="A110" s="905" t="s">
        <v>290</v>
      </c>
      <c r="B110" s="508" t="s">
        <v>281</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289</v>
      </c>
      <c r="AE110" s="101"/>
    </row>
    <row r="111" spans="1:31" ht="24.75" customHeight="1">
      <c r="A111" s="905" t="s">
        <v>291</v>
      </c>
      <c r="B111" s="508" t="s">
        <v>281</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282</v>
      </c>
      <c r="AE111" s="101"/>
    </row>
    <row r="112" spans="1:31" ht="24.75" customHeight="1">
      <c r="A112" s="905" t="s">
        <v>292</v>
      </c>
      <c r="B112" s="508" t="s">
        <v>281</v>
      </c>
      <c r="C112" s="481">
        <v>46053</v>
      </c>
      <c r="D112" s="489" t="s">
        <v>245</v>
      </c>
      <c r="E112" s="490">
        <v>45964</v>
      </c>
      <c r="F112" s="489" t="s">
        <v>225</v>
      </c>
      <c r="G112" s="491"/>
      <c r="H112" s="492">
        <v>82</v>
      </c>
      <c r="I112" s="857" t="s">
        <v>55</v>
      </c>
      <c r="J112" s="492" t="s">
        <v>63</v>
      </c>
      <c r="K112" s="483"/>
      <c r="L112" s="490"/>
      <c r="M112" s="492" t="s">
        <v>57</v>
      </c>
      <c r="N112" s="561">
        <v>101871</v>
      </c>
      <c r="O112" s="492" t="s">
        <v>57</v>
      </c>
      <c r="P112" s="806" t="s">
        <v>58</v>
      </c>
      <c r="Q112" s="493">
        <v>45965</v>
      </c>
      <c r="R112" s="493"/>
      <c r="S112" s="493"/>
      <c r="T112" s="493"/>
      <c r="U112" s="493"/>
      <c r="V112" s="41">
        <v>8100</v>
      </c>
      <c r="W112" s="1150">
        <v>6523</v>
      </c>
      <c r="X112" s="486">
        <f t="shared" si="6"/>
        <v>1577</v>
      </c>
      <c r="Y112" s="684">
        <f t="shared" si="5"/>
        <v>0.8053086419753086</v>
      </c>
      <c r="Z112" s="493">
        <v>45973</v>
      </c>
      <c r="AA112" s="366">
        <v>0</v>
      </c>
      <c r="AB112" s="366">
        <v>0</v>
      </c>
      <c r="AC112" s="41">
        <v>0</v>
      </c>
      <c r="AD112" s="780" t="s">
        <v>282</v>
      </c>
      <c r="AE112" s="101"/>
    </row>
    <row r="113" spans="1:31" ht="24.75" customHeight="1">
      <c r="A113" s="906" t="s">
        <v>293</v>
      </c>
      <c r="B113" s="508" t="s">
        <v>281</v>
      </c>
      <c r="C113" s="481">
        <v>46053</v>
      </c>
      <c r="D113" s="489"/>
      <c r="E113" s="490"/>
      <c r="F113" s="489"/>
      <c r="G113" s="491"/>
      <c r="H113" s="492">
        <v>86</v>
      </c>
      <c r="I113" s="857" t="s">
        <v>55</v>
      </c>
      <c r="J113" s="861" t="s">
        <v>63</v>
      </c>
      <c r="K113" s="483" t="s">
        <v>125</v>
      </c>
      <c r="L113" s="490"/>
      <c r="M113" s="492" t="s">
        <v>95</v>
      </c>
      <c r="N113" s="561"/>
      <c r="O113" s="492" t="s">
        <v>95</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294</v>
      </c>
      <c r="B114" s="508" t="s">
        <v>281</v>
      </c>
      <c r="C114" s="481">
        <v>46053</v>
      </c>
      <c r="D114" s="489" t="s">
        <v>245</v>
      </c>
      <c r="E114" s="490">
        <v>45974</v>
      </c>
      <c r="F114" s="489" t="s">
        <v>225</v>
      </c>
      <c r="G114" s="491"/>
      <c r="H114" s="492">
        <v>77</v>
      </c>
      <c r="I114" s="857" t="s">
        <v>55</v>
      </c>
      <c r="J114" s="492" t="s">
        <v>63</v>
      </c>
      <c r="K114" s="483"/>
      <c r="L114" s="490"/>
      <c r="M114" s="492" t="s">
        <v>57</v>
      </c>
      <c r="N114" s="561">
        <v>90786</v>
      </c>
      <c r="O114" s="492" t="s">
        <v>57</v>
      </c>
      <c r="P114" s="806" t="s">
        <v>58</v>
      </c>
      <c r="Q114" s="493">
        <v>45965</v>
      </c>
      <c r="R114" s="493"/>
      <c r="S114" s="493"/>
      <c r="T114" s="493"/>
      <c r="U114" s="493"/>
      <c r="V114" s="41">
        <v>8013</v>
      </c>
      <c r="W114" s="486"/>
      <c r="X114" s="486">
        <f t="shared" si="6"/>
        <v>8013</v>
      </c>
      <c r="Y114" s="684">
        <f t="shared" si="5"/>
        <v>0</v>
      </c>
      <c r="Z114" s="363"/>
      <c r="AA114" s="366">
        <v>0</v>
      </c>
      <c r="AB114" s="366">
        <v>0</v>
      </c>
      <c r="AC114" s="41">
        <v>0</v>
      </c>
      <c r="AD114" s="780" t="s">
        <v>282</v>
      </c>
      <c r="AE114" s="101"/>
    </row>
    <row r="115" spans="1:31" ht="24.75" customHeight="1">
      <c r="A115" s="905" t="s">
        <v>295</v>
      </c>
      <c r="B115" s="508" t="s">
        <v>281</v>
      </c>
      <c r="C115" s="481">
        <v>46053</v>
      </c>
      <c r="D115" s="489" t="s">
        <v>239</v>
      </c>
      <c r="E115" s="490">
        <v>45975</v>
      </c>
      <c r="F115" s="489" t="s">
        <v>230</v>
      </c>
      <c r="G115" s="491"/>
      <c r="H115" s="492">
        <v>75</v>
      </c>
      <c r="I115" s="857" t="s">
        <v>55</v>
      </c>
      <c r="J115" s="492" t="s">
        <v>63</v>
      </c>
      <c r="K115" s="483"/>
      <c r="L115" s="490"/>
      <c r="M115" s="492" t="s">
        <v>57</v>
      </c>
      <c r="N115" s="561">
        <v>82330</v>
      </c>
      <c r="O115" s="492" t="s">
        <v>57</v>
      </c>
      <c r="P115" s="806" t="s">
        <v>58</v>
      </c>
      <c r="Q115" s="493">
        <v>45965</v>
      </c>
      <c r="R115" s="493"/>
      <c r="S115" s="493"/>
      <c r="T115" s="493"/>
      <c r="U115" s="493"/>
      <c r="V115" s="41">
        <v>7126</v>
      </c>
      <c r="W115" s="486"/>
      <c r="X115" s="486">
        <f t="shared" si="6"/>
        <v>7126</v>
      </c>
      <c r="Y115" s="684">
        <f t="shared" si="5"/>
        <v>0</v>
      </c>
      <c r="Z115" s="363"/>
      <c r="AA115" s="366">
        <v>0</v>
      </c>
      <c r="AB115" s="366">
        <v>0</v>
      </c>
      <c r="AC115" s="41">
        <v>0</v>
      </c>
      <c r="AD115" s="780" t="s">
        <v>282</v>
      </c>
      <c r="AE115" s="101"/>
    </row>
    <row r="116" spans="1:31" ht="24.75" customHeight="1">
      <c r="A116" s="905" t="s">
        <v>296</v>
      </c>
      <c r="B116" s="508" t="s">
        <v>281</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282</v>
      </c>
      <c r="AE116" s="101"/>
    </row>
    <row r="117" spans="1:31" ht="24.75" customHeight="1">
      <c r="A117" s="1053" t="s">
        <v>297</v>
      </c>
      <c r="B117" s="1048" t="s">
        <v>281</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282</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298</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299</v>
      </c>
      <c r="B121" s="464" t="s">
        <v>300</v>
      </c>
      <c r="C121" s="386">
        <v>46045</v>
      </c>
      <c r="D121" s="1032" t="s">
        <v>140</v>
      </c>
      <c r="E121" s="386"/>
      <c r="F121" s="385" t="s">
        <v>301</v>
      </c>
      <c r="G121" s="656"/>
      <c r="H121" s="1078"/>
      <c r="I121" s="953"/>
      <c r="J121" s="1079"/>
      <c r="K121" s="1080"/>
      <c r="L121" s="386"/>
      <c r="M121" s="1079"/>
      <c r="N121" s="1081"/>
      <c r="O121" s="1078"/>
      <c r="P121" s="1082"/>
      <c r="Q121" s="125"/>
      <c r="R121" s="672"/>
      <c r="S121" s="672"/>
      <c r="T121" s="672"/>
      <c r="U121" s="672"/>
      <c r="V121" s="1085">
        <v>7137</v>
      </c>
      <c r="W121" s="1086">
        <v>7141</v>
      </c>
      <c r="X121" s="1085">
        <f t="shared" ref="X121:X133" si="7">SUM(V121-W121)</f>
        <v>-4</v>
      </c>
      <c r="Y121" s="903">
        <f t="shared" ref="Y121:Y133" si="8">IFERROR($W121/$V121, 0)</f>
        <v>1.0005604595768529</v>
      </c>
      <c r="Z121" s="55"/>
      <c r="AA121" s="1083"/>
      <c r="AB121" s="1083"/>
      <c r="AC121" s="1084"/>
      <c r="AD121" s="450" t="s">
        <v>302</v>
      </c>
      <c r="AE121" s="400"/>
    </row>
    <row r="122" spans="1:31" ht="24.75" customHeight="1">
      <c r="A122" s="1077" t="s">
        <v>303</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8153</v>
      </c>
      <c r="W122" s="1086">
        <v>8114</v>
      </c>
      <c r="X122" s="1085">
        <f t="shared" si="7"/>
        <v>39</v>
      </c>
      <c r="Y122" s="903">
        <f t="shared" si="8"/>
        <v>0.99521648472954738</v>
      </c>
      <c r="Z122" s="55"/>
      <c r="AA122" s="1083"/>
      <c r="AB122" s="1083"/>
      <c r="AC122" s="1084"/>
      <c r="AD122" s="450" t="s">
        <v>304</v>
      </c>
      <c r="AE122" s="400"/>
    </row>
    <row r="123" spans="1:31" ht="24.75" customHeight="1">
      <c r="A123" s="1077" t="s">
        <v>305</v>
      </c>
      <c r="B123" s="464" t="s">
        <v>300</v>
      </c>
      <c r="C123" s="386">
        <v>46045</v>
      </c>
      <c r="D123" s="1032" t="s">
        <v>140</v>
      </c>
      <c r="E123" s="386">
        <v>45959</v>
      </c>
      <c r="F123" s="385" t="s">
        <v>301</v>
      </c>
      <c r="G123" s="656"/>
      <c r="H123" s="1078"/>
      <c r="I123" s="953"/>
      <c r="J123" s="1079"/>
      <c r="K123" s="1080"/>
      <c r="L123" s="386">
        <v>45964</v>
      </c>
      <c r="M123" s="1079"/>
      <c r="N123" s="1081"/>
      <c r="O123" s="1078"/>
      <c r="P123" s="1082"/>
      <c r="Q123" s="125">
        <v>45964</v>
      </c>
      <c r="R123" s="672"/>
      <c r="S123" s="672"/>
      <c r="T123" s="672"/>
      <c r="U123" s="672"/>
      <c r="V123" s="1085">
        <v>7522</v>
      </c>
      <c r="W123" s="1086">
        <v>7522</v>
      </c>
      <c r="X123" s="1085">
        <f t="shared" si="7"/>
        <v>0</v>
      </c>
      <c r="Y123" s="903">
        <f t="shared" si="8"/>
        <v>1</v>
      </c>
      <c r="Z123" s="125">
        <v>45964</v>
      </c>
      <c r="AA123" s="1083"/>
      <c r="AB123" s="1083"/>
      <c r="AC123" s="1084"/>
      <c r="AD123" s="450" t="s">
        <v>306</v>
      </c>
      <c r="AE123" s="400"/>
    </row>
    <row r="124" spans="1:31" ht="24.75" customHeight="1">
      <c r="A124" s="1077" t="s">
        <v>307</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8523</v>
      </c>
      <c r="W124" s="107">
        <v>5358</v>
      </c>
      <c r="X124" s="1085">
        <f t="shared" si="7"/>
        <v>3165</v>
      </c>
      <c r="Y124" s="903">
        <f t="shared" si="8"/>
        <v>0.62865188313973952</v>
      </c>
      <c r="Z124" s="125">
        <v>45966</v>
      </c>
      <c r="AA124" s="1083"/>
      <c r="AB124" s="1083"/>
      <c r="AC124" s="1084"/>
      <c r="AD124" s="450" t="s">
        <v>308</v>
      </c>
      <c r="AE124" s="400"/>
    </row>
    <row r="125" spans="1:31" ht="24.75" customHeight="1">
      <c r="A125" s="1077" t="s">
        <v>309</v>
      </c>
      <c r="B125" s="464" t="s">
        <v>300</v>
      </c>
      <c r="C125" s="386">
        <v>46045</v>
      </c>
      <c r="D125" s="1032" t="s">
        <v>140</v>
      </c>
      <c r="E125" s="386">
        <v>45959</v>
      </c>
      <c r="F125" s="385" t="s">
        <v>301</v>
      </c>
      <c r="G125" s="656"/>
      <c r="H125" s="1078"/>
      <c r="I125" s="953"/>
      <c r="J125" s="1079"/>
      <c r="K125" s="1080"/>
      <c r="L125" s="386"/>
      <c r="M125" s="1079"/>
      <c r="N125" s="1081"/>
      <c r="O125" s="1078"/>
      <c r="P125" s="1082"/>
      <c r="Q125" s="125"/>
      <c r="R125" s="672"/>
      <c r="S125" s="672"/>
      <c r="T125" s="672"/>
      <c r="U125" s="672"/>
      <c r="V125" s="1085">
        <v>5827</v>
      </c>
      <c r="W125" s="107">
        <v>2778</v>
      </c>
      <c r="X125" s="1085">
        <f t="shared" si="7"/>
        <v>3049</v>
      </c>
      <c r="Y125" s="903">
        <f t="shared" si="8"/>
        <v>0.47674618156856013</v>
      </c>
      <c r="Z125" s="125">
        <v>45965</v>
      </c>
      <c r="AA125" s="1083"/>
      <c r="AB125" s="1083"/>
      <c r="AC125" s="1084"/>
      <c r="AD125" s="450" t="s">
        <v>310</v>
      </c>
      <c r="AE125" s="400"/>
    </row>
    <row r="126" spans="1:31" ht="24.75" customHeight="1">
      <c r="A126" s="1077" t="s">
        <v>311</v>
      </c>
      <c r="B126" s="464" t="s">
        <v>300</v>
      </c>
      <c r="C126" s="386">
        <v>46045</v>
      </c>
      <c r="D126" s="1032" t="s">
        <v>140</v>
      </c>
      <c r="E126" s="386"/>
      <c r="F126" s="385"/>
      <c r="G126" s="656"/>
      <c r="H126" s="1078"/>
      <c r="I126" s="953"/>
      <c r="J126" s="1079"/>
      <c r="K126" s="1080"/>
      <c r="L126" s="386"/>
      <c r="M126" s="1079"/>
      <c r="N126" s="1081"/>
      <c r="O126" s="1078"/>
      <c r="P126" s="1082"/>
      <c r="Q126" s="125"/>
      <c r="R126" s="672"/>
      <c r="S126" s="672"/>
      <c r="T126" s="672"/>
      <c r="U126" s="672"/>
      <c r="V126" s="1085">
        <v>5136</v>
      </c>
      <c r="W126" s="1086">
        <v>5136</v>
      </c>
      <c r="X126" s="1085">
        <f t="shared" si="7"/>
        <v>0</v>
      </c>
      <c r="Y126" s="903">
        <f t="shared" si="8"/>
        <v>1</v>
      </c>
      <c r="Z126" s="87"/>
      <c r="AA126" s="1083"/>
      <c r="AB126" s="1083"/>
      <c r="AC126" s="1084"/>
      <c r="AD126" s="450" t="s">
        <v>302</v>
      </c>
      <c r="AE126" s="400"/>
    </row>
    <row r="127" spans="1:31" ht="24.75" customHeight="1">
      <c r="A127" s="1077" t="s">
        <v>312</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6249</v>
      </c>
      <c r="W127" s="1086">
        <v>6183</v>
      </c>
      <c r="X127" s="1085">
        <f t="shared" si="7"/>
        <v>66</v>
      </c>
      <c r="Y127" s="903">
        <f t="shared" si="8"/>
        <v>0.98943831012962069</v>
      </c>
      <c r="Z127" s="55"/>
      <c r="AA127" s="1083"/>
      <c r="AB127" s="1083"/>
      <c r="AC127" s="1084"/>
      <c r="AD127" s="450" t="s">
        <v>313</v>
      </c>
      <c r="AE127" s="400"/>
    </row>
    <row r="128" spans="1:31" ht="24.75" customHeight="1">
      <c r="A128" s="1077" t="s">
        <v>314</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4095</v>
      </c>
      <c r="W128" s="1086">
        <v>4088</v>
      </c>
      <c r="X128" s="1085">
        <f t="shared" si="7"/>
        <v>7</v>
      </c>
      <c r="Y128" s="903">
        <f t="shared" si="8"/>
        <v>0.9982905982905983</v>
      </c>
      <c r="Z128" s="55"/>
      <c r="AA128" s="1083"/>
      <c r="AB128" s="1083"/>
      <c r="AC128" s="1084"/>
      <c r="AD128" s="450" t="s">
        <v>302</v>
      </c>
      <c r="AE128" s="400"/>
    </row>
    <row r="129" spans="1:31" ht="24.75" customHeight="1">
      <c r="A129" s="1077" t="s">
        <v>315</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5254</v>
      </c>
      <c r="W129" s="1086">
        <v>5254</v>
      </c>
      <c r="X129" s="1085">
        <f t="shared" si="7"/>
        <v>0</v>
      </c>
      <c r="Y129" s="903">
        <f t="shared" si="8"/>
        <v>1</v>
      </c>
      <c r="Z129" s="55"/>
      <c r="AA129" s="1083"/>
      <c r="AB129" s="1083"/>
      <c r="AC129" s="1084"/>
      <c r="AD129" s="450" t="s">
        <v>302</v>
      </c>
      <c r="AE129" s="400"/>
    </row>
    <row r="130" spans="1:31" ht="24.75" customHeight="1">
      <c r="A130" s="1077" t="s">
        <v>316</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5947</v>
      </c>
      <c r="W130" s="1086">
        <v>5947</v>
      </c>
      <c r="X130" s="1085">
        <f t="shared" si="7"/>
        <v>0</v>
      </c>
      <c r="Y130" s="903">
        <f t="shared" si="8"/>
        <v>1</v>
      </c>
      <c r="Z130" s="55"/>
      <c r="AA130" s="1083"/>
      <c r="AB130" s="1083"/>
      <c r="AC130" s="1084"/>
      <c r="AD130" s="450" t="s">
        <v>302</v>
      </c>
      <c r="AE130" s="400"/>
    </row>
    <row r="131" spans="1:31" ht="24.75" customHeight="1">
      <c r="A131" s="1077" t="s">
        <v>317</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5599</v>
      </c>
      <c r="W131" s="1086">
        <v>5599</v>
      </c>
      <c r="X131" s="1085">
        <f t="shared" si="7"/>
        <v>0</v>
      </c>
      <c r="Y131" s="903">
        <f t="shared" si="8"/>
        <v>1</v>
      </c>
      <c r="Z131" s="55"/>
      <c r="AA131" s="1083"/>
      <c r="AB131" s="1083"/>
      <c r="AC131" s="1084"/>
      <c r="AD131" s="450" t="s">
        <v>302</v>
      </c>
      <c r="AE131" s="400"/>
    </row>
    <row r="132" spans="1:31" ht="24.75" customHeight="1">
      <c r="A132" s="1077" t="s">
        <v>318</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6646</v>
      </c>
      <c r="W132" s="1086">
        <v>6623</v>
      </c>
      <c r="X132" s="1085">
        <f t="shared" si="7"/>
        <v>23</v>
      </c>
      <c r="Y132" s="903">
        <f t="shared" si="8"/>
        <v>0.99653927174240142</v>
      </c>
      <c r="Z132" s="55"/>
      <c r="AA132" s="1083"/>
      <c r="AB132" s="1083"/>
      <c r="AC132" s="1084"/>
      <c r="AD132" s="450" t="s">
        <v>302</v>
      </c>
      <c r="AE132" s="400"/>
    </row>
    <row r="133" spans="1:31" ht="24.75" customHeight="1">
      <c r="A133" s="1077" t="s">
        <v>319</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2136</v>
      </c>
      <c r="W133" s="1086">
        <v>2136</v>
      </c>
      <c r="X133" s="1085">
        <f t="shared" si="7"/>
        <v>0</v>
      </c>
      <c r="Y133" s="903">
        <f t="shared" si="8"/>
        <v>1</v>
      </c>
      <c r="Z133" s="55"/>
      <c r="AA133" s="1083"/>
      <c r="AB133" s="1083"/>
      <c r="AC133" s="1084"/>
      <c r="AD133" s="450" t="s">
        <v>302</v>
      </c>
      <c r="AE133" s="400"/>
    </row>
    <row r="134" spans="1:31" ht="24.75" customHeight="1">
      <c r="A134" s="1055" t="s">
        <v>320</v>
      </c>
      <c r="B134" s="464" t="s">
        <v>300</v>
      </c>
      <c r="C134" s="386">
        <v>46045</v>
      </c>
      <c r="D134" s="1032" t="s">
        <v>140</v>
      </c>
      <c r="E134" s="386">
        <v>45959</v>
      </c>
      <c r="F134" s="385" t="s">
        <v>133</v>
      </c>
      <c r="G134" s="656"/>
      <c r="H134" s="387">
        <v>89</v>
      </c>
      <c r="I134" s="1036" t="s">
        <v>55</v>
      </c>
      <c r="J134" s="1037" t="s">
        <v>63</v>
      </c>
      <c r="K134" s="669"/>
      <c r="L134" s="51">
        <v>45964</v>
      </c>
      <c r="M134" s="1037" t="s">
        <v>57</v>
      </c>
      <c r="N134" s="868">
        <v>84750.5</v>
      </c>
      <c r="O134" s="52" t="s">
        <v>57</v>
      </c>
      <c r="P134" s="365" t="s">
        <v>58</v>
      </c>
      <c r="Q134" s="54">
        <v>45964</v>
      </c>
      <c r="R134" s="1069"/>
      <c r="S134" s="672"/>
      <c r="T134" s="672"/>
      <c r="U134" s="672"/>
      <c r="V134" s="107">
        <v>6935</v>
      </c>
      <c r="W134" s="107">
        <v>2545</v>
      </c>
      <c r="X134" s="486">
        <f t="shared" ref="X134:X150" si="9">SUM(V134-W134)</f>
        <v>4390</v>
      </c>
      <c r="Y134" s="893">
        <f t="shared" ref="Y134:Y150" si="10">IFERROR($W134/$V134, 0)</f>
        <v>0.36697909156452774</v>
      </c>
      <c r="Z134" s="125">
        <v>45973</v>
      </c>
      <c r="AA134" s="619">
        <v>0</v>
      </c>
      <c r="AB134" s="619">
        <v>0</v>
      </c>
      <c r="AC134" s="1038">
        <v>0</v>
      </c>
      <c r="AD134" s="450" t="s">
        <v>321</v>
      </c>
      <c r="AE134" s="400"/>
    </row>
    <row r="135" spans="1:31" ht="24.75" customHeight="1">
      <c r="A135" s="1055" t="s">
        <v>322</v>
      </c>
      <c r="B135" s="464" t="s">
        <v>300</v>
      </c>
      <c r="C135" s="386">
        <v>46045</v>
      </c>
      <c r="D135" s="1032" t="s">
        <v>140</v>
      </c>
      <c r="E135" s="386">
        <v>45959</v>
      </c>
      <c r="F135" s="385" t="s">
        <v>133</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323</v>
      </c>
      <c r="AE135" s="400"/>
    </row>
    <row r="136" spans="1:31" ht="24.75" customHeight="1">
      <c r="A136" s="1055" t="s">
        <v>324</v>
      </c>
      <c r="B136" s="464" t="s">
        <v>300</v>
      </c>
      <c r="C136" s="386">
        <v>46045</v>
      </c>
      <c r="D136" s="1032" t="s">
        <v>140</v>
      </c>
      <c r="E136" s="386">
        <v>45959</v>
      </c>
      <c r="F136" s="385" t="s">
        <v>133</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323</v>
      </c>
      <c r="AE136" s="400"/>
    </row>
    <row r="137" spans="1:31" ht="24.75" customHeight="1">
      <c r="A137" s="1055" t="s">
        <v>325</v>
      </c>
      <c r="B137" s="464" t="s">
        <v>300</v>
      </c>
      <c r="C137" s="386">
        <v>46045</v>
      </c>
      <c r="D137" s="1032" t="s">
        <v>140</v>
      </c>
      <c r="E137" s="386">
        <v>45959</v>
      </c>
      <c r="F137" s="385" t="s">
        <v>133</v>
      </c>
      <c r="G137" s="656"/>
      <c r="H137" s="387">
        <v>88</v>
      </c>
      <c r="I137" s="1036" t="s">
        <v>55</v>
      </c>
      <c r="J137" s="1037" t="s">
        <v>63</v>
      </c>
      <c r="K137" s="669"/>
      <c r="L137" s="51">
        <v>45961</v>
      </c>
      <c r="M137" s="1037" t="s">
        <v>57</v>
      </c>
      <c r="N137" s="868">
        <v>88231.9</v>
      </c>
      <c r="O137" s="52" t="s">
        <v>57</v>
      </c>
      <c r="P137" s="365" t="s">
        <v>58</v>
      </c>
      <c r="Q137" s="54">
        <v>45961</v>
      </c>
      <c r="R137" s="1069"/>
      <c r="S137" s="672"/>
      <c r="T137" s="672"/>
      <c r="U137" s="672"/>
      <c r="V137" s="107">
        <v>7274</v>
      </c>
      <c r="W137" s="1086">
        <v>7274</v>
      </c>
      <c r="X137" s="486">
        <f t="shared" si="9"/>
        <v>0</v>
      </c>
      <c r="Y137" s="903">
        <f t="shared" si="10"/>
        <v>1</v>
      </c>
      <c r="Z137" s="1157">
        <v>45968</v>
      </c>
      <c r="AA137" s="619">
        <v>0</v>
      </c>
      <c r="AB137" s="619">
        <v>0</v>
      </c>
      <c r="AC137" s="1038">
        <v>0</v>
      </c>
      <c r="AD137" s="450" t="s">
        <v>326</v>
      </c>
      <c r="AE137" s="400"/>
    </row>
    <row r="138" spans="1:31" ht="24.75" customHeight="1">
      <c r="A138" s="1055" t="s">
        <v>327</v>
      </c>
      <c r="B138" s="464" t="s">
        <v>300</v>
      </c>
      <c r="C138" s="386">
        <v>46045</v>
      </c>
      <c r="D138" s="1032" t="s">
        <v>140</v>
      </c>
      <c r="E138" s="386">
        <v>45959</v>
      </c>
      <c r="F138" s="385" t="s">
        <v>133</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c r="X138" s="486">
        <f t="shared" si="9"/>
        <v>7782</v>
      </c>
      <c r="Y138" s="903">
        <f t="shared" si="10"/>
        <v>0</v>
      </c>
      <c r="Z138" s="55"/>
      <c r="AA138" s="619">
        <v>0</v>
      </c>
      <c r="AB138" s="619">
        <v>0</v>
      </c>
      <c r="AC138" s="1038">
        <v>0</v>
      </c>
      <c r="AD138" s="450" t="s">
        <v>328</v>
      </c>
      <c r="AE138" s="400"/>
    </row>
    <row r="139" spans="1:31" ht="24.75" customHeight="1">
      <c r="A139" s="1055" t="s">
        <v>329</v>
      </c>
      <c r="B139" s="464" t="s">
        <v>300</v>
      </c>
      <c r="C139" s="386">
        <v>46045</v>
      </c>
      <c r="D139" s="1032" t="s">
        <v>140</v>
      </c>
      <c r="E139" s="386">
        <v>45959</v>
      </c>
      <c r="F139" s="385" t="s">
        <v>133</v>
      </c>
      <c r="G139" s="656"/>
      <c r="H139" s="387">
        <v>90</v>
      </c>
      <c r="I139" s="1036" t="s">
        <v>55</v>
      </c>
      <c r="J139" s="1037" t="s">
        <v>63</v>
      </c>
      <c r="K139" s="669"/>
      <c r="L139" s="51">
        <v>45964</v>
      </c>
      <c r="M139" s="1037" t="s">
        <v>57</v>
      </c>
      <c r="N139" s="868">
        <v>84896</v>
      </c>
      <c r="O139" s="52" t="s">
        <v>57</v>
      </c>
      <c r="P139" s="365" t="s">
        <v>58</v>
      </c>
      <c r="Q139" s="54">
        <v>45964</v>
      </c>
      <c r="R139" s="1069"/>
      <c r="S139" s="672"/>
      <c r="T139" s="672"/>
      <c r="U139" s="672"/>
      <c r="V139" s="107">
        <v>7060</v>
      </c>
      <c r="W139" s="1086">
        <v>7060</v>
      </c>
      <c r="X139" s="486">
        <f t="shared" si="9"/>
        <v>0</v>
      </c>
      <c r="Y139" s="903">
        <f t="shared" si="10"/>
        <v>1</v>
      </c>
      <c r="Z139" s="125">
        <v>45973</v>
      </c>
      <c r="AA139" s="619">
        <v>0</v>
      </c>
      <c r="AB139" s="619">
        <v>0</v>
      </c>
      <c r="AC139" s="1038">
        <v>0</v>
      </c>
      <c r="AD139" s="450" t="s">
        <v>330</v>
      </c>
      <c r="AE139" s="400"/>
    </row>
    <row r="140" spans="1:31" ht="24.75" customHeight="1">
      <c r="A140" s="1055" t="s">
        <v>331</v>
      </c>
      <c r="B140" s="464" t="s">
        <v>300</v>
      </c>
      <c r="C140" s="386">
        <v>46045</v>
      </c>
      <c r="D140" s="1032" t="s">
        <v>140</v>
      </c>
      <c r="E140" s="386">
        <v>45959</v>
      </c>
      <c r="F140" s="385" t="s">
        <v>133</v>
      </c>
      <c r="G140" s="656"/>
      <c r="H140" s="387">
        <v>90</v>
      </c>
      <c r="I140" s="1036" t="s">
        <v>55</v>
      </c>
      <c r="J140" s="1037" t="s">
        <v>63</v>
      </c>
      <c r="K140" s="669"/>
      <c r="L140" s="51">
        <v>45961</v>
      </c>
      <c r="M140" s="1037" t="s">
        <v>57</v>
      </c>
      <c r="N140" s="868">
        <v>91897</v>
      </c>
      <c r="O140" s="52" t="s">
        <v>57</v>
      </c>
      <c r="P140" s="365" t="s">
        <v>58</v>
      </c>
      <c r="Q140" s="54">
        <v>45961</v>
      </c>
      <c r="R140" s="1069"/>
      <c r="S140" s="672"/>
      <c r="T140" s="672"/>
      <c r="U140" s="672"/>
      <c r="V140" s="107">
        <v>7457</v>
      </c>
      <c r="W140" s="107">
        <v>598</v>
      </c>
      <c r="X140" s="486">
        <f t="shared" si="9"/>
        <v>6859</v>
      </c>
      <c r="Y140" s="903">
        <f t="shared" si="10"/>
        <v>8.0193107147646506E-2</v>
      </c>
      <c r="Z140" s="1157">
        <v>45974</v>
      </c>
      <c r="AA140" s="619">
        <v>0</v>
      </c>
      <c r="AB140" s="619">
        <v>0</v>
      </c>
      <c r="AC140" s="1038">
        <v>0</v>
      </c>
      <c r="AD140" s="450" t="s">
        <v>328</v>
      </c>
      <c r="AE140" s="400"/>
    </row>
    <row r="141" spans="1:31" ht="24.75" customHeight="1">
      <c r="A141" s="1055" t="s">
        <v>332</v>
      </c>
      <c r="B141" s="464" t="s">
        <v>300</v>
      </c>
      <c r="C141" s="386">
        <v>46045</v>
      </c>
      <c r="D141" s="1032" t="s">
        <v>140</v>
      </c>
      <c r="E141" s="386">
        <v>45959</v>
      </c>
      <c r="F141" s="385" t="s">
        <v>133</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328</v>
      </c>
      <c r="AE141" s="400"/>
    </row>
    <row r="142" spans="1:31" ht="24.75" customHeight="1">
      <c r="A142" s="1055" t="s">
        <v>333</v>
      </c>
      <c r="B142" s="464" t="s">
        <v>300</v>
      </c>
      <c r="C142" s="386">
        <v>46045</v>
      </c>
      <c r="D142" s="1032" t="s">
        <v>140</v>
      </c>
      <c r="E142" s="386">
        <v>45959</v>
      </c>
      <c r="F142" s="385" t="s">
        <v>133</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328</v>
      </c>
      <c r="AE142" s="400"/>
    </row>
    <row r="143" spans="1:31" ht="24.75" customHeight="1">
      <c r="A143" s="1055" t="s">
        <v>334</v>
      </c>
      <c r="B143" s="464" t="s">
        <v>300</v>
      </c>
      <c r="C143" s="386">
        <v>46045</v>
      </c>
      <c r="D143" s="1032" t="s">
        <v>140</v>
      </c>
      <c r="E143" s="386">
        <v>45959</v>
      </c>
      <c r="F143" s="385" t="s">
        <v>133</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328</v>
      </c>
      <c r="AE143" s="400"/>
    </row>
    <row r="144" spans="1:31" ht="24.75" customHeight="1">
      <c r="A144" s="1055" t="s">
        <v>335</v>
      </c>
      <c r="B144" s="464" t="s">
        <v>300</v>
      </c>
      <c r="C144" s="386">
        <v>46045</v>
      </c>
      <c r="D144" s="1032" t="s">
        <v>140</v>
      </c>
      <c r="E144" s="386">
        <v>45959</v>
      </c>
      <c r="F144" s="385" t="s">
        <v>133</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328</v>
      </c>
      <c r="AE144" s="400"/>
    </row>
    <row r="145" spans="1:31" ht="24.75" customHeight="1">
      <c r="A145" s="1055" t="s">
        <v>336</v>
      </c>
      <c r="B145" s="464" t="s">
        <v>300</v>
      </c>
      <c r="C145" s="386">
        <v>46045</v>
      </c>
      <c r="D145" s="1032" t="s">
        <v>140</v>
      </c>
      <c r="E145" s="386">
        <v>45959</v>
      </c>
      <c r="F145" s="385" t="s">
        <v>133</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328</v>
      </c>
      <c r="AE145" s="400"/>
    </row>
    <row r="146" spans="1:31" ht="24.75" customHeight="1">
      <c r="A146" s="1055" t="s">
        <v>337</v>
      </c>
      <c r="B146" s="464" t="s">
        <v>300</v>
      </c>
      <c r="C146" s="386">
        <v>46045</v>
      </c>
      <c r="D146" s="1032" t="s">
        <v>140</v>
      </c>
      <c r="E146" s="386">
        <v>45959</v>
      </c>
      <c r="F146" s="385" t="s">
        <v>133</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300</v>
      </c>
      <c r="C147" s="386">
        <v>46045</v>
      </c>
      <c r="D147" s="1032" t="s">
        <v>140</v>
      </c>
      <c r="E147" s="386">
        <v>45959</v>
      </c>
      <c r="F147" s="385" t="s">
        <v>133</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328</v>
      </c>
      <c r="AE147" s="400"/>
    </row>
    <row r="148" spans="1:31" ht="24.75" customHeight="1">
      <c r="A148" s="1055" t="s">
        <v>340</v>
      </c>
      <c r="B148" s="464" t="s">
        <v>300</v>
      </c>
      <c r="C148" s="386">
        <v>46045</v>
      </c>
      <c r="D148" s="1032" t="s">
        <v>140</v>
      </c>
      <c r="E148" s="386">
        <v>45959</v>
      </c>
      <c r="F148" s="385" t="s">
        <v>133</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300</v>
      </c>
      <c r="C149" s="386">
        <v>45991</v>
      </c>
      <c r="D149" s="1032"/>
      <c r="E149" s="386"/>
      <c r="F149" s="385"/>
      <c r="G149" s="656"/>
      <c r="H149" s="387">
        <v>0</v>
      </c>
      <c r="I149" s="1036" t="s">
        <v>55</v>
      </c>
      <c r="J149" s="1037" t="s">
        <v>63</v>
      </c>
      <c r="K149" s="669"/>
      <c r="L149" s="51"/>
      <c r="M149" s="1037" t="s">
        <v>57</v>
      </c>
      <c r="N149" s="868">
        <v>64985.65</v>
      </c>
      <c r="O149" s="1037" t="s">
        <v>57</v>
      </c>
      <c r="P149" s="101" t="s">
        <v>58</v>
      </c>
      <c r="Q149" s="54">
        <v>45964</v>
      </c>
      <c r="R149" s="672"/>
      <c r="S149" s="672"/>
      <c r="T149" s="672"/>
      <c r="U149" s="672"/>
      <c r="V149" s="107">
        <v>3189</v>
      </c>
      <c r="W149" s="107"/>
      <c r="X149" s="107">
        <f>SUM(V149-W149)</f>
        <v>3189</v>
      </c>
      <c r="Y149" s="903">
        <f>IFERROR($W149/$V149, 0)</f>
        <v>0</v>
      </c>
      <c r="Z149" s="55"/>
      <c r="AA149" s="619">
        <v>0</v>
      </c>
      <c r="AB149" s="619">
        <v>0</v>
      </c>
      <c r="AC149" s="1038">
        <v>0</v>
      </c>
      <c r="AD149" s="450" t="s">
        <v>343</v>
      </c>
      <c r="AE149" s="400"/>
    </row>
    <row r="150" spans="1:31" ht="24.75" customHeight="1">
      <c r="A150" s="1056" t="s">
        <v>344</v>
      </c>
      <c r="B150" s="464" t="s">
        <v>300</v>
      </c>
      <c r="C150" s="386">
        <v>46045</v>
      </c>
      <c r="D150" s="1032" t="s">
        <v>140</v>
      </c>
      <c r="E150" s="386">
        <v>45959</v>
      </c>
      <c r="F150" s="385" t="s">
        <v>133</v>
      </c>
      <c r="G150" s="656"/>
      <c r="H150" s="387">
        <v>0</v>
      </c>
      <c r="I150" s="1036" t="s">
        <v>55</v>
      </c>
      <c r="J150" s="1037" t="s">
        <v>63</v>
      </c>
      <c r="K150" s="669"/>
      <c r="L150" s="51">
        <v>45961</v>
      </c>
      <c r="M150" s="1037" t="s">
        <v>57</v>
      </c>
      <c r="N150" s="868">
        <v>54043.5</v>
      </c>
      <c r="O150" s="52" t="s">
        <v>57</v>
      </c>
      <c r="P150" s="365" t="s">
        <v>58</v>
      </c>
      <c r="Q150" s="54">
        <v>45961</v>
      </c>
      <c r="R150" s="1069"/>
      <c r="S150" s="672"/>
      <c r="T150" s="672"/>
      <c r="U150" s="672"/>
      <c r="V150" s="107">
        <v>4140</v>
      </c>
      <c r="W150" s="107">
        <v>424</v>
      </c>
      <c r="X150" s="486">
        <f t="shared" si="9"/>
        <v>3716</v>
      </c>
      <c r="Y150" s="903">
        <f t="shared" si="10"/>
        <v>0.10241545893719807</v>
      </c>
      <c r="Z150" s="1157">
        <v>45974</v>
      </c>
      <c r="AA150" s="619">
        <v>0</v>
      </c>
      <c r="AB150" s="619">
        <v>0</v>
      </c>
      <c r="AC150" s="1038">
        <v>0</v>
      </c>
      <c r="AD150" s="450" t="s">
        <v>328</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Q76:U119 L27:L74 Q27:U74 L76:L119 D121:D150 Q12:U25 L2:L25" xr:uid="{1D31F93E-3D68-4310-94BF-578ADAD65882}"/>
    <dataValidation type="list" allowBlank="1" showInputMessage="1" showErrorMessage="1" sqref="J93 J121:J150 J111:J112 J114:J119 J97:J105 J76:J85 J2:J25 J27:J74" xr:uid="{5598570D-D2DE-4A6E-ABB1-14F4B3480632}">
      <formula1>"Received, Pending, Not Required"</formula1>
    </dataValidation>
    <dataValidation type="list" allowBlank="1" showInputMessage="1" showErrorMessage="1" sqref="I4 I93 I6:I11 I111:I112 I114:I119 I95 I134:I1048576 I97:I105 I76:I85 I13:I25 I55:I74"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76:K82 K134:K1048576 K86:K119 K2:K25 K27:K74"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134:P1048576 P27:P74 P76:P119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2"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217</v>
      </c>
      <c r="C2" s="481">
        <v>45960</v>
      </c>
      <c r="D2" s="481" t="s">
        <v>347</v>
      </c>
      <c r="E2" s="481">
        <v>45909</v>
      </c>
      <c r="F2" s="481" t="s">
        <v>230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217</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217</v>
      </c>
      <c r="C4" s="481">
        <v>45960</v>
      </c>
      <c r="D4" s="481" t="s">
        <v>243</v>
      </c>
      <c r="E4" s="481">
        <v>45852</v>
      </c>
      <c r="F4" s="661" t="s">
        <v>225</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217</v>
      </c>
      <c r="C5" s="481">
        <v>45960</v>
      </c>
      <c r="D5" s="481" t="s">
        <v>60</v>
      </c>
      <c r="E5" s="481">
        <v>45905</v>
      </c>
      <c r="F5" s="481" t="s">
        <v>230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217</v>
      </c>
      <c r="C6" s="481">
        <v>45991</v>
      </c>
      <c r="D6" s="489" t="s">
        <v>360</v>
      </c>
      <c r="E6" s="490">
        <v>45716</v>
      </c>
      <c r="F6" s="489" t="s">
        <v>230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217</v>
      </c>
      <c r="C7" s="481">
        <v>45991</v>
      </c>
      <c r="D7" s="489" t="s">
        <v>363</v>
      </c>
      <c r="E7" s="490">
        <v>45716</v>
      </c>
      <c r="F7" s="489" t="s">
        <v>225</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217</v>
      </c>
      <c r="C8" s="481">
        <v>45991</v>
      </c>
      <c r="D8" s="489" t="s">
        <v>243</v>
      </c>
      <c r="E8" s="490">
        <v>45880</v>
      </c>
      <c r="F8" s="489" t="s">
        <v>225</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217</v>
      </c>
      <c r="C9" s="481">
        <v>45991</v>
      </c>
      <c r="D9" s="489" t="s">
        <v>243</v>
      </c>
      <c r="E9" s="490">
        <v>45880</v>
      </c>
      <c r="F9" s="489" t="s">
        <v>225</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217</v>
      </c>
      <c r="C10" s="481">
        <v>45991</v>
      </c>
      <c r="D10" s="490" t="s">
        <v>243</v>
      </c>
      <c r="E10" s="490">
        <v>45950</v>
      </c>
      <c r="F10" s="489" t="s">
        <v>225</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217</v>
      </c>
      <c r="C11" s="481">
        <v>45960</v>
      </c>
      <c r="D11" s="490" t="s">
        <v>243</v>
      </c>
      <c r="E11" s="490">
        <v>45930</v>
      </c>
      <c r="F11" s="489" t="s">
        <v>225</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217</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217</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217</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217</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217</v>
      </c>
      <c r="C16" s="481" t="s">
        <v>380</v>
      </c>
      <c r="D16" s="489" t="s">
        <v>60</v>
      </c>
      <c r="E16" s="490">
        <v>45964</v>
      </c>
      <c r="F16" s="489" t="s">
        <v>225</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219</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210</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217</v>
      </c>
      <c r="C2" s="481">
        <v>45868</v>
      </c>
      <c r="D2" s="489" t="s">
        <v>421</v>
      </c>
      <c r="E2" s="490">
        <v>45716</v>
      </c>
      <c r="F2" s="489" t="s">
        <v>225</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217</v>
      </c>
      <c r="C3" s="481">
        <v>45991</v>
      </c>
      <c r="D3" s="490" t="s">
        <v>363</v>
      </c>
      <c r="E3" s="442">
        <v>45707</v>
      </c>
      <c r="F3" s="489" t="s">
        <v>225</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217</v>
      </c>
      <c r="C4" s="490">
        <v>45807</v>
      </c>
      <c r="D4" s="479" t="s">
        <v>421</v>
      </c>
      <c r="E4" s="489" t="s">
        <v>52</v>
      </c>
      <c r="F4" s="479" t="s">
        <v>225</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217</v>
      </c>
      <c r="C5" s="481">
        <v>45991</v>
      </c>
      <c r="D5" s="489" t="s">
        <v>363</v>
      </c>
      <c r="E5" s="490">
        <v>45866</v>
      </c>
      <c r="F5" s="489" t="s">
        <v>225</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217</v>
      </c>
      <c r="C6" s="481">
        <v>45991</v>
      </c>
      <c r="D6" s="489" t="s">
        <v>60</v>
      </c>
      <c r="E6" s="490">
        <v>45880</v>
      </c>
      <c r="F6" s="489" t="s">
        <v>230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217</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217</v>
      </c>
      <c r="C2" s="51">
        <v>45807</v>
      </c>
      <c r="D2" s="51" t="s">
        <v>506</v>
      </c>
      <c r="E2" s="51">
        <v>45706</v>
      </c>
      <c r="F2" s="50" t="s">
        <v>225</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230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230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230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230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230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230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230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230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230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230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217</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217</v>
      </c>
      <c r="C89" s="386">
        <v>45991</v>
      </c>
      <c r="D89" s="50" t="s">
        <v>713</v>
      </c>
      <c r="E89" s="51">
        <v>45735</v>
      </c>
      <c r="F89" s="50" t="s">
        <v>225</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230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217</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217</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217</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5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1870</v>
      </c>
      <c r="E952" s="1158">
        <v>988</v>
      </c>
      <c r="F952" s="1158"/>
      <c r="G952" s="1158">
        <v>2858</v>
      </c>
    </row>
    <row r="953" spans="1:7">
      <c r="A953" t="s">
        <v>139</v>
      </c>
      <c r="B953" s="1158"/>
      <c r="C953" s="1158"/>
      <c r="D953" s="1158">
        <v>877</v>
      </c>
      <c r="E953" s="1158">
        <v>814</v>
      </c>
      <c r="F953" s="1158"/>
      <c r="G953" s="1158">
        <v>1691</v>
      </c>
    </row>
    <row r="954" spans="1:7">
      <c r="A954" t="s">
        <v>220</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11492</v>
      </c>
      <c r="E963" s="1158">
        <v>12453</v>
      </c>
      <c r="F963" s="1158">
        <v>3377</v>
      </c>
      <c r="G963" s="1158">
        <v>37548</v>
      </c>
    </row>
    <row r="966" spans="1:7">
      <c r="A966" s="44" t="s">
        <v>873</v>
      </c>
      <c r="B966" s="44" t="s">
        <v>871</v>
      </c>
    </row>
    <row r="967" spans="1:7">
      <c r="A967" s="44" t="s">
        <v>874</v>
      </c>
      <c r="B967" s="112">
        <v>45978</v>
      </c>
      <c r="C967" t="s">
        <v>875</v>
      </c>
    </row>
    <row r="968" spans="1:7">
      <c r="A968" t="s">
        <v>274</v>
      </c>
      <c r="B968" s="1158"/>
      <c r="C968" s="1158"/>
    </row>
    <row r="969" spans="1:7">
      <c r="A969" t="s">
        <v>395</v>
      </c>
      <c r="B969" s="1158"/>
      <c r="C969" s="1158"/>
    </row>
    <row r="970" spans="1:7">
      <c r="A970" t="s">
        <v>238</v>
      </c>
      <c r="B970" s="1158"/>
      <c r="C970" s="1158"/>
    </row>
    <row r="971" spans="1:7">
      <c r="A971" t="s">
        <v>398</v>
      </c>
      <c r="B971" s="1158"/>
      <c r="C971" s="1158"/>
    </row>
    <row r="972" spans="1:7">
      <c r="A972" t="s">
        <v>242</v>
      </c>
      <c r="B972" s="1158"/>
      <c r="C972" s="1158"/>
    </row>
    <row r="973" spans="1:7">
      <c r="A973" t="s">
        <v>139</v>
      </c>
      <c r="B973" s="1158"/>
      <c r="C973" s="1158"/>
    </row>
    <row r="974" spans="1:7">
      <c r="A974" t="s">
        <v>292</v>
      </c>
      <c r="B974" s="1158"/>
      <c r="C974" s="1158"/>
    </row>
    <row r="975" spans="1:7">
      <c r="A975" t="s">
        <v>320</v>
      </c>
      <c r="B975" s="1158"/>
      <c r="C975" s="1158"/>
    </row>
    <row r="976" spans="1:7">
      <c r="A976" t="s">
        <v>329</v>
      </c>
      <c r="B976" s="1158"/>
      <c r="C976" s="1158"/>
    </row>
    <row r="977" spans="1:3">
      <c r="A977" t="s">
        <v>942</v>
      </c>
      <c r="B977" s="1158"/>
      <c r="C977" s="1158"/>
    </row>
    <row r="978" spans="1:3">
      <c r="A978" t="s">
        <v>331</v>
      </c>
      <c r="B978" s="1158"/>
      <c r="C978" s="1158"/>
    </row>
    <row r="979" spans="1:3">
      <c r="A979" t="s">
        <v>943</v>
      </c>
      <c r="B979" s="1158"/>
      <c r="C979" s="1158"/>
    </row>
    <row r="980" spans="1:3">
      <c r="A980" t="s">
        <v>157</v>
      </c>
      <c r="B980" s="1158"/>
      <c r="C980" s="1158"/>
    </row>
    <row r="981" spans="1:3">
      <c r="A981" t="s">
        <v>153</v>
      </c>
      <c r="B981" s="1158"/>
      <c r="C981" s="1158"/>
    </row>
    <row r="982" spans="1:3">
      <c r="A982" t="s">
        <v>875</v>
      </c>
      <c r="B982" s="1158"/>
      <c r="C982" s="11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7"/>
  <sheetViews>
    <sheetView workbookViewId="0">
      <pane ySplit="1" topLeftCell="A2026" activePane="bottomLeft" state="frozen"/>
      <selection pane="bottomLeft" activeCell="F2041" sqref="F204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213</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213</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213</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213</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213</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210</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210</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210</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210</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210</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210</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210</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210</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210</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210</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210</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210</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210</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210</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210</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213</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1870</v>
      </c>
      <c r="F2008" s="43" t="s">
        <v>1453</v>
      </c>
      <c r="G2008" t="s">
        <v>1608</v>
      </c>
    </row>
    <row r="2009" spans="1:7">
      <c r="A2009" s="43" t="s">
        <v>398</v>
      </c>
      <c r="B2009" s="116" t="s">
        <v>140</v>
      </c>
      <c r="C2009" s="56">
        <v>45973</v>
      </c>
      <c r="D2009" s="43">
        <v>890</v>
      </c>
      <c r="G2009" t="s">
        <v>1608</v>
      </c>
    </row>
    <row r="2010" spans="1:7">
      <c r="A2010" s="43" t="s">
        <v>398</v>
      </c>
      <c r="B2010" s="116" t="s">
        <v>210</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220</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43">
        <v>988</v>
      </c>
      <c r="F2021" s="43" t="s">
        <v>1641</v>
      </c>
      <c r="G2021" t="s">
        <v>1608</v>
      </c>
    </row>
    <row r="2022" spans="1:7">
      <c r="A2022" s="43" t="s">
        <v>139</v>
      </c>
      <c r="B2022" s="43" t="s">
        <v>140</v>
      </c>
      <c r="C2022" s="56">
        <v>45974</v>
      </c>
      <c r="D2022" s="43">
        <v>814</v>
      </c>
      <c r="F2022" s="43" t="s">
        <v>1642</v>
      </c>
      <c r="G2022" t="s">
        <v>1608</v>
      </c>
    </row>
    <row r="2023" spans="1:7">
      <c r="A2023" s="636" t="s">
        <v>220</v>
      </c>
      <c r="B2023" s="43" t="s">
        <v>1313</v>
      </c>
      <c r="C2023" s="56">
        <v>45974</v>
      </c>
      <c r="D2023" s="43">
        <v>325</v>
      </c>
      <c r="G2023" t="s">
        <v>1608</v>
      </c>
    </row>
    <row r="2024" spans="1:7">
      <c r="A2024" s="43" t="s">
        <v>220</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213</v>
      </c>
      <c r="C2035" s="56">
        <v>45975</v>
      </c>
      <c r="D2035" s="43">
        <v>500</v>
      </c>
      <c r="E2035" s="257"/>
      <c r="F2035" s="171" t="s">
        <v>1645</v>
      </c>
      <c r="G2035" t="s">
        <v>1608</v>
      </c>
    </row>
    <row r="2036" spans="1:7">
      <c r="A2036" s="142" t="s">
        <v>220</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159" t="s">
        <v>395</v>
      </c>
      <c r="B2042" s="1159" t="s">
        <v>1313</v>
      </c>
      <c r="C2042" s="56">
        <v>45978</v>
      </c>
      <c r="G2042" t="s">
        <v>1608</v>
      </c>
    </row>
    <row r="2043" spans="1:7">
      <c r="A2043" s="1160" t="s">
        <v>943</v>
      </c>
      <c r="B2043" s="1160" t="s">
        <v>210</v>
      </c>
      <c r="C2043" s="56">
        <v>45978</v>
      </c>
      <c r="G2043" t="s">
        <v>1608</v>
      </c>
    </row>
    <row r="2044" spans="1:7">
      <c r="A2044" s="1160" t="s">
        <v>157</v>
      </c>
      <c r="B2044" s="1160" t="s">
        <v>140</v>
      </c>
      <c r="C2044" s="56">
        <v>45978</v>
      </c>
      <c r="G2044" t="s">
        <v>1608</v>
      </c>
    </row>
    <row r="2045" spans="1:7">
      <c r="A2045" s="1160" t="s">
        <v>942</v>
      </c>
      <c r="B2045" s="1160" t="s">
        <v>213</v>
      </c>
      <c r="C2045" s="56">
        <v>45978</v>
      </c>
      <c r="G2045" t="s">
        <v>1608</v>
      </c>
    </row>
    <row r="2046" spans="1:7">
      <c r="A2046" s="1161" t="s">
        <v>153</v>
      </c>
      <c r="B2046" s="1160" t="s">
        <v>140</v>
      </c>
      <c r="C2046" s="56">
        <v>45978</v>
      </c>
      <c r="G2046" t="s">
        <v>1608</v>
      </c>
    </row>
    <row r="2047" spans="1:7">
      <c r="A2047" s="1159" t="s">
        <v>398</v>
      </c>
      <c r="B2047" s="1160" t="s">
        <v>140</v>
      </c>
      <c r="C2047" s="56">
        <v>45978</v>
      </c>
      <c r="G2047" t="s">
        <v>1608</v>
      </c>
    </row>
    <row r="2048" spans="1:7">
      <c r="A2048" s="1160" t="s">
        <v>139</v>
      </c>
      <c r="B2048" s="1160" t="s">
        <v>140</v>
      </c>
      <c r="C2048" s="56">
        <v>45978</v>
      </c>
      <c r="G2048" t="s">
        <v>1608</v>
      </c>
    </row>
    <row r="2049" spans="1:7">
      <c r="A2049" s="1162" t="s">
        <v>274</v>
      </c>
      <c r="B2049" s="1164" t="s">
        <v>884</v>
      </c>
      <c r="C2049" s="56">
        <v>45978</v>
      </c>
      <c r="G2049" t="s">
        <v>1608</v>
      </c>
    </row>
    <row r="2050" spans="1:7">
      <c r="A2050" s="1162" t="s">
        <v>274</v>
      </c>
      <c r="B2050" s="1165" t="s">
        <v>884</v>
      </c>
      <c r="C2050" s="56">
        <v>45978</v>
      </c>
      <c r="G2050" t="s">
        <v>1608</v>
      </c>
    </row>
    <row r="2051" spans="1:7">
      <c r="A2051" s="1159" t="s">
        <v>274</v>
      </c>
      <c r="B2051" s="1160" t="s">
        <v>1313</v>
      </c>
      <c r="C2051" s="56">
        <v>45978</v>
      </c>
      <c r="G2051" t="s">
        <v>1608</v>
      </c>
    </row>
    <row r="2052" spans="1:7">
      <c r="A2052" s="1163" t="s">
        <v>238</v>
      </c>
      <c r="B2052" s="1160" t="s">
        <v>239</v>
      </c>
      <c r="C2052" s="56">
        <v>45978</v>
      </c>
      <c r="G2052" t="s">
        <v>1608</v>
      </c>
    </row>
    <row r="2053" spans="1:7">
      <c r="A2053" s="1159" t="s">
        <v>242</v>
      </c>
      <c r="B2053" s="1166" t="s">
        <v>243</v>
      </c>
      <c r="C2053" s="56">
        <v>45978</v>
      </c>
      <c r="G2053" t="s">
        <v>1608</v>
      </c>
    </row>
    <row r="2054" spans="1:7">
      <c r="A2054" s="1160" t="s">
        <v>292</v>
      </c>
      <c r="B2054" s="1160" t="s">
        <v>1533</v>
      </c>
      <c r="C2054" s="56">
        <v>45978</v>
      </c>
      <c r="G2054" t="s">
        <v>1608</v>
      </c>
    </row>
    <row r="2055" spans="1:7">
      <c r="A2055" s="1159" t="s">
        <v>329</v>
      </c>
      <c r="B2055" s="1159" t="s">
        <v>140</v>
      </c>
      <c r="C2055" s="56">
        <v>45978</v>
      </c>
      <c r="G2055" t="s">
        <v>1608</v>
      </c>
    </row>
    <row r="2056" spans="1:7">
      <c r="A2056" s="1160" t="s">
        <v>320</v>
      </c>
      <c r="B2056" s="1160" t="s">
        <v>140</v>
      </c>
      <c r="C2056" s="56">
        <v>45978</v>
      </c>
      <c r="G2056" t="s">
        <v>1608</v>
      </c>
    </row>
    <row r="2057" spans="1:7">
      <c r="A2057" s="1160" t="s">
        <v>331</v>
      </c>
      <c r="B2057" s="1160" t="s">
        <v>140</v>
      </c>
      <c r="C2057" s="56">
        <v>45978</v>
      </c>
      <c r="G2057"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1646</v>
      </c>
      <c r="Q1" s="160" t="s">
        <v>1647</v>
      </c>
      <c r="R1" s="128" t="s">
        <v>1648</v>
      </c>
      <c r="S1" s="128" t="s">
        <v>1649</v>
      </c>
      <c r="T1" s="160" t="s">
        <v>1650</v>
      </c>
      <c r="U1" s="128" t="s">
        <v>1018</v>
      </c>
      <c r="V1" s="161" t="s">
        <v>1651</v>
      </c>
      <c r="W1" s="161" t="s">
        <v>1652</v>
      </c>
      <c r="X1" s="164" t="s">
        <v>1653</v>
      </c>
      <c r="Y1" s="262" t="e" cm="1">
        <f t="array" ref="Y1">VLOOKUP(#REF!,#REF!, FALSE)</f>
        <v>#REF!</v>
      </c>
    </row>
    <row r="2" spans="1:25">
      <c r="A2" s="181" t="s">
        <v>354</v>
      </c>
      <c r="B2" s="183" t="s">
        <v>217</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217</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224</v>
      </c>
      <c r="B4" s="421" t="s">
        <v>217</v>
      </c>
      <c r="C4" s="422">
        <v>45742</v>
      </c>
      <c r="D4" s="718" t="s">
        <v>226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217</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217</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1654</v>
      </c>
      <c r="S6" s="43" t="s">
        <v>349</v>
      </c>
      <c r="T6" s="43" t="s">
        <v>349</v>
      </c>
      <c r="U6" s="158" t="s">
        <v>349</v>
      </c>
      <c r="V6" s="69" t="s">
        <v>94</v>
      </c>
      <c r="W6" s="79"/>
      <c r="X6" s="69" t="s">
        <v>94</v>
      </c>
      <c r="Y6" t="e">
        <f>VLOOKUP(A6,#REF!,2,FALSE)</f>
        <v>#REF!</v>
      </c>
    </row>
    <row r="7" spans="1:25">
      <c r="A7" s="396" t="s">
        <v>852</v>
      </c>
      <c r="B7" s="708" t="s">
        <v>217</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1654</v>
      </c>
      <c r="S7" s="43" t="s">
        <v>349</v>
      </c>
      <c r="T7" s="43" t="s">
        <v>349</v>
      </c>
      <c r="U7" s="43" t="s">
        <v>349</v>
      </c>
      <c r="V7" s="69" t="s">
        <v>94</v>
      </c>
      <c r="W7" s="30"/>
      <c r="X7" s="69" t="s">
        <v>94</v>
      </c>
      <c r="Y7" t="e">
        <f>VLOOKUP(A7,#REF!,2,FALSE)</f>
        <v>#REF!</v>
      </c>
    </row>
    <row r="8" spans="1:25">
      <c r="A8" s="178" t="s">
        <v>427</v>
      </c>
      <c r="B8" s="183" t="s">
        <v>217</v>
      </c>
      <c r="C8" s="179">
        <v>45742</v>
      </c>
      <c r="D8" s="188" t="s">
        <v>1655</v>
      </c>
      <c r="E8" s="121"/>
      <c r="F8" s="109"/>
      <c r="G8" s="109"/>
      <c r="H8" s="182">
        <v>84</v>
      </c>
      <c r="I8" s="184"/>
      <c r="J8" s="188" t="s">
        <v>57</v>
      </c>
      <c r="K8" s="188" t="s">
        <v>57</v>
      </c>
      <c r="L8" s="188" t="s">
        <v>63</v>
      </c>
      <c r="M8" s="196">
        <v>45716</v>
      </c>
      <c r="N8" s="30" t="s">
        <v>349</v>
      </c>
      <c r="O8" s="30" t="s">
        <v>349</v>
      </c>
      <c r="P8" s="733" t="s">
        <v>349</v>
      </c>
      <c r="Q8" s="69" t="s">
        <v>349</v>
      </c>
      <c r="R8" s="43" t="s">
        <v>1654</v>
      </c>
      <c r="S8" s="43" t="s">
        <v>349</v>
      </c>
      <c r="T8" s="43" t="s">
        <v>349</v>
      </c>
      <c r="U8" s="43" t="s">
        <v>349</v>
      </c>
      <c r="V8" s="69" t="s">
        <v>94</v>
      </c>
      <c r="W8" s="30"/>
      <c r="X8" s="69" t="s">
        <v>94</v>
      </c>
      <c r="Y8" t="e">
        <f>VLOOKUP(A8,#REF!,2,FALSE)</f>
        <v>#REF!</v>
      </c>
    </row>
    <row r="9" spans="1:25">
      <c r="A9" s="178" t="s">
        <v>854</v>
      </c>
      <c r="B9" s="183" t="s">
        <v>217</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1654</v>
      </c>
      <c r="S9" s="43" t="s">
        <v>349</v>
      </c>
      <c r="T9" s="43" t="s">
        <v>349</v>
      </c>
      <c r="U9" s="43" t="s">
        <v>349</v>
      </c>
      <c r="V9" s="69" t="s">
        <v>94</v>
      </c>
      <c r="W9" s="30"/>
      <c r="X9" s="69" t="s">
        <v>94</v>
      </c>
      <c r="Y9" t="e">
        <f>VLOOKUP(A9,#REF!,2,FALSE)</f>
        <v>#REF!</v>
      </c>
    </row>
    <row r="10" spans="1:25">
      <c r="A10" s="178" t="s">
        <v>856</v>
      </c>
      <c r="B10" s="183" t="s">
        <v>217</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1654</v>
      </c>
      <c r="S10" s="43" t="s">
        <v>349</v>
      </c>
      <c r="T10" s="43" t="s">
        <v>349</v>
      </c>
      <c r="U10" s="162" t="s">
        <v>349</v>
      </c>
      <c r="V10" s="345" t="s">
        <v>94</v>
      </c>
      <c r="W10" s="30"/>
      <c r="X10" s="69" t="s">
        <v>94</v>
      </c>
      <c r="Y10" t="e">
        <f>VLOOKUP(A10,#REF!,2,FALSE)</f>
        <v>#REF!</v>
      </c>
    </row>
    <row r="11" spans="1:25">
      <c r="A11" s="184" t="s">
        <v>359</v>
      </c>
      <c r="B11" s="436" t="s">
        <v>217</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1654</v>
      </c>
      <c r="S11" s="43" t="s">
        <v>349</v>
      </c>
      <c r="T11" s="43" t="s">
        <v>349</v>
      </c>
      <c r="U11" s="345" t="s">
        <v>94</v>
      </c>
      <c r="V11" s="69" t="s">
        <v>94</v>
      </c>
      <c r="W11" s="30"/>
      <c r="X11" s="43"/>
    </row>
    <row r="12" spans="1:25">
      <c r="A12" s="178" t="s">
        <v>362</v>
      </c>
      <c r="B12" s="183" t="s">
        <v>217</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1654</v>
      </c>
      <c r="S12" s="43" t="s">
        <v>349</v>
      </c>
      <c r="T12" s="43" t="s">
        <v>349</v>
      </c>
      <c r="U12" s="69" t="s">
        <v>94</v>
      </c>
      <c r="V12" s="69" t="s">
        <v>94</v>
      </c>
      <c r="W12" s="30"/>
      <c r="X12" s="69" t="s">
        <v>94</v>
      </c>
      <c r="Y12" t="e">
        <f>VLOOKUP(A12,#REF!,2,FALSE)</f>
        <v>#REF!</v>
      </c>
    </row>
    <row r="13" spans="1:25">
      <c r="A13" s="181" t="s">
        <v>274</v>
      </c>
      <c r="B13" s="183" t="s">
        <v>217</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217</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217</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1656</v>
      </c>
      <c r="Y15" t="e">
        <f>VLOOKUP(A15,#REF!,2,FALSE)</f>
        <v>#REF!</v>
      </c>
    </row>
    <row r="16" spans="1:25">
      <c r="A16" s="178" t="s">
        <v>712</v>
      </c>
      <c r="B16" s="183" t="s">
        <v>217</v>
      </c>
      <c r="C16" s="318">
        <v>45742</v>
      </c>
      <c r="D16" s="721" t="s">
        <v>714</v>
      </c>
      <c r="E16" s="194"/>
      <c r="F16" s="139"/>
      <c r="G16" s="139"/>
      <c r="H16" s="188">
        <v>0</v>
      </c>
      <c r="I16" s="184"/>
      <c r="J16" s="188" t="s">
        <v>57</v>
      </c>
      <c r="K16" s="188" t="s">
        <v>57</v>
      </c>
      <c r="L16" s="188" t="s">
        <v>63</v>
      </c>
      <c r="M16" s="198" t="s">
        <v>1657</v>
      </c>
      <c r="N16" s="30" t="s">
        <v>349</v>
      </c>
      <c r="O16" s="54" t="s">
        <v>1657</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217</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217</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1656</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1656</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1656</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1656</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1656</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1656</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1656</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1654</v>
      </c>
      <c r="S31" s="43" t="s">
        <v>349</v>
      </c>
      <c r="T31" s="140" t="s">
        <v>349</v>
      </c>
      <c r="U31" s="116" t="s">
        <v>349</v>
      </c>
      <c r="V31" s="69" t="s">
        <v>349</v>
      </c>
      <c r="W31" s="54">
        <v>45779</v>
      </c>
      <c r="X31" s="69" t="s">
        <v>1656</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1654</v>
      </c>
      <c r="S32" s="43" t="s">
        <v>349</v>
      </c>
      <c r="T32" s="140" t="s">
        <v>349</v>
      </c>
      <c r="U32" s="43" t="s">
        <v>349</v>
      </c>
      <c r="V32" s="69" t="s">
        <v>349</v>
      </c>
      <c r="W32" s="54">
        <v>45792</v>
      </c>
      <c r="X32" s="69" t="s">
        <v>1656</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1654</v>
      </c>
      <c r="S33" s="43" t="s">
        <v>349</v>
      </c>
      <c r="T33" s="140" t="s">
        <v>349</v>
      </c>
      <c r="U33" s="43" t="s">
        <v>349</v>
      </c>
      <c r="V33" s="345" t="s">
        <v>349</v>
      </c>
      <c r="W33" s="54">
        <v>45812</v>
      </c>
      <c r="X33" s="69" t="s">
        <v>1656</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1654</v>
      </c>
      <c r="S34" s="43" t="s">
        <v>349</v>
      </c>
      <c r="T34" s="140" t="s">
        <v>349</v>
      </c>
      <c r="U34" s="43" t="s">
        <v>349</v>
      </c>
      <c r="V34" s="418" t="s">
        <v>349</v>
      </c>
      <c r="W34" s="168">
        <v>45797</v>
      </c>
      <c r="X34" s="69" t="s">
        <v>1656</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1654</v>
      </c>
      <c r="S35" s="43" t="s">
        <v>349</v>
      </c>
      <c r="T35" s="140" t="s">
        <v>349</v>
      </c>
      <c r="U35" s="171" t="s">
        <v>349</v>
      </c>
      <c r="V35" s="69" t="s">
        <v>349</v>
      </c>
      <c r="W35" s="54">
        <v>45789</v>
      </c>
      <c r="X35" s="345" t="s">
        <v>1656</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1654</v>
      </c>
      <c r="S36" s="43" t="s">
        <v>349</v>
      </c>
      <c r="T36" s="140" t="s">
        <v>349</v>
      </c>
      <c r="U36" s="43" t="s">
        <v>349</v>
      </c>
      <c r="V36" s="69" t="s">
        <v>349</v>
      </c>
      <c r="W36" s="54">
        <v>45824</v>
      </c>
      <c r="X36" s="345" t="s">
        <v>1656</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1654</v>
      </c>
      <c r="S37" s="43" t="s">
        <v>349</v>
      </c>
      <c r="T37" s="43" t="s">
        <v>349</v>
      </c>
      <c r="U37" s="171" t="s">
        <v>349</v>
      </c>
      <c r="V37" s="69" t="s">
        <v>349</v>
      </c>
      <c r="W37" s="157">
        <v>45789</v>
      </c>
      <c r="X37" s="69" t="s">
        <v>1656</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1654</v>
      </c>
      <c r="S38" s="43" t="s">
        <v>349</v>
      </c>
      <c r="T38" s="43" t="s">
        <v>349</v>
      </c>
      <c r="U38" s="171" t="s">
        <v>349</v>
      </c>
      <c r="V38" s="69" t="s">
        <v>349</v>
      </c>
      <c r="W38" s="54">
        <v>45789</v>
      </c>
      <c r="X38" s="69" t="s">
        <v>1656</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1654</v>
      </c>
      <c r="S39" s="43" t="s">
        <v>349</v>
      </c>
      <c r="T39" s="43" t="s">
        <v>349</v>
      </c>
      <c r="U39" s="171" t="s">
        <v>349</v>
      </c>
      <c r="V39" s="69" t="s">
        <v>349</v>
      </c>
      <c r="W39" s="54">
        <v>45789</v>
      </c>
      <c r="X39" s="69" t="s">
        <v>1656</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1656</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1656</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1656</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1656</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1656</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1656</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1656</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1656</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1656</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1656</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1656</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1656</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1654</v>
      </c>
      <c r="S57" s="43" t="s">
        <v>349</v>
      </c>
      <c r="T57" s="43" t="s">
        <v>349</v>
      </c>
      <c r="U57" s="43" t="s">
        <v>349</v>
      </c>
      <c r="V57" s="69" t="s">
        <v>349</v>
      </c>
      <c r="W57" s="54">
        <v>45813</v>
      </c>
      <c r="X57" s="69" t="s">
        <v>1656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1654</v>
      </c>
      <c r="S58" s="43" t="s">
        <v>349</v>
      </c>
      <c r="T58" s="43" t="s">
        <v>349</v>
      </c>
      <c r="U58" s="43" t="s">
        <v>349</v>
      </c>
      <c r="V58" s="345" t="s">
        <v>349</v>
      </c>
      <c r="W58" s="54">
        <v>45796</v>
      </c>
      <c r="X58" s="69" t="s">
        <v>1656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1654</v>
      </c>
      <c r="S59" s="43" t="s">
        <v>349</v>
      </c>
      <c r="T59" s="43" t="s">
        <v>349</v>
      </c>
      <c r="U59" s="43" t="s">
        <v>349</v>
      </c>
      <c r="V59" s="345" t="s">
        <v>349</v>
      </c>
      <c r="W59" s="54">
        <v>45796</v>
      </c>
      <c r="X59" s="69" t="s">
        <v>1656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1654</v>
      </c>
      <c r="S60" s="43" t="s">
        <v>349</v>
      </c>
      <c r="T60" s="43" t="s">
        <v>349</v>
      </c>
      <c r="U60" s="43" t="s">
        <v>349</v>
      </c>
      <c r="V60" s="345" t="s">
        <v>349</v>
      </c>
      <c r="W60" s="54">
        <v>45824</v>
      </c>
      <c r="X60" s="69" t="s">
        <v>1656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1658</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1654</v>
      </c>
      <c r="S81" s="43" t="s">
        <v>349</v>
      </c>
      <c r="T81" s="43" t="s">
        <v>349</v>
      </c>
      <c r="U81" s="116" t="s">
        <v>349</v>
      </c>
      <c r="V81" s="69" t="s">
        <v>349</v>
      </c>
      <c r="W81" s="54">
        <v>45789</v>
      </c>
      <c r="X81" s="69" t="s">
        <v>1656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1654</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1654</v>
      </c>
      <c r="S84" s="171" t="s">
        <v>349</v>
      </c>
      <c r="T84" s="171" t="s">
        <v>349</v>
      </c>
      <c r="U84" s="92" t="s">
        <v>349</v>
      </c>
      <c r="V84" s="69" t="s">
        <v>349</v>
      </c>
      <c r="W84" s="198">
        <v>45875</v>
      </c>
      <c r="X84" s="69" t="s">
        <v>1656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1654</v>
      </c>
      <c r="S85" s="171" t="s">
        <v>349</v>
      </c>
      <c r="T85" s="171" t="s">
        <v>349</v>
      </c>
      <c r="U85" s="92" t="s">
        <v>349</v>
      </c>
      <c r="V85" s="92" t="s">
        <v>349</v>
      </c>
      <c r="W85" s="198">
        <v>45874</v>
      </c>
      <c r="X85" s="69" t="s">
        <v>1656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1654</v>
      </c>
      <c r="S86" s="43" t="s">
        <v>349</v>
      </c>
      <c r="T86" s="43" t="s">
        <v>349</v>
      </c>
      <c r="U86" s="69" t="s">
        <v>349</v>
      </c>
      <c r="V86" s="69" t="s">
        <v>349</v>
      </c>
      <c r="W86" s="54">
        <v>45824</v>
      </c>
      <c r="X86" s="69" t="s">
        <v>1656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1654</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1654</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1654</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1654</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1654</v>
      </c>
      <c r="S91" s="69" t="s">
        <v>349</v>
      </c>
      <c r="T91" s="69" t="s">
        <v>349</v>
      </c>
      <c r="U91" s="69" t="s">
        <v>349</v>
      </c>
      <c r="V91" s="69" t="s">
        <v>349</v>
      </c>
      <c r="W91" s="54">
        <v>45831</v>
      </c>
      <c r="X91" s="69" t="s">
        <v>1656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1654</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1654</v>
      </c>
      <c r="S93" s="43" t="s">
        <v>349</v>
      </c>
      <c r="T93" s="43" t="s">
        <v>349</v>
      </c>
      <c r="U93" s="345" t="s">
        <v>349</v>
      </c>
      <c r="V93" s="69" t="s">
        <v>349</v>
      </c>
      <c r="W93" s="54">
        <v>45789</v>
      </c>
      <c r="X93" s="69" t="s">
        <v>1656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1654</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1654</v>
      </c>
      <c r="S95" s="69" t="s">
        <v>349</v>
      </c>
      <c r="T95" s="43" t="s">
        <v>349</v>
      </c>
      <c r="U95" s="69" t="s">
        <v>349</v>
      </c>
      <c r="V95" s="69" t="s">
        <v>349</v>
      </c>
      <c r="W95" s="54">
        <v>45814</v>
      </c>
      <c r="X95" s="69" t="s">
        <v>1656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1654</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1654</v>
      </c>
      <c r="S97" s="69" t="s">
        <v>349</v>
      </c>
      <c r="T97" s="69" t="s">
        <v>349</v>
      </c>
      <c r="U97" s="69" t="s">
        <v>349</v>
      </c>
      <c r="V97" s="43" t="s">
        <v>349</v>
      </c>
      <c r="W97" s="54">
        <v>45824</v>
      </c>
      <c r="X97" s="69" t="s">
        <v>1656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1654</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1654</v>
      </c>
      <c r="S99" s="43" t="s">
        <v>349</v>
      </c>
      <c r="T99" s="116" t="s">
        <v>349</v>
      </c>
      <c r="U99" s="149" t="s">
        <v>349</v>
      </c>
      <c r="V99" s="69" t="s">
        <v>349</v>
      </c>
      <c r="W99" s="54">
        <v>45814</v>
      </c>
      <c r="X99" s="69" t="s">
        <v>1656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1654</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1654</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1654</v>
      </c>
      <c r="S102" s="43" t="s">
        <v>349</v>
      </c>
      <c r="T102" s="43" t="s">
        <v>349</v>
      </c>
      <c r="U102" s="43" t="s">
        <v>349</v>
      </c>
      <c r="V102" s="166" t="s">
        <v>349</v>
      </c>
      <c r="W102" s="54">
        <v>45835</v>
      </c>
      <c r="X102" s="69" t="s">
        <v>1656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1654</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1654</v>
      </c>
      <c r="S104" s="43" t="s">
        <v>349</v>
      </c>
      <c r="T104" s="43" t="s">
        <v>349</v>
      </c>
      <c r="U104" s="43" t="s">
        <v>349</v>
      </c>
      <c r="V104" s="140" t="s">
        <v>349</v>
      </c>
      <c r="W104" s="54">
        <v>45820</v>
      </c>
      <c r="X104" s="69" t="s">
        <v>1656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1654</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1654</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1654</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1654</v>
      </c>
      <c r="S108" s="43" t="s">
        <v>349</v>
      </c>
      <c r="T108" s="43" t="s">
        <v>349</v>
      </c>
      <c r="U108" s="88" t="s">
        <v>349</v>
      </c>
      <c r="V108" s="495" t="s">
        <v>349</v>
      </c>
      <c r="W108" s="367">
        <v>45798</v>
      </c>
      <c r="X108" s="69" t="s">
        <v>1656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1654</v>
      </c>
      <c r="S109" s="43" t="s">
        <v>349</v>
      </c>
      <c r="T109" s="43" t="s">
        <v>349</v>
      </c>
      <c r="U109" s="43" t="s">
        <v>1659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1654</v>
      </c>
      <c r="S110" s="43" t="s">
        <v>349</v>
      </c>
      <c r="T110" s="43" t="s">
        <v>349</v>
      </c>
      <c r="U110" s="88" t="s">
        <v>349</v>
      </c>
      <c r="V110" s="495" t="s">
        <v>349</v>
      </c>
      <c r="W110" s="367">
        <v>45902</v>
      </c>
      <c r="X110" s="69" t="s">
        <v>1656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1654</v>
      </c>
      <c r="S111" s="43" t="s">
        <v>349</v>
      </c>
      <c r="T111" s="43" t="s">
        <v>349</v>
      </c>
      <c r="U111" s="43" t="s">
        <v>349</v>
      </c>
      <c r="V111" s="204" t="s">
        <v>349</v>
      </c>
      <c r="W111" s="168">
        <v>45790</v>
      </c>
      <c r="X111" s="69" t="s">
        <v>1656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1654</v>
      </c>
      <c r="S112" s="43" t="s">
        <v>349</v>
      </c>
      <c r="T112" s="43" t="s">
        <v>349</v>
      </c>
      <c r="U112" s="43" t="s">
        <v>349</v>
      </c>
      <c r="V112" s="204" t="s">
        <v>349</v>
      </c>
      <c r="W112" s="493">
        <v>45791</v>
      </c>
      <c r="X112" s="69" t="s">
        <v>1656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1654</v>
      </c>
      <c r="S113" s="116" t="s">
        <v>349</v>
      </c>
      <c r="T113" s="43" t="s">
        <v>349</v>
      </c>
      <c r="U113" s="43" t="s">
        <v>349</v>
      </c>
      <c r="V113" s="204" t="s">
        <v>349</v>
      </c>
      <c r="W113" s="493">
        <v>45791</v>
      </c>
      <c r="X113" s="149" t="s">
        <v>1656</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1654</v>
      </c>
      <c r="S114" s="116" t="s">
        <v>349</v>
      </c>
      <c r="T114" s="43" t="s">
        <v>349</v>
      </c>
      <c r="U114" s="158" t="s">
        <v>349</v>
      </c>
      <c r="V114" s="204" t="s">
        <v>349</v>
      </c>
      <c r="W114" s="54">
        <v>45798</v>
      </c>
      <c r="X114" s="69" t="s">
        <v>1656</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1654</v>
      </c>
      <c r="S115" s="43" t="s">
        <v>349</v>
      </c>
      <c r="T115" s="43" t="s">
        <v>349</v>
      </c>
      <c r="U115" s="43" t="s">
        <v>349</v>
      </c>
      <c r="V115" s="88" t="s">
        <v>349</v>
      </c>
      <c r="W115" s="54">
        <v>45814</v>
      </c>
      <c r="X115" s="69" t="s">
        <v>1656</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1654</v>
      </c>
      <c r="S116" s="43" t="s">
        <v>349</v>
      </c>
      <c r="T116" s="43" t="s">
        <v>349</v>
      </c>
      <c r="U116" s="43" t="s">
        <v>349</v>
      </c>
      <c r="V116" s="495" t="s">
        <v>349</v>
      </c>
      <c r="W116" s="54">
        <v>45807</v>
      </c>
      <c r="X116" s="69" t="s">
        <v>1656</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1654</v>
      </c>
      <c r="S117" s="43" t="s">
        <v>349</v>
      </c>
      <c r="T117" s="43" t="s">
        <v>349</v>
      </c>
      <c r="U117" s="43" t="s">
        <v>349</v>
      </c>
      <c r="V117" s="88" t="s">
        <v>349</v>
      </c>
      <c r="W117" s="54">
        <v>45811</v>
      </c>
      <c r="X117" s="69" t="s">
        <v>1656</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1654</v>
      </c>
      <c r="S118" s="43" t="s">
        <v>349</v>
      </c>
      <c r="T118" s="43" t="s">
        <v>349</v>
      </c>
      <c r="U118" s="158" t="s">
        <v>349</v>
      </c>
      <c r="V118" s="88" t="s">
        <v>349</v>
      </c>
      <c r="W118" s="54">
        <v>45810</v>
      </c>
      <c r="X118" s="69" t="s">
        <v>1656</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1654</v>
      </c>
      <c r="S119" s="43" t="s">
        <v>349</v>
      </c>
      <c r="T119" s="43" t="s">
        <v>349</v>
      </c>
      <c r="U119" s="158" t="s">
        <v>349</v>
      </c>
      <c r="V119" s="88" t="s">
        <v>349</v>
      </c>
      <c r="W119" s="54">
        <v>45813</v>
      </c>
      <c r="X119" s="69" t="s">
        <v>1656</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1654</v>
      </c>
      <c r="S120" s="43" t="s">
        <v>349</v>
      </c>
      <c r="T120" s="43" t="s">
        <v>349</v>
      </c>
      <c r="U120" s="43" t="s">
        <v>349</v>
      </c>
      <c r="V120" s="88" t="s">
        <v>349</v>
      </c>
      <c r="W120" s="54">
        <v>45811</v>
      </c>
      <c r="X120" s="69" t="s">
        <v>1656</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1654</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1654</v>
      </c>
      <c r="S122" s="43" t="s">
        <v>349</v>
      </c>
      <c r="T122" s="43" t="s">
        <v>349</v>
      </c>
      <c r="U122" s="158" t="s">
        <v>349</v>
      </c>
      <c r="V122" s="158" t="s">
        <v>349</v>
      </c>
      <c r="W122" s="54">
        <v>45789</v>
      </c>
      <c r="X122" s="69" t="s">
        <v>1656</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1654</v>
      </c>
      <c r="S123" s="43" t="s">
        <v>349</v>
      </c>
      <c r="T123" s="43" t="s">
        <v>349</v>
      </c>
      <c r="U123" s="43" t="s">
        <v>349</v>
      </c>
      <c r="V123" s="69" t="s">
        <v>349</v>
      </c>
      <c r="W123" s="54">
        <v>45811</v>
      </c>
      <c r="X123" s="69" t="s">
        <v>1656</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1654</v>
      </c>
      <c r="S124" s="43" t="s">
        <v>349</v>
      </c>
      <c r="T124" s="43" t="s">
        <v>349</v>
      </c>
      <c r="U124" s="43" t="s">
        <v>1659</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1654</v>
      </c>
      <c r="S125" s="43" t="s">
        <v>349</v>
      </c>
      <c r="T125" s="43" t="s">
        <v>349</v>
      </c>
      <c r="U125" s="43" t="s">
        <v>349</v>
      </c>
      <c r="V125" s="43" t="s">
        <v>349</v>
      </c>
      <c r="W125" s="54">
        <v>45814</v>
      </c>
      <c r="X125" s="69" t="s">
        <v>1656</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1654</v>
      </c>
      <c r="S126" s="43" t="s">
        <v>349</v>
      </c>
      <c r="T126" s="43" t="s">
        <v>349</v>
      </c>
      <c r="U126" s="43" t="s">
        <v>349</v>
      </c>
      <c r="V126" s="88" t="s">
        <v>349</v>
      </c>
      <c r="W126" s="54">
        <v>45819</v>
      </c>
      <c r="X126" s="69" t="s">
        <v>1656</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1654</v>
      </c>
      <c r="S127" s="43" t="s">
        <v>349</v>
      </c>
      <c r="T127" s="43" t="s">
        <v>349</v>
      </c>
      <c r="U127" s="43" t="s">
        <v>349</v>
      </c>
      <c r="V127" s="88" t="s">
        <v>349</v>
      </c>
      <c r="W127" s="54">
        <v>45812</v>
      </c>
      <c r="X127" s="69" t="s">
        <v>1656</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1654</v>
      </c>
      <c r="S128" s="43" t="s">
        <v>349</v>
      </c>
      <c r="T128" s="43" t="s">
        <v>349</v>
      </c>
      <c r="U128" s="43" t="s">
        <v>349</v>
      </c>
      <c r="V128" s="88" t="s">
        <v>349</v>
      </c>
      <c r="W128" s="168">
        <v>45883</v>
      </c>
      <c r="X128" s="69" t="s">
        <v>1656</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1654</v>
      </c>
      <c r="S129" s="43" t="s">
        <v>349</v>
      </c>
      <c r="T129" s="116" t="s">
        <v>349</v>
      </c>
      <c r="U129" s="116" t="s">
        <v>349</v>
      </c>
      <c r="V129" s="88" t="s">
        <v>349</v>
      </c>
      <c r="W129" s="168">
        <v>45814</v>
      </c>
      <c r="X129" s="69" t="s">
        <v>1656</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1654</v>
      </c>
      <c r="S130" s="43" t="s">
        <v>349</v>
      </c>
      <c r="T130" s="43" t="s">
        <v>349</v>
      </c>
      <c r="U130" s="43" t="s">
        <v>349</v>
      </c>
      <c r="V130" s="88" t="s">
        <v>349</v>
      </c>
      <c r="W130" s="54">
        <v>45798</v>
      </c>
      <c r="X130" s="69" t="s">
        <v>1656</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1654</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1654</v>
      </c>
      <c r="S132" s="43" t="s">
        <v>349</v>
      </c>
      <c r="T132" s="43" t="s">
        <v>349</v>
      </c>
      <c r="U132" s="43" t="s">
        <v>349</v>
      </c>
      <c r="V132" s="43" t="s">
        <v>349</v>
      </c>
      <c r="W132" s="54">
        <v>45820</v>
      </c>
      <c r="X132" s="69" t="s">
        <v>1656</v>
      </c>
      <c r="Y132" t="e">
        <f>VLOOKUP(A132,#REF!,2,FALSE)</f>
        <v>#REF!</v>
      </c>
    </row>
    <row r="133" spans="1:25" ht="15" customHeight="1">
      <c r="A133" s="369" t="s">
        <v>661</v>
      </c>
      <c r="B133" s="420" t="s">
        <v>50</v>
      </c>
      <c r="C133" s="378">
        <v>45742</v>
      </c>
      <c r="D133" s="433" t="s">
        <v>1660</v>
      </c>
      <c r="E133" s="372"/>
      <c r="F133" s="372"/>
      <c r="G133" s="372"/>
      <c r="H133" s="372">
        <v>38</v>
      </c>
      <c r="I133" s="371"/>
      <c r="J133" s="372" t="s">
        <v>57</v>
      </c>
      <c r="K133" s="372" t="s">
        <v>57</v>
      </c>
      <c r="L133" s="372" t="s">
        <v>63</v>
      </c>
      <c r="M133" s="49" t="s">
        <v>349</v>
      </c>
      <c r="N133" s="49" t="s">
        <v>349</v>
      </c>
      <c r="O133" s="54">
        <v>45701</v>
      </c>
      <c r="P133" s="30" t="s">
        <v>349</v>
      </c>
      <c r="Q133" s="69" t="s">
        <v>349</v>
      </c>
      <c r="R133" s="43" t="s">
        <v>1654</v>
      </c>
      <c r="S133" s="43" t="s">
        <v>349</v>
      </c>
      <c r="T133" s="43" t="s">
        <v>349</v>
      </c>
      <c r="U133" s="43" t="s">
        <v>349</v>
      </c>
      <c r="V133" s="69" t="s">
        <v>349</v>
      </c>
      <c r="W133" s="54">
        <v>45821</v>
      </c>
      <c r="X133" s="69" t="s">
        <v>1656</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1654</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1654</v>
      </c>
      <c r="S135" s="43" t="s">
        <v>349</v>
      </c>
      <c r="T135" s="43" t="s">
        <v>349</v>
      </c>
      <c r="U135" s="158" t="s">
        <v>349</v>
      </c>
      <c r="V135" s="43" t="s">
        <v>349</v>
      </c>
      <c r="W135" s="54">
        <v>45819</v>
      </c>
      <c r="X135" s="69" t="s">
        <v>1656</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1654</v>
      </c>
      <c r="S136" s="43" t="s">
        <v>349</v>
      </c>
      <c r="T136" s="43" t="s">
        <v>349</v>
      </c>
      <c r="U136" s="43" t="s">
        <v>349</v>
      </c>
      <c r="V136" s="43" t="s">
        <v>349</v>
      </c>
      <c r="W136" s="54">
        <v>45791</v>
      </c>
      <c r="X136" s="69" t="s">
        <v>1656</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1654</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1654</v>
      </c>
      <c r="S138" s="43" t="s">
        <v>349</v>
      </c>
      <c r="T138" s="43" t="s">
        <v>349</v>
      </c>
      <c r="U138" s="43" t="s">
        <v>349</v>
      </c>
      <c r="V138" s="43" t="s">
        <v>349</v>
      </c>
      <c r="W138" s="54">
        <v>45790</v>
      </c>
      <c r="X138" s="69" t="s">
        <v>1656</v>
      </c>
      <c r="Y138" t="e">
        <f>VLOOKUP(A138,#REF!,2,FALSE)</f>
        <v>#REF!</v>
      </c>
    </row>
    <row r="139" spans="1:25" ht="15" customHeight="1">
      <c r="A139" s="369" t="s">
        <v>1661</v>
      </c>
      <c r="B139" s="185" t="s">
        <v>50</v>
      </c>
      <c r="C139" s="422">
        <v>45742</v>
      </c>
      <c r="D139" s="372" t="s">
        <v>1662</v>
      </c>
      <c r="E139" s="539"/>
      <c r="F139" s="372"/>
      <c r="G139" s="372"/>
      <c r="H139" s="372">
        <v>87</v>
      </c>
      <c r="I139" s="371"/>
      <c r="J139" s="372" t="s">
        <v>57</v>
      </c>
      <c r="K139" s="372" t="s">
        <v>57</v>
      </c>
      <c r="L139" s="372" t="s">
        <v>63</v>
      </c>
      <c r="M139" s="49" t="s">
        <v>349</v>
      </c>
      <c r="N139" s="30" t="s">
        <v>349</v>
      </c>
      <c r="O139" s="30" t="s">
        <v>349</v>
      </c>
      <c r="P139" s="30" t="s">
        <v>349</v>
      </c>
      <c r="Q139" s="43" t="s">
        <v>349</v>
      </c>
      <c r="R139" s="43" t="s">
        <v>1654</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1654</v>
      </c>
      <c r="S140" s="43" t="s">
        <v>349</v>
      </c>
      <c r="T140" s="43" t="s">
        <v>349</v>
      </c>
      <c r="U140" s="88" t="s">
        <v>349</v>
      </c>
      <c r="V140" s="69" t="s">
        <v>349</v>
      </c>
      <c r="W140" s="54">
        <v>45819</v>
      </c>
      <c r="X140" s="69" t="s">
        <v>1656</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1654</v>
      </c>
      <c r="S141" s="43" t="s">
        <v>349</v>
      </c>
      <c r="T141" s="43" t="s">
        <v>349</v>
      </c>
      <c r="U141" s="88" t="s">
        <v>349</v>
      </c>
      <c r="V141" s="88" t="s">
        <v>349</v>
      </c>
      <c r="W141" s="54">
        <v>45811</v>
      </c>
      <c r="X141" s="69" t="s">
        <v>1656</v>
      </c>
      <c r="Y141" t="e">
        <f>VLOOKUP(A141,#REF!,2,FALSE)</f>
        <v>#REF!</v>
      </c>
    </row>
    <row r="142" spans="1:25" ht="15" customHeight="1">
      <c r="A142" s="369" t="s">
        <v>1663</v>
      </c>
      <c r="B142" s="420" t="s">
        <v>50</v>
      </c>
      <c r="C142" s="422">
        <v>45742</v>
      </c>
      <c r="D142" s="372" t="s">
        <v>1664</v>
      </c>
      <c r="E142" s="539"/>
      <c r="F142" s="372"/>
      <c r="G142" s="372"/>
      <c r="H142" s="372">
        <v>87</v>
      </c>
      <c r="I142" s="371"/>
      <c r="J142" s="372" t="s">
        <v>57</v>
      </c>
      <c r="K142" s="372" t="s">
        <v>57</v>
      </c>
      <c r="L142" s="372" t="s">
        <v>63</v>
      </c>
      <c r="M142" s="49" t="s">
        <v>349</v>
      </c>
      <c r="N142" s="49" t="s">
        <v>349</v>
      </c>
      <c r="O142" s="198">
        <v>45691</v>
      </c>
      <c r="P142" s="30" t="s">
        <v>349</v>
      </c>
      <c r="Q142" s="69" t="s">
        <v>349</v>
      </c>
      <c r="R142" s="43" t="s">
        <v>1654</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1654</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1656</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1665</v>
      </c>
      <c r="B146" s="420" t="s">
        <v>50</v>
      </c>
      <c r="C146" s="370">
        <v>45991</v>
      </c>
      <c r="D146" s="432" t="s">
        <v>1666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1654</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1654</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1654</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1654</v>
      </c>
      <c r="S153" s="43" t="s">
        <v>349</v>
      </c>
      <c r="T153" s="158" t="s">
        <v>349</v>
      </c>
      <c r="U153" s="158" t="s">
        <v>349</v>
      </c>
      <c r="V153" s="43" t="s">
        <v>349</v>
      </c>
      <c r="W153" s="54">
        <v>45807</v>
      </c>
      <c r="X153" s="69" t="s">
        <v>1656</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1654</v>
      </c>
      <c r="S154" s="43" t="s">
        <v>349</v>
      </c>
      <c r="T154" s="158" t="s">
        <v>349</v>
      </c>
      <c r="U154" s="158" t="s">
        <v>349</v>
      </c>
      <c r="V154" s="43" t="s">
        <v>349</v>
      </c>
      <c r="W154" s="168">
        <v>45792</v>
      </c>
      <c r="X154" s="149" t="s">
        <v>1656</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1654</v>
      </c>
      <c r="S155" s="43" t="s">
        <v>349</v>
      </c>
      <c r="T155" s="43" t="s">
        <v>349</v>
      </c>
      <c r="U155" s="158" t="s">
        <v>349</v>
      </c>
      <c r="V155" s="43" t="s">
        <v>349</v>
      </c>
      <c r="W155" s="367">
        <v>45821</v>
      </c>
      <c r="X155" s="69" t="s">
        <v>1656</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1654</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1654</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1654</v>
      </c>
      <c r="S158" s="43" t="s">
        <v>349</v>
      </c>
      <c r="T158" s="43" t="s">
        <v>349</v>
      </c>
      <c r="U158" s="158" t="s">
        <v>349</v>
      </c>
      <c r="V158" s="158" t="s">
        <v>349</v>
      </c>
      <c r="W158" s="367">
        <v>45817</v>
      </c>
      <c r="X158" s="69" t="s">
        <v>1656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1656</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1656</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1656</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1656</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1667</v>
      </c>
      <c r="W2" s="3" t="s">
        <v>1668</v>
      </c>
      <c r="X2" s="3" t="s">
        <v>1668</v>
      </c>
      <c r="Y2" s="3" t="s">
        <v>1668</v>
      </c>
      <c r="Z2" s="3" t="s">
        <v>1668</v>
      </c>
      <c r="AA2" s="8" t="s">
        <v>1669</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1670</v>
      </c>
      <c r="T3" s="19" t="s">
        <v>1671</v>
      </c>
      <c r="U3" s="19" t="s">
        <v>1672</v>
      </c>
      <c r="V3" s="5" t="s">
        <v>1673</v>
      </c>
      <c r="W3" s="5" t="s">
        <v>44</v>
      </c>
      <c r="X3" s="5" t="s">
        <v>43</v>
      </c>
      <c r="Y3" s="5" t="s">
        <v>1674</v>
      </c>
      <c r="Z3" s="5" t="s">
        <v>46</v>
      </c>
      <c r="AA3" s="90" t="s">
        <v>503</v>
      </c>
      <c r="AB3" s="68" t="s">
        <v>48</v>
      </c>
    </row>
    <row r="4" spans="1:30" ht="24.75" customHeight="1" thickBot="1">
      <c r="A4" s="454" t="s">
        <v>1675</v>
      </c>
      <c r="B4" s="454" t="s">
        <v>1676</v>
      </c>
      <c r="C4" s="16">
        <v>45717</v>
      </c>
      <c r="D4" s="63" t="s">
        <v>1677</v>
      </c>
      <c r="E4" s="51">
        <v>45707</v>
      </c>
      <c r="F4" s="51" t="s">
        <v>230</v>
      </c>
      <c r="G4" s="393" t="s">
        <v>1678</v>
      </c>
      <c r="H4" s="98">
        <v>0</v>
      </c>
      <c r="I4" s="106"/>
      <c r="J4" s="76" t="s">
        <v>63</v>
      </c>
      <c r="K4" s="76" t="s">
        <v>1679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1680</v>
      </c>
    </row>
    <row r="5" spans="1:30" ht="24.75" customHeight="1" thickBot="1">
      <c r="A5" s="454" t="s">
        <v>1681</v>
      </c>
      <c r="B5" s="454" t="s">
        <v>1676</v>
      </c>
      <c r="C5" s="16">
        <v>45717</v>
      </c>
      <c r="D5" s="63" t="s">
        <v>1677</v>
      </c>
      <c r="E5" s="51">
        <v>45707</v>
      </c>
      <c r="F5" s="392" t="s">
        <v>230</v>
      </c>
      <c r="G5" s="393" t="s">
        <v>1682</v>
      </c>
      <c r="H5" s="98">
        <v>0</v>
      </c>
      <c r="I5" s="106"/>
      <c r="J5" s="76" t="s">
        <v>63</v>
      </c>
      <c r="K5" s="76" t="s">
        <v>1679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1683</v>
      </c>
      <c r="B6" s="454" t="s">
        <v>1676</v>
      </c>
      <c r="C6" s="16">
        <v>45717</v>
      </c>
      <c r="D6" s="63" t="s">
        <v>1677</v>
      </c>
      <c r="E6" s="51">
        <v>45707</v>
      </c>
      <c r="F6" s="392" t="s">
        <v>230</v>
      </c>
      <c r="G6" s="393" t="s">
        <v>1684</v>
      </c>
      <c r="H6" s="98">
        <v>0</v>
      </c>
      <c r="I6" s="106"/>
      <c r="J6" s="76" t="s">
        <v>63</v>
      </c>
      <c r="K6" s="76" t="s">
        <v>1679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1685</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1686</v>
      </c>
      <c r="B8" s="454" t="s">
        <v>1687</v>
      </c>
      <c r="C8" s="16">
        <v>45748</v>
      </c>
      <c r="D8" s="16" t="s">
        <v>1677</v>
      </c>
      <c r="E8" s="95" t="s">
        <v>52</v>
      </c>
      <c r="F8" s="96" t="s">
        <v>52</v>
      </c>
      <c r="G8" s="638" t="s">
        <v>1688</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1689</v>
      </c>
      <c r="AC8" s="449"/>
      <c r="AD8" s="70"/>
    </row>
    <row r="9" spans="1:30" ht="24.75" customHeight="1">
      <c r="A9" s="463" t="s">
        <v>1690</v>
      </c>
      <c r="B9" s="463" t="s">
        <v>1691</v>
      </c>
      <c r="C9" s="23">
        <v>45741</v>
      </c>
      <c r="D9" s="16" t="s">
        <v>1677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1692</v>
      </c>
    </row>
    <row r="10" spans="1:30" ht="24.75" customHeight="1" thickBot="1">
      <c r="A10" s="26" t="s">
        <v>1693</v>
      </c>
      <c r="B10" s="26" t="s">
        <v>1691</v>
      </c>
      <c r="C10" s="27">
        <v>45741</v>
      </c>
      <c r="D10" s="16" t="s">
        <v>1677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1694</v>
      </c>
      <c r="B11" s="36" t="s">
        <v>1691</v>
      </c>
      <c r="C11" s="37">
        <v>45747</v>
      </c>
      <c r="D11" s="16" t="s">
        <v>1677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1695</v>
      </c>
      <c r="B12" s="26" t="s">
        <v>1691</v>
      </c>
      <c r="C12" s="27">
        <v>45741</v>
      </c>
      <c r="D12" s="16" t="s">
        <v>1677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1692</v>
      </c>
    </row>
    <row r="13" spans="1:30" ht="24.75" customHeight="1" thickBot="1">
      <c r="A13" s="26" t="s">
        <v>1696</v>
      </c>
      <c r="B13" s="26" t="s">
        <v>1691</v>
      </c>
      <c r="C13" s="27">
        <v>45741</v>
      </c>
      <c r="D13" s="27" t="s">
        <v>1677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1692</v>
      </c>
    </row>
    <row r="14" spans="1:30" ht="24.75" customHeight="1" thickBot="1">
      <c r="A14" s="26" t="s">
        <v>1697</v>
      </c>
      <c r="B14" s="26" t="s">
        <v>1691</v>
      </c>
      <c r="C14" s="27">
        <v>45747</v>
      </c>
      <c r="D14" s="27" t="s">
        <v>1677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1698</v>
      </c>
      <c r="B15" s="26" t="s">
        <v>1691</v>
      </c>
      <c r="C15" s="27">
        <v>45741</v>
      </c>
      <c r="D15" s="27" t="s">
        <v>1677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1692</v>
      </c>
    </row>
    <row r="16" spans="1:30" ht="24.75" customHeight="1" thickBot="1">
      <c r="A16" s="26" t="s">
        <v>1699</v>
      </c>
      <c r="B16" s="26" t="s">
        <v>1691</v>
      </c>
      <c r="C16" s="27">
        <v>45741</v>
      </c>
      <c r="D16" s="27" t="s">
        <v>1677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1692</v>
      </c>
    </row>
    <row r="17" spans="1:30" ht="24.75" customHeight="1" thickBot="1">
      <c r="A17" s="36" t="s">
        <v>1700</v>
      </c>
      <c r="B17" s="36" t="s">
        <v>1691</v>
      </c>
      <c r="C17" s="37">
        <v>45747</v>
      </c>
      <c r="D17" s="37" t="s">
        <v>1677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1701</v>
      </c>
      <c r="B18" s="385" t="s">
        <v>1691</v>
      </c>
      <c r="C18" s="51">
        <v>45717</v>
      </c>
      <c r="D18" s="27" t="s">
        <v>1677</v>
      </c>
      <c r="E18" s="85">
        <v>45700</v>
      </c>
      <c r="F18" s="51"/>
      <c r="G18" s="51" t="s">
        <v>1702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1692</v>
      </c>
    </row>
    <row r="19" spans="1:30" ht="24.75" customHeight="1" thickBot="1">
      <c r="A19" s="50" t="s">
        <v>1703</v>
      </c>
      <c r="B19" s="26" t="s">
        <v>1691</v>
      </c>
      <c r="C19" s="51">
        <v>45747</v>
      </c>
      <c r="D19" s="27" t="s">
        <v>1677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1704</v>
      </c>
    </row>
    <row r="20" spans="1:30" ht="24.75" customHeight="1" thickBot="1">
      <c r="A20" s="385" t="s">
        <v>1705</v>
      </c>
      <c r="B20" s="385" t="s">
        <v>1691</v>
      </c>
      <c r="C20" s="386">
        <v>45717</v>
      </c>
      <c r="D20" s="27" t="s">
        <v>1677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1692</v>
      </c>
    </row>
    <row r="21" spans="1:30" ht="24.75" customHeight="1" thickBot="1">
      <c r="A21" s="385" t="s">
        <v>1706</v>
      </c>
      <c r="B21" s="113" t="s">
        <v>50</v>
      </c>
      <c r="C21" s="51">
        <v>45717</v>
      </c>
      <c r="D21" s="27" t="s">
        <v>1707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1708</v>
      </c>
      <c r="B22" s="389" t="s">
        <v>50</v>
      </c>
      <c r="C22" s="51">
        <v>45717</v>
      </c>
      <c r="D22" s="51" t="s">
        <v>1707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1709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1710</v>
      </c>
      <c r="B24" s="389" t="s">
        <v>50</v>
      </c>
      <c r="C24" s="392">
        <v>45688</v>
      </c>
      <c r="D24" s="402" t="s">
        <v>1709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1711</v>
      </c>
      <c r="B25" s="114" t="s">
        <v>50</v>
      </c>
      <c r="C25" s="51">
        <v>45747</v>
      </c>
      <c r="D25" s="51" t="s">
        <v>1707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1712</v>
      </c>
    </row>
    <row r="26" spans="1:30" ht="24.75" customHeight="1">
      <c r="A26" s="102" t="s">
        <v>1713</v>
      </c>
      <c r="B26" s="103" t="s">
        <v>50</v>
      </c>
      <c r="C26" s="77">
        <v>45716</v>
      </c>
      <c r="D26" s="26" t="s">
        <v>1709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1714</v>
      </c>
      <c r="B27" s="103" t="s">
        <v>50</v>
      </c>
      <c r="C27" s="77">
        <v>45716</v>
      </c>
      <c r="D27" s="50" t="s">
        <v>1709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1715</v>
      </c>
      <c r="B28" s="103" t="s">
        <v>50</v>
      </c>
      <c r="C28" s="77">
        <v>45717</v>
      </c>
      <c r="D28" s="51" t="s">
        <v>1707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1716</v>
      </c>
      <c r="B29" s="103" t="s">
        <v>50</v>
      </c>
      <c r="C29" s="77">
        <v>45717</v>
      </c>
      <c r="D29" s="51" t="s">
        <v>1707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1717</v>
      </c>
      <c r="B30" s="389" t="s">
        <v>50</v>
      </c>
      <c r="C30" s="51">
        <v>45717</v>
      </c>
      <c r="D30" s="51" t="s">
        <v>1707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1718</v>
      </c>
      <c r="B31" s="389" t="s">
        <v>50</v>
      </c>
      <c r="C31" s="51">
        <v>45717</v>
      </c>
      <c r="D31" s="51" t="s">
        <v>1707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1665</v>
      </c>
      <c r="B32" s="1057" t="s">
        <v>50</v>
      </c>
      <c r="C32" s="950">
        <v>45991</v>
      </c>
      <c r="D32" s="950" t="s">
        <v>60</v>
      </c>
      <c r="E32" s="1049">
        <v>45734</v>
      </c>
      <c r="F32" s="954" t="s">
        <v>61</v>
      </c>
      <c r="G32" s="1058" t="s">
        <v>1666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1719</v>
      </c>
      <c r="B33" s="1057" t="s">
        <v>50</v>
      </c>
      <c r="C33" s="950">
        <v>45991</v>
      </c>
      <c r="D33" s="954" t="s">
        <v>60</v>
      </c>
      <c r="E33" s="1049">
        <v>45743</v>
      </c>
      <c r="F33" s="954" t="s">
        <v>61</v>
      </c>
      <c r="G33" s="1058" t="s">
        <v>1720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1721</v>
      </c>
    </row>
    <row r="34" spans="1:28" ht="24.75" customHeight="1">
      <c r="A34" s="948" t="s">
        <v>1722</v>
      </c>
      <c r="B34" s="1057" t="s">
        <v>50</v>
      </c>
      <c r="C34" s="950">
        <v>45989</v>
      </c>
      <c r="D34" s="950" t="s">
        <v>1723</v>
      </c>
      <c r="E34" s="1049"/>
      <c r="F34" s="954"/>
      <c r="G34" s="1058"/>
      <c r="H34" s="1174">
        <v>194</v>
      </c>
      <c r="I34" s="953" t="s">
        <v>55</v>
      </c>
      <c r="J34" s="1175" t="s">
        <v>56</v>
      </c>
      <c r="K34" s="1176"/>
      <c r="L34" s="1049">
        <v>45964</v>
      </c>
      <c r="M34" s="1174" t="s">
        <v>57</v>
      </c>
      <c r="N34" s="1177">
        <v>39337.5</v>
      </c>
      <c r="O34" s="1174" t="s">
        <v>57</v>
      </c>
      <c r="P34" s="1178" t="s">
        <v>58</v>
      </c>
      <c r="Q34" s="1179">
        <v>45964</v>
      </c>
      <c r="R34" s="1180">
        <v>3970</v>
      </c>
      <c r="S34" s="1182">
        <v>0</v>
      </c>
      <c r="T34" s="1181">
        <v>0</v>
      </c>
      <c r="U34" s="1181">
        <v>0</v>
      </c>
      <c r="V34" s="1181"/>
      <c r="W34" s="1181">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1724</v>
      </c>
      <c r="C1" s="1153"/>
      <c r="D1" s="576"/>
      <c r="E1" s="1153" t="s">
        <v>1725</v>
      </c>
      <c r="F1" s="1153"/>
    </row>
    <row r="2" spans="1:25">
      <c r="B2" s="44" t="s">
        <v>1726</v>
      </c>
      <c r="E2" s="44" t="s">
        <v>22</v>
      </c>
      <c r="F2" t="s">
        <v>872</v>
      </c>
      <c r="P2" s="44" t="s">
        <v>27</v>
      </c>
      <c r="Q2" t="s">
        <v>1727</v>
      </c>
    </row>
    <row r="3" spans="1:25">
      <c r="B3" s="44" t="s">
        <v>22</v>
      </c>
      <c r="C3" t="s">
        <v>878</v>
      </c>
      <c r="K3" s="44" t="s">
        <v>1728</v>
      </c>
      <c r="L3" t="s">
        <v>1729</v>
      </c>
      <c r="P3" s="44" t="s">
        <v>1728</v>
      </c>
      <c r="Q3" t="s">
        <v>1729</v>
      </c>
    </row>
    <row r="4" spans="1:25">
      <c r="B4" t="s">
        <v>140</v>
      </c>
      <c r="C4" s="1158">
        <v>223696</v>
      </c>
      <c r="E4" s="44" t="s">
        <v>1726</v>
      </c>
      <c r="F4" t="s">
        <v>878</v>
      </c>
      <c r="W4" t="s">
        <v>1730</v>
      </c>
      <c r="X4">
        <v>22</v>
      </c>
    </row>
    <row r="5" spans="1:25">
      <c r="B5" t="s">
        <v>60</v>
      </c>
      <c r="C5" s="1158">
        <v>53770</v>
      </c>
      <c r="E5" t="s">
        <v>878</v>
      </c>
      <c r="F5" s="1158">
        <v>307508</v>
      </c>
      <c r="K5" s="44" t="s">
        <v>1731</v>
      </c>
      <c r="P5" s="44" t="s">
        <v>1731</v>
      </c>
      <c r="W5" t="s">
        <v>1732</v>
      </c>
      <c r="X5">
        <v>13</v>
      </c>
    </row>
    <row r="6" spans="1:25">
      <c r="B6" t="s">
        <v>101</v>
      </c>
      <c r="C6" s="1158">
        <v>22387</v>
      </c>
      <c r="K6" s="44" t="s">
        <v>27</v>
      </c>
      <c r="L6" s="44" t="s">
        <v>1733</v>
      </c>
      <c r="M6" t="s">
        <v>878</v>
      </c>
      <c r="P6" s="44" t="s">
        <v>1734</v>
      </c>
      <c r="Q6" s="44" t="s">
        <v>1733</v>
      </c>
      <c r="R6" t="s">
        <v>878</v>
      </c>
    </row>
    <row r="7" spans="1:25">
      <c r="B7" t="s">
        <v>904</v>
      </c>
      <c r="C7" s="1158">
        <v>220463</v>
      </c>
      <c r="K7" t="s">
        <v>1727</v>
      </c>
      <c r="L7" t="s">
        <v>509</v>
      </c>
      <c r="M7" s="1158">
        <v>1</v>
      </c>
      <c r="P7" t="s">
        <v>1735</v>
      </c>
      <c r="R7" s="1158">
        <v>1</v>
      </c>
      <c r="X7" t="s">
        <v>1736</v>
      </c>
      <c r="Y7" t="s">
        <v>1737</v>
      </c>
    </row>
    <row r="8" spans="1:25">
      <c r="B8" t="s">
        <v>51</v>
      </c>
      <c r="C8" s="1158">
        <v>0</v>
      </c>
      <c r="L8" t="s">
        <v>511</v>
      </c>
      <c r="M8" s="1158">
        <v>1</v>
      </c>
      <c r="P8" t="s">
        <v>1738</v>
      </c>
      <c r="R8" s="1158">
        <v>1</v>
      </c>
      <c r="V8" t="s">
        <v>1739</v>
      </c>
      <c r="W8" s="261">
        <v>203521</v>
      </c>
      <c r="X8" s="317">
        <f>X5/X4</f>
        <v>0.59090909090909094</v>
      </c>
      <c r="Y8" s="317">
        <f>W9/W8</f>
        <v>0.31446386367991508</v>
      </c>
    </row>
    <row r="9" spans="1:25">
      <c r="B9" t="s">
        <v>22</v>
      </c>
      <c r="C9" s="1158">
        <v>0</v>
      </c>
      <c r="L9" t="s">
        <v>1740</v>
      </c>
      <c r="M9" s="1158">
        <v>1</v>
      </c>
      <c r="P9" t="s">
        <v>1741</v>
      </c>
      <c r="Q9" t="s">
        <v>1740</v>
      </c>
      <c r="R9" s="1158">
        <v>1</v>
      </c>
      <c r="V9" t="s">
        <v>1742</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1743</v>
      </c>
      <c r="R12" s="1158">
        <v>1</v>
      </c>
    </row>
    <row r="13" spans="1:25">
      <c r="B13" t="s">
        <v>210</v>
      </c>
      <c r="C13" s="1158">
        <v>16290</v>
      </c>
      <c r="L13" t="s">
        <v>1744</v>
      </c>
      <c r="M13" s="1158">
        <v>1</v>
      </c>
      <c r="Q13" t="s">
        <v>828</v>
      </c>
      <c r="R13" s="1158">
        <v>1</v>
      </c>
    </row>
    <row r="14" spans="1:25">
      <c r="B14" t="s">
        <v>239</v>
      </c>
      <c r="C14" s="1158">
        <v>11123</v>
      </c>
      <c r="L14" t="s">
        <v>628</v>
      </c>
      <c r="M14" s="1158">
        <v>1</v>
      </c>
      <c r="P14" t="s">
        <v>1745</v>
      </c>
      <c r="R14" s="1158">
        <v>5</v>
      </c>
    </row>
    <row r="15" spans="1:25">
      <c r="B15" t="s">
        <v>1723</v>
      </c>
      <c r="C15" s="1158">
        <v>3970</v>
      </c>
      <c r="L15" t="s">
        <v>1743</v>
      </c>
      <c r="M15" s="1158">
        <v>1</v>
      </c>
      <c r="P15" t="s">
        <v>904</v>
      </c>
      <c r="R15" s="1158">
        <v>12</v>
      </c>
    </row>
    <row r="16" spans="1:25">
      <c r="B16" t="s">
        <v>213</v>
      </c>
      <c r="C16" s="1158">
        <v>5576</v>
      </c>
      <c r="L16" t="s">
        <v>630</v>
      </c>
      <c r="M16" s="1158">
        <v>1</v>
      </c>
      <c r="P16" t="s">
        <v>875</v>
      </c>
      <c r="R16" s="1158">
        <v>19</v>
      </c>
    </row>
    <row r="17" spans="2:13">
      <c r="B17" t="s">
        <v>127</v>
      </c>
      <c r="C17" s="1158">
        <v>7655</v>
      </c>
      <c r="L17" t="s">
        <v>634</v>
      </c>
      <c r="M17" s="1158">
        <v>1</v>
      </c>
    </row>
    <row r="18" spans="2:13">
      <c r="B18" t="s">
        <v>875</v>
      </c>
      <c r="C18" s="1158">
        <v>614249</v>
      </c>
      <c r="L18" t="s">
        <v>636</v>
      </c>
      <c r="M18" s="1158">
        <v>1</v>
      </c>
    </row>
    <row r="19" spans="2:13">
      <c r="L19" t="s">
        <v>640</v>
      </c>
      <c r="M19" s="1158">
        <v>1</v>
      </c>
    </row>
    <row r="20" spans="2:13">
      <c r="L20" t="s">
        <v>701</v>
      </c>
      <c r="M20" s="1158">
        <v>1</v>
      </c>
    </row>
    <row r="21" spans="2:13">
      <c r="L21" t="s">
        <v>1746</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1747</v>
      </c>
      <c r="M26" s="1158">
        <v>19</v>
      </c>
    </row>
    <row r="27" spans="2:13">
      <c r="K27" t="s">
        <v>1748</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1749</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1750</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1751</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1752</v>
      </c>
      <c r="S2" s="3" t="s">
        <v>1667</v>
      </c>
      <c r="T2" s="268" t="s">
        <v>1668</v>
      </c>
      <c r="U2" s="268" t="s">
        <v>1668</v>
      </c>
      <c r="V2" s="268" t="s">
        <v>1668</v>
      </c>
      <c r="W2" s="268" t="s">
        <v>1668</v>
      </c>
      <c r="X2" s="268" t="s">
        <v>1669</v>
      </c>
      <c r="Y2" s="268" t="s">
        <v>1753</v>
      </c>
    </row>
    <row r="3" spans="1:26" ht="15.75" thickBot="1">
      <c r="A3" s="267" t="s">
        <v>1733</v>
      </c>
      <c r="B3" s="263" t="s">
        <v>20</v>
      </c>
      <c r="C3" s="263" t="s">
        <v>1754</v>
      </c>
      <c r="D3" s="263" t="s">
        <v>26</v>
      </c>
      <c r="E3" s="263" t="s">
        <v>1728</v>
      </c>
      <c r="F3" s="263" t="s">
        <v>1755</v>
      </c>
      <c r="G3" s="263" t="s">
        <v>27</v>
      </c>
      <c r="H3" s="211" t="s">
        <v>28</v>
      </c>
      <c r="I3" s="211" t="s">
        <v>1756</v>
      </c>
      <c r="J3" s="211" t="s">
        <v>1757</v>
      </c>
      <c r="K3" s="211" t="s">
        <v>1758</v>
      </c>
      <c r="L3" s="211" t="s">
        <v>1656</v>
      </c>
      <c r="M3" s="211" t="s">
        <v>1759</v>
      </c>
      <c r="N3" s="211" t="s">
        <v>1760</v>
      </c>
      <c r="O3" s="210" t="s">
        <v>1672</v>
      </c>
      <c r="P3" s="264" t="s">
        <v>1734</v>
      </c>
      <c r="Q3" s="265" t="s">
        <v>34</v>
      </c>
      <c r="R3" s="265" t="s">
        <v>1756</v>
      </c>
      <c r="S3" s="5" t="s">
        <v>1673</v>
      </c>
      <c r="T3" s="265" t="s">
        <v>1761</v>
      </c>
      <c r="U3" s="265" t="s">
        <v>43</v>
      </c>
      <c r="V3" s="265" t="s">
        <v>1674</v>
      </c>
      <c r="W3" s="265" t="s">
        <v>46</v>
      </c>
      <c r="X3" s="265" t="s">
        <v>503</v>
      </c>
      <c r="Y3" s="265" t="s">
        <v>1762</v>
      </c>
      <c r="Z3" s="316" t="s">
        <v>1763</v>
      </c>
    </row>
    <row r="4" spans="1:26" ht="15.75" thickBot="1">
      <c r="A4" s="122" t="s">
        <v>80</v>
      </c>
      <c r="B4" s="103" t="s">
        <v>50</v>
      </c>
      <c r="C4" s="77">
        <v>45807</v>
      </c>
      <c r="D4" s="272"/>
      <c r="E4" s="273" t="s">
        <v>1764</v>
      </c>
      <c r="F4" s="272"/>
      <c r="G4" s="274" t="s">
        <v>1727</v>
      </c>
      <c r="H4" s="272"/>
      <c r="I4" s="272"/>
      <c r="J4" s="275"/>
      <c r="K4" s="209"/>
      <c r="L4" s="209"/>
      <c r="M4" s="209"/>
      <c r="N4" s="276"/>
      <c r="O4" s="277"/>
      <c r="P4" s="278" t="s">
        <v>1765</v>
      </c>
      <c r="Q4" s="279" t="s">
        <v>68</v>
      </c>
      <c r="R4" s="132" t="s">
        <v>1766</v>
      </c>
      <c r="S4" s="132"/>
      <c r="T4" s="280"/>
      <c r="U4" s="281"/>
      <c r="V4" s="281"/>
      <c r="W4" s="281"/>
      <c r="X4" s="281"/>
      <c r="Y4" s="281"/>
      <c r="Z4" t="e">
        <f>VLOOKUP(A4,#REF!,9,FALSE)</f>
        <v>#REF!</v>
      </c>
    </row>
    <row r="5" spans="1:26" ht="15.75" thickBot="1">
      <c r="A5" s="282" t="s">
        <v>1665</v>
      </c>
      <c r="B5" s="103" t="s">
        <v>50</v>
      </c>
      <c r="C5" s="219">
        <v>45807</v>
      </c>
      <c r="D5" s="272"/>
      <c r="E5" s="273" t="s">
        <v>1764</v>
      </c>
      <c r="F5" s="272"/>
      <c r="G5" s="274" t="s">
        <v>1727</v>
      </c>
      <c r="H5" s="272"/>
      <c r="I5" s="272"/>
      <c r="J5" s="283"/>
      <c r="K5" s="209"/>
      <c r="L5" s="209"/>
      <c r="M5" s="209"/>
      <c r="N5" s="276"/>
      <c r="O5" s="277"/>
      <c r="P5" s="278" t="s">
        <v>1765</v>
      </c>
      <c r="Q5" s="279" t="s">
        <v>68</v>
      </c>
      <c r="R5" s="132" t="s">
        <v>1766</v>
      </c>
      <c r="S5" s="132"/>
      <c r="T5" s="280"/>
      <c r="U5" s="281"/>
      <c r="V5" s="281"/>
      <c r="W5" s="281"/>
      <c r="X5" s="281"/>
      <c r="Y5" s="281"/>
      <c r="Z5" t="e">
        <f>VLOOKUP(A5,#REF!,9,FALSE)</f>
        <v>#REF!</v>
      </c>
    </row>
    <row r="6" spans="1:26" ht="15.75" thickBot="1">
      <c r="A6" s="122" t="s">
        <v>901</v>
      </c>
      <c r="B6" s="103" t="s">
        <v>50</v>
      </c>
      <c r="C6" s="219">
        <v>45807</v>
      </c>
      <c r="D6" s="272"/>
      <c r="E6" s="273" t="s">
        <v>1764</v>
      </c>
      <c r="F6" s="272"/>
      <c r="G6" s="274" t="s">
        <v>1727</v>
      </c>
      <c r="H6" s="272"/>
      <c r="I6" s="272"/>
      <c r="J6" s="283"/>
      <c r="K6" s="209"/>
      <c r="L6" s="209"/>
      <c r="M6" s="209"/>
      <c r="N6" s="276"/>
      <c r="O6" s="277"/>
      <c r="P6" s="278" t="s">
        <v>1765</v>
      </c>
      <c r="Q6" s="279" t="s">
        <v>68</v>
      </c>
      <c r="R6" s="132" t="s">
        <v>1766</v>
      </c>
      <c r="S6" s="132"/>
      <c r="T6" s="280"/>
      <c r="U6" s="281"/>
      <c r="V6" s="281"/>
      <c r="W6" s="281"/>
      <c r="X6" s="281"/>
      <c r="Y6" s="281"/>
      <c r="Z6" t="e">
        <f>VLOOKUP(A6,#REF!,9,FALSE)</f>
        <v>#REF!</v>
      </c>
    </row>
    <row r="7" spans="1:26" ht="15.75" thickBot="1">
      <c r="A7" s="122" t="s">
        <v>918</v>
      </c>
      <c r="B7" s="103" t="s">
        <v>50</v>
      </c>
      <c r="C7" s="219">
        <v>45807</v>
      </c>
      <c r="D7" s="272"/>
      <c r="E7" s="273" t="s">
        <v>1764</v>
      </c>
      <c r="F7" s="272"/>
      <c r="G7" s="274" t="s">
        <v>1727</v>
      </c>
      <c r="H7" s="272"/>
      <c r="I7" s="272"/>
      <c r="J7" s="283"/>
      <c r="K7" s="209"/>
      <c r="L7" s="209"/>
      <c r="M7" s="209"/>
      <c r="N7" s="276"/>
      <c r="O7" s="277"/>
      <c r="P7" s="278" t="s">
        <v>1765</v>
      </c>
      <c r="Q7" s="279" t="s">
        <v>68</v>
      </c>
      <c r="R7" s="132" t="s">
        <v>1766</v>
      </c>
      <c r="S7" s="132"/>
      <c r="T7" s="280"/>
      <c r="U7" s="281"/>
      <c r="V7" s="281"/>
      <c r="W7" s="281"/>
      <c r="X7" s="281"/>
      <c r="Y7" s="281"/>
      <c r="Z7" t="e">
        <f>VLOOKUP(A7,#REF!,9,FALSE)</f>
        <v>#REF!</v>
      </c>
    </row>
    <row r="8" spans="1:26" ht="15.75" thickBot="1">
      <c r="A8" s="282" t="s">
        <v>1767</v>
      </c>
      <c r="B8" s="103" t="s">
        <v>50</v>
      </c>
      <c r="C8" s="219">
        <v>45807</v>
      </c>
      <c r="D8" s="272"/>
      <c r="E8" s="273" t="s">
        <v>1764</v>
      </c>
      <c r="F8" s="272"/>
      <c r="G8" s="274" t="s">
        <v>1727</v>
      </c>
      <c r="H8" s="272"/>
      <c r="I8" s="272"/>
      <c r="J8" s="283"/>
      <c r="K8" s="209"/>
      <c r="L8" s="209"/>
      <c r="M8" s="209"/>
      <c r="N8" s="276"/>
      <c r="O8" s="277"/>
      <c r="P8" s="278" t="s">
        <v>1738</v>
      </c>
      <c r="Q8" s="279" t="s">
        <v>1768</v>
      </c>
      <c r="R8" s="132" t="s">
        <v>1769</v>
      </c>
      <c r="S8" s="132"/>
      <c r="T8" s="280"/>
      <c r="U8" s="281"/>
      <c r="V8" s="281"/>
      <c r="W8" s="281"/>
      <c r="X8" s="281"/>
      <c r="Y8" s="281"/>
      <c r="Z8" t="e">
        <f>VLOOKUP(A8,#REF!,9,FALSE)</f>
        <v>#REF!</v>
      </c>
    </row>
    <row r="9" spans="1:26" ht="15.75" thickBot="1">
      <c r="A9" s="122" t="s">
        <v>927</v>
      </c>
      <c r="B9" s="103" t="s">
        <v>50</v>
      </c>
      <c r="C9" s="219">
        <v>45807</v>
      </c>
      <c r="D9" s="284"/>
      <c r="E9" s="273" t="s">
        <v>1764</v>
      </c>
      <c r="F9" s="284"/>
      <c r="G9" s="285" t="s">
        <v>1727</v>
      </c>
      <c r="H9" s="272"/>
      <c r="I9" s="272"/>
      <c r="J9" s="283"/>
      <c r="K9" s="209"/>
      <c r="L9" s="209"/>
      <c r="M9" s="209"/>
      <c r="N9" s="276"/>
      <c r="O9" s="277"/>
      <c r="P9" s="278" t="s">
        <v>1765</v>
      </c>
      <c r="Q9" s="279" t="s">
        <v>68</v>
      </c>
      <c r="R9" s="132" t="s">
        <v>1766</v>
      </c>
      <c r="S9" s="132"/>
      <c r="T9" s="280"/>
      <c r="U9" s="281"/>
      <c r="V9" s="281"/>
      <c r="W9" s="281"/>
      <c r="X9" s="281"/>
      <c r="Y9" s="281"/>
      <c r="Z9" t="e">
        <f>VLOOKUP(A9,#REF!,9,FALSE)</f>
        <v>#REF!</v>
      </c>
    </row>
    <row r="10" spans="1:26" ht="15.75" thickBot="1">
      <c r="A10" s="122" t="s">
        <v>903</v>
      </c>
      <c r="B10" s="103" t="s">
        <v>50</v>
      </c>
      <c r="C10" s="219" t="e">
        <v>#N/A</v>
      </c>
      <c r="D10" s="286"/>
      <c r="E10" s="273" t="s">
        <v>1764</v>
      </c>
      <c r="F10" s="286"/>
      <c r="G10" s="287" t="s">
        <v>1727</v>
      </c>
      <c r="H10" s="234"/>
      <c r="I10" s="234"/>
      <c r="J10" s="45"/>
      <c r="K10" s="208"/>
      <c r="L10" s="208"/>
      <c r="M10" s="208"/>
      <c r="N10" s="288"/>
      <c r="O10" s="289"/>
      <c r="P10" s="278" t="s">
        <v>1765</v>
      </c>
      <c r="Q10" s="279" t="s">
        <v>58</v>
      </c>
      <c r="R10" s="132" t="s">
        <v>1766</v>
      </c>
      <c r="S10" s="132"/>
      <c r="T10" s="280"/>
      <c r="U10" s="281"/>
      <c r="V10" s="281"/>
      <c r="W10" s="281"/>
      <c r="X10" s="281"/>
      <c r="Y10" s="281"/>
      <c r="Z10" t="e">
        <f>VLOOKUP(A10,#REF!,9,FALSE)</f>
        <v>#REF!</v>
      </c>
    </row>
    <row r="11" spans="1:26" ht="15.75" thickBot="1">
      <c r="A11" s="122" t="s">
        <v>83</v>
      </c>
      <c r="B11" s="103" t="s">
        <v>50</v>
      </c>
      <c r="C11" s="219">
        <v>45807</v>
      </c>
      <c r="D11" s="286"/>
      <c r="E11" s="273" t="s">
        <v>1764</v>
      </c>
      <c r="F11" s="286"/>
      <c r="G11" s="287" t="s">
        <v>1727</v>
      </c>
      <c r="H11" s="234"/>
      <c r="I11" s="234"/>
      <c r="J11" s="45"/>
      <c r="K11" s="208"/>
      <c r="L11" s="208"/>
      <c r="M11" s="208"/>
      <c r="N11" s="288"/>
      <c r="O11" s="289"/>
      <c r="P11" s="278" t="s">
        <v>1765</v>
      </c>
      <c r="Q11" s="279" t="s">
        <v>68</v>
      </c>
      <c r="R11" s="132" t="s">
        <v>1766</v>
      </c>
      <c r="S11" s="132"/>
      <c r="T11" s="280"/>
      <c r="U11" s="281"/>
      <c r="V11" s="281"/>
      <c r="W11" s="281"/>
      <c r="X11" s="281"/>
      <c r="Y11" s="281"/>
      <c r="Z11" t="e">
        <f>VLOOKUP(A11,#REF!,9,FALSE)</f>
        <v>#REF!</v>
      </c>
    </row>
    <row r="12" spans="1:26" ht="15.75" thickBot="1">
      <c r="A12" s="122" t="s">
        <v>899</v>
      </c>
      <c r="B12" s="103" t="s">
        <v>50</v>
      </c>
      <c r="C12" s="219" t="e">
        <v>#N/A</v>
      </c>
      <c r="D12" s="286"/>
      <c r="E12" s="273" t="s">
        <v>1764</v>
      </c>
      <c r="F12" s="286"/>
      <c r="G12" s="287" t="s">
        <v>1727</v>
      </c>
      <c r="H12" s="234"/>
      <c r="I12" s="234"/>
      <c r="J12" s="45"/>
      <c r="K12" s="208"/>
      <c r="L12" s="208"/>
      <c r="M12" s="208"/>
      <c r="N12" s="288"/>
      <c r="O12" s="289"/>
      <c r="P12" s="278" t="s">
        <v>1765</v>
      </c>
      <c r="Q12" s="279" t="s">
        <v>68</v>
      </c>
      <c r="R12" s="132" t="s">
        <v>1766</v>
      </c>
      <c r="S12" s="132"/>
      <c r="T12" s="280"/>
      <c r="U12" s="281"/>
      <c r="V12" s="281"/>
      <c r="W12" s="281"/>
      <c r="X12" s="281"/>
      <c r="Y12" s="281"/>
      <c r="Z12" t="e">
        <f>VLOOKUP(A12,#REF!,9,FALSE)</f>
        <v>#REF!</v>
      </c>
    </row>
    <row r="13" spans="1:26" ht="15.75" thickBot="1">
      <c r="A13" s="122" t="s">
        <v>925</v>
      </c>
      <c r="B13" s="103" t="s">
        <v>50</v>
      </c>
      <c r="C13" s="219" t="e">
        <v>#N/A</v>
      </c>
      <c r="D13" s="286"/>
      <c r="E13" s="273" t="s">
        <v>1764</v>
      </c>
      <c r="F13" s="286"/>
      <c r="G13" s="287" t="s">
        <v>1727</v>
      </c>
      <c r="H13" s="234"/>
      <c r="I13" s="234"/>
      <c r="J13" s="45"/>
      <c r="K13" s="208"/>
      <c r="L13" s="208"/>
      <c r="M13" s="208"/>
      <c r="N13" s="288"/>
      <c r="O13" s="289"/>
      <c r="P13" s="278" t="s">
        <v>1765</v>
      </c>
      <c r="Q13" s="279" t="s">
        <v>68</v>
      </c>
      <c r="R13" s="132" t="s">
        <v>1766</v>
      </c>
      <c r="S13" s="132"/>
      <c r="T13" s="280"/>
      <c r="U13" s="281"/>
      <c r="V13" s="281"/>
      <c r="W13" s="281"/>
      <c r="X13" s="281"/>
      <c r="Y13" s="281"/>
      <c r="Z13" t="e">
        <f>VLOOKUP(A13,#REF!,9,FALSE)</f>
        <v>#REF!</v>
      </c>
    </row>
    <row r="14" spans="1:26" ht="15.75" thickBot="1">
      <c r="A14" s="282" t="s">
        <v>409</v>
      </c>
      <c r="B14" s="103" t="s">
        <v>50</v>
      </c>
      <c r="C14" s="219">
        <v>45807</v>
      </c>
      <c r="D14" s="286"/>
      <c r="E14" s="273" t="s">
        <v>1764</v>
      </c>
      <c r="F14" s="286"/>
      <c r="G14" s="287" t="s">
        <v>1727</v>
      </c>
      <c r="H14" s="234"/>
      <c r="I14" s="234"/>
      <c r="J14" s="45"/>
      <c r="K14" s="208"/>
      <c r="L14" s="208"/>
      <c r="M14" s="208"/>
      <c r="N14" s="288"/>
      <c r="O14" s="289"/>
      <c r="P14" s="278" t="s">
        <v>1765</v>
      </c>
      <c r="Q14" s="279" t="s">
        <v>68</v>
      </c>
      <c r="R14" s="132" t="s">
        <v>1766</v>
      </c>
      <c r="S14" s="132"/>
      <c r="T14" s="280"/>
      <c r="U14" s="281"/>
      <c r="V14" s="281"/>
      <c r="W14" s="281"/>
      <c r="X14" s="281"/>
      <c r="Y14" s="281"/>
      <c r="Z14" t="e">
        <f>VLOOKUP(A14,#REF!,9,FALSE)</f>
        <v>#REF!</v>
      </c>
    </row>
    <row r="15" spans="1:26" ht="15.75" thickBot="1">
      <c r="A15" s="122" t="s">
        <v>902</v>
      </c>
      <c r="B15" s="103" t="s">
        <v>50</v>
      </c>
      <c r="C15" s="219" t="e">
        <v>#N/A</v>
      </c>
      <c r="D15" s="286"/>
      <c r="E15" s="273" t="s">
        <v>1764</v>
      </c>
      <c r="F15" s="286"/>
      <c r="G15" s="287" t="s">
        <v>1727</v>
      </c>
      <c r="H15" s="234"/>
      <c r="I15" s="234"/>
      <c r="J15" s="45"/>
      <c r="K15" s="208"/>
      <c r="L15" s="208"/>
      <c r="M15" s="208"/>
      <c r="N15" s="288"/>
      <c r="O15" s="289"/>
      <c r="P15" s="278" t="s">
        <v>1765</v>
      </c>
      <c r="Q15" s="279" t="s">
        <v>68</v>
      </c>
      <c r="R15" s="132" t="s">
        <v>1766</v>
      </c>
      <c r="S15" s="132"/>
      <c r="T15" s="280"/>
      <c r="U15" s="281"/>
      <c r="V15" s="281"/>
      <c r="W15" s="281"/>
      <c r="X15" s="281"/>
      <c r="Y15" s="281"/>
      <c r="Z15" t="e">
        <f>VLOOKUP(A15,#REF!,9,FALSE)</f>
        <v>#REF!</v>
      </c>
    </row>
    <row r="16" spans="1:26" ht="15.75" thickBot="1">
      <c r="A16" s="290" t="s">
        <v>1770</v>
      </c>
      <c r="B16" s="103" t="s">
        <v>50</v>
      </c>
      <c r="C16" s="219" t="e">
        <v>#N/A</v>
      </c>
      <c r="D16" s="286"/>
      <c r="E16" s="273" t="s">
        <v>1764</v>
      </c>
      <c r="F16" s="286"/>
      <c r="G16" s="287" t="s">
        <v>1727</v>
      </c>
      <c r="H16" s="234"/>
      <c r="I16" s="234"/>
      <c r="J16" s="45"/>
      <c r="K16" s="208"/>
      <c r="L16" s="208"/>
      <c r="M16" s="208"/>
      <c r="N16" s="288"/>
      <c r="O16" s="289"/>
      <c r="P16" s="278" t="s">
        <v>1765</v>
      </c>
      <c r="Q16" s="279" t="s">
        <v>68</v>
      </c>
      <c r="R16" s="132" t="s">
        <v>1766</v>
      </c>
      <c r="S16" s="132"/>
      <c r="T16" s="280"/>
      <c r="U16" s="281"/>
      <c r="V16" s="281"/>
      <c r="W16" s="281"/>
      <c r="X16" s="281"/>
      <c r="Y16" s="281"/>
      <c r="Z16" t="e">
        <f>VLOOKUP(A16,#REF!,9,FALSE)</f>
        <v>#REF!</v>
      </c>
    </row>
    <row r="17" spans="1:26" ht="15.75" thickBot="1">
      <c r="A17" s="279" t="s">
        <v>690</v>
      </c>
      <c r="B17" s="103" t="s">
        <v>50</v>
      </c>
      <c r="C17" s="219" t="e">
        <v>#N/A</v>
      </c>
      <c r="D17" s="286"/>
      <c r="E17" s="273" t="s">
        <v>1729</v>
      </c>
      <c r="F17" s="286"/>
      <c r="G17" s="287" t="s">
        <v>1727</v>
      </c>
      <c r="H17" s="234"/>
      <c r="I17" s="234"/>
      <c r="J17" s="45"/>
      <c r="K17" s="208"/>
      <c r="L17" s="208"/>
      <c r="M17" s="208"/>
      <c r="N17" s="288"/>
      <c r="O17" s="289"/>
      <c r="P17" s="278"/>
      <c r="Q17" s="279" t="s">
        <v>68</v>
      </c>
      <c r="R17" s="132" t="s">
        <v>1766</v>
      </c>
      <c r="S17" s="132"/>
      <c r="T17" s="280"/>
      <c r="U17" s="281"/>
      <c r="V17" s="281"/>
      <c r="W17" s="281"/>
      <c r="X17" s="281"/>
      <c r="Y17" s="281"/>
      <c r="Z17" t="e">
        <f>VLOOKUP(A17,#REF!,9,FALSE)</f>
        <v>#REF!</v>
      </c>
    </row>
    <row r="18" spans="1:26" ht="15.75" thickBot="1">
      <c r="A18" s="279" t="s">
        <v>672</v>
      </c>
      <c r="B18" s="103" t="s">
        <v>50</v>
      </c>
      <c r="C18" s="219">
        <v>45807</v>
      </c>
      <c r="D18" s="286"/>
      <c r="E18" s="273" t="s">
        <v>1729</v>
      </c>
      <c r="F18" s="286"/>
      <c r="G18" s="287" t="s">
        <v>1727</v>
      </c>
      <c r="H18" s="234"/>
      <c r="I18" s="234"/>
      <c r="J18" s="45"/>
      <c r="K18" s="208"/>
      <c r="L18" s="208"/>
      <c r="M18" s="208"/>
      <c r="N18" s="288"/>
      <c r="O18" s="289"/>
      <c r="P18" s="278" t="s">
        <v>1735</v>
      </c>
      <c r="Q18" s="279"/>
      <c r="R18" s="132" t="s">
        <v>1766</v>
      </c>
      <c r="S18" s="132"/>
      <c r="T18" s="280"/>
      <c r="U18" s="281"/>
      <c r="V18" s="281"/>
      <c r="W18" s="281"/>
      <c r="X18" s="281"/>
      <c r="Y18" s="281"/>
      <c r="Z18" t="e">
        <f>VLOOKUP(A18,#REF!,9,FALSE)</f>
        <v>#REF!</v>
      </c>
    </row>
    <row r="19" spans="1:26" ht="15.75" thickBot="1">
      <c r="A19" s="279" t="s">
        <v>675</v>
      </c>
      <c r="B19" s="103" t="s">
        <v>50</v>
      </c>
      <c r="C19" s="219" t="e">
        <v>#N/A</v>
      </c>
      <c r="D19" s="286"/>
      <c r="E19" s="273" t="s">
        <v>1729</v>
      </c>
      <c r="F19" s="286"/>
      <c r="G19" s="287" t="s">
        <v>1748</v>
      </c>
      <c r="H19" s="234"/>
      <c r="I19" s="234"/>
      <c r="J19" s="45"/>
      <c r="K19" s="208"/>
      <c r="L19" s="208"/>
      <c r="M19" s="208"/>
      <c r="N19" s="288"/>
      <c r="O19" s="289"/>
      <c r="P19" s="278"/>
      <c r="Q19" s="279" t="s">
        <v>1748</v>
      </c>
      <c r="R19" s="132" t="s">
        <v>1766</v>
      </c>
      <c r="S19" s="132"/>
      <c r="T19" s="280"/>
      <c r="U19" s="281"/>
      <c r="V19" s="281"/>
      <c r="W19" s="281"/>
      <c r="X19" s="281"/>
      <c r="Y19" s="281"/>
      <c r="Z19" t="e">
        <f>VLOOKUP(A19,#REF!,9,FALSE)</f>
        <v>#REF!</v>
      </c>
    </row>
    <row r="20" spans="1:26" ht="15.75" thickBot="1">
      <c r="A20" s="279" t="s">
        <v>622</v>
      </c>
      <c r="B20" s="103" t="s">
        <v>50</v>
      </c>
      <c r="C20" s="219" t="e">
        <v>#N/A</v>
      </c>
      <c r="D20" s="286"/>
      <c r="E20" s="273" t="s">
        <v>1729</v>
      </c>
      <c r="F20" s="286"/>
      <c r="G20" s="287" t="s">
        <v>1748</v>
      </c>
      <c r="H20" s="234"/>
      <c r="I20" s="234"/>
      <c r="J20" s="45"/>
      <c r="K20" s="208"/>
      <c r="L20" s="208"/>
      <c r="M20" s="208"/>
      <c r="N20" s="288"/>
      <c r="O20" s="289"/>
      <c r="P20" s="278"/>
      <c r="Q20" s="279" t="s">
        <v>1748</v>
      </c>
      <c r="R20" s="132" t="s">
        <v>1766</v>
      </c>
      <c r="S20" s="132"/>
      <c r="T20" s="280"/>
      <c r="U20" s="281"/>
      <c r="V20" s="281"/>
      <c r="W20" s="281"/>
      <c r="X20" s="281"/>
      <c r="Y20" s="281"/>
      <c r="Z20" t="e">
        <f>VLOOKUP(A20,#REF!,9,FALSE)</f>
        <v>#REF!</v>
      </c>
    </row>
    <row r="21" spans="1:26" s="218" customFormat="1" ht="15.75" thickBot="1">
      <c r="A21" s="266" t="s">
        <v>1744</v>
      </c>
      <c r="B21" s="103" t="e">
        <v>#N/A</v>
      </c>
      <c r="C21" s="235">
        <v>45807</v>
      </c>
      <c r="D21" s="286"/>
      <c r="E21" s="273" t="s">
        <v>1729</v>
      </c>
      <c r="F21" s="286"/>
      <c r="G21" s="287" t="s">
        <v>1727</v>
      </c>
      <c r="H21" s="234"/>
      <c r="I21" s="234"/>
      <c r="J21" s="234"/>
      <c r="K21" s="233"/>
      <c r="L21" s="233"/>
      <c r="M21" s="233"/>
      <c r="N21" s="288"/>
      <c r="O21" s="289"/>
      <c r="P21" s="278"/>
      <c r="Q21" s="229" t="s">
        <v>64</v>
      </c>
      <c r="R21" s="132" t="s">
        <v>1766</v>
      </c>
      <c r="S21" s="232"/>
      <c r="T21" s="231"/>
      <c r="U21" s="230"/>
      <c r="V21" s="230"/>
      <c r="W21" s="230"/>
      <c r="X21" s="230"/>
      <c r="Y21" s="230" t="s">
        <v>1771</v>
      </c>
      <c r="Z21" t="e">
        <f>VLOOKUP(A21,#REF!,9,FALSE)</f>
        <v>#REF!</v>
      </c>
    </row>
    <row r="22" spans="1:26" ht="15.75" thickBot="1">
      <c r="A22" s="279" t="s">
        <v>624</v>
      </c>
      <c r="B22" s="103" t="s">
        <v>50</v>
      </c>
      <c r="C22" s="219" t="e">
        <v>#N/A</v>
      </c>
      <c r="D22" s="286"/>
      <c r="E22" s="273" t="s">
        <v>1729</v>
      </c>
      <c r="F22" s="286"/>
      <c r="G22" s="287" t="s">
        <v>1748</v>
      </c>
      <c r="H22" s="234"/>
      <c r="I22" s="234"/>
      <c r="J22" s="45"/>
      <c r="K22" s="208"/>
      <c r="L22" s="208"/>
      <c r="M22" s="208"/>
      <c r="N22" s="288"/>
      <c r="O22" s="289"/>
      <c r="P22" s="278"/>
      <c r="Q22" s="279" t="s">
        <v>1748</v>
      </c>
      <c r="R22" s="132" t="s">
        <v>1766</v>
      </c>
      <c r="S22" s="132"/>
      <c r="T22" s="280"/>
      <c r="U22" s="281"/>
      <c r="V22" s="281"/>
      <c r="W22" s="281"/>
      <c r="X22" s="281"/>
      <c r="Y22" s="281"/>
      <c r="Z22" t="e">
        <f>VLOOKUP(A22,#REF!,9,FALSE)</f>
        <v>#REF!</v>
      </c>
    </row>
    <row r="23" spans="1:26" ht="15.75" thickBot="1">
      <c r="A23" s="279" t="s">
        <v>610</v>
      </c>
      <c r="B23" s="103" t="s">
        <v>50</v>
      </c>
      <c r="C23" s="219" t="e">
        <v>#N/A</v>
      </c>
      <c r="D23" s="286"/>
      <c r="E23" s="273" t="s">
        <v>1729</v>
      </c>
      <c r="F23" s="286"/>
      <c r="G23" s="287" t="s">
        <v>1727</v>
      </c>
      <c r="H23" s="234"/>
      <c r="I23" s="234"/>
      <c r="J23" s="45"/>
      <c r="K23" s="208"/>
      <c r="L23" s="208"/>
      <c r="M23" s="208"/>
      <c r="N23" s="288"/>
      <c r="O23" s="289"/>
      <c r="P23" s="278"/>
      <c r="Q23" s="279" t="s">
        <v>64</v>
      </c>
      <c r="R23" s="132" t="s">
        <v>1766</v>
      </c>
      <c r="S23" s="132"/>
      <c r="T23" s="280"/>
      <c r="U23" s="281"/>
      <c r="V23" s="281"/>
      <c r="W23" s="281"/>
      <c r="X23" s="281"/>
      <c r="Y23" s="281" t="s">
        <v>1772</v>
      </c>
      <c r="Z23" t="e">
        <f>VLOOKUP(A23,#REF!,9,FALSE)</f>
        <v>#REF!</v>
      </c>
    </row>
    <row r="24" spans="1:26" s="218" customFormat="1" ht="69.599999999999994" customHeight="1" thickBot="1">
      <c r="A24" s="229" t="s">
        <v>1740</v>
      </c>
      <c r="B24" s="236" t="e">
        <v>#N/A</v>
      </c>
      <c r="C24" s="235">
        <v>45716</v>
      </c>
      <c r="D24" s="286"/>
      <c r="E24" s="273" t="s">
        <v>1729</v>
      </c>
      <c r="F24" s="286"/>
      <c r="G24" s="287" t="s">
        <v>1727</v>
      </c>
      <c r="H24" s="234"/>
      <c r="I24" s="234"/>
      <c r="J24" s="234"/>
      <c r="K24" s="233"/>
      <c r="L24" s="233"/>
      <c r="M24" s="233"/>
      <c r="N24" s="288"/>
      <c r="O24" s="289"/>
      <c r="P24" s="278" t="s">
        <v>1741</v>
      </c>
      <c r="Q24" s="229" t="s">
        <v>64</v>
      </c>
      <c r="R24" s="132" t="s">
        <v>1766</v>
      </c>
      <c r="S24" s="232"/>
      <c r="T24" s="231"/>
      <c r="U24" s="230"/>
      <c r="V24" s="230"/>
      <c r="W24" s="230"/>
      <c r="X24" s="230"/>
      <c r="Y24" s="230" t="s">
        <v>1772</v>
      </c>
      <c r="Z24" t="e">
        <f>VLOOKUP(A24,#REF!,9,FALSE)</f>
        <v>#REF!</v>
      </c>
    </row>
    <row r="25" spans="1:26" ht="15.75" thickBot="1">
      <c r="A25" s="279" t="s">
        <v>614</v>
      </c>
      <c r="B25" s="103" t="s">
        <v>50</v>
      </c>
      <c r="C25" s="219">
        <v>45772</v>
      </c>
      <c r="D25" s="286"/>
      <c r="E25" s="273" t="s">
        <v>1729</v>
      </c>
      <c r="F25" s="286"/>
      <c r="G25" s="287" t="s">
        <v>1727</v>
      </c>
      <c r="H25" s="234"/>
      <c r="I25" s="234"/>
      <c r="J25" s="45"/>
      <c r="K25" s="208"/>
      <c r="L25" s="208"/>
      <c r="M25" s="208"/>
      <c r="N25" s="288"/>
      <c r="O25" s="289"/>
      <c r="P25" s="278" t="s">
        <v>1741</v>
      </c>
      <c r="Q25" s="279" t="s">
        <v>64</v>
      </c>
      <c r="R25" s="132" t="s">
        <v>1766</v>
      </c>
      <c r="S25" s="132"/>
      <c r="T25" s="280"/>
      <c r="U25" s="281"/>
      <c r="V25" s="281"/>
      <c r="W25" s="281"/>
      <c r="X25" s="281"/>
      <c r="Y25" s="281"/>
      <c r="Z25" t="e">
        <f>VLOOKUP(A25,#REF!,9,FALSE)</f>
        <v>#REF!</v>
      </c>
    </row>
    <row r="26" spans="1:26" ht="15.75" thickBot="1">
      <c r="A26" s="279" t="s">
        <v>492</v>
      </c>
      <c r="B26" s="103" t="s">
        <v>50</v>
      </c>
      <c r="C26" s="219">
        <v>45772</v>
      </c>
      <c r="D26" s="286"/>
      <c r="E26" s="273" t="s">
        <v>1729</v>
      </c>
      <c r="F26" s="286"/>
      <c r="G26" s="287" t="s">
        <v>1727</v>
      </c>
      <c r="H26" s="234"/>
      <c r="I26" s="234"/>
      <c r="J26" s="45"/>
      <c r="K26" s="208"/>
      <c r="L26" s="208"/>
      <c r="M26" s="208"/>
      <c r="N26" s="288"/>
      <c r="O26" s="289"/>
      <c r="P26" s="278" t="s">
        <v>1741</v>
      </c>
      <c r="Q26" s="279" t="s">
        <v>64</v>
      </c>
      <c r="R26" s="132" t="s">
        <v>1766</v>
      </c>
      <c r="S26" s="132"/>
      <c r="T26" s="280"/>
      <c r="U26" s="281"/>
      <c r="V26" s="281"/>
      <c r="W26" s="281"/>
      <c r="X26" s="281"/>
      <c r="Y26" s="281"/>
      <c r="Z26" t="e">
        <f>VLOOKUP(A26,#REF!,9,FALSE)</f>
        <v>#REF!</v>
      </c>
    </row>
    <row r="27" spans="1:26" ht="15.75" thickBot="1">
      <c r="A27" s="279" t="s">
        <v>828</v>
      </c>
      <c r="B27" s="103" t="s">
        <v>50</v>
      </c>
      <c r="C27" s="219">
        <v>45772</v>
      </c>
      <c r="D27" s="286"/>
      <c r="E27" s="273" t="s">
        <v>1729</v>
      </c>
      <c r="F27" s="286"/>
      <c r="G27" s="287" t="s">
        <v>1727</v>
      </c>
      <c r="H27" s="234"/>
      <c r="I27" s="234"/>
      <c r="J27" s="45"/>
      <c r="K27" s="208"/>
      <c r="L27" s="208"/>
      <c r="M27" s="208"/>
      <c r="N27" s="288"/>
      <c r="O27" s="289"/>
      <c r="P27" s="278" t="s">
        <v>1741</v>
      </c>
      <c r="Q27" s="279" t="s">
        <v>64</v>
      </c>
      <c r="R27" s="132" t="s">
        <v>1766</v>
      </c>
      <c r="S27" s="132"/>
      <c r="T27" s="280"/>
      <c r="U27" s="281"/>
      <c r="V27" s="281"/>
      <c r="W27" s="281"/>
      <c r="X27" s="281"/>
      <c r="Y27" s="281"/>
      <c r="Z27" t="e">
        <f>VLOOKUP(A27,#REF!,9,FALSE)</f>
        <v>#REF!</v>
      </c>
    </row>
    <row r="28" spans="1:26" ht="70.150000000000006" customHeight="1" thickBot="1">
      <c r="A28" s="229" t="s">
        <v>1743</v>
      </c>
      <c r="B28" s="236"/>
      <c r="C28" s="235"/>
      <c r="D28" s="286"/>
      <c r="E28" s="273" t="s">
        <v>1729</v>
      </c>
      <c r="F28" s="286"/>
      <c r="G28" s="287" t="s">
        <v>1727</v>
      </c>
      <c r="H28" s="234"/>
      <c r="I28" s="234"/>
      <c r="J28" s="234"/>
      <c r="K28" s="233"/>
      <c r="L28" s="233"/>
      <c r="M28" s="233"/>
      <c r="N28" s="288"/>
      <c r="O28" s="289"/>
      <c r="P28" s="278" t="s">
        <v>1741</v>
      </c>
      <c r="Q28" s="229" t="s">
        <v>64</v>
      </c>
      <c r="R28" s="132" t="s">
        <v>1766</v>
      </c>
      <c r="S28" s="232"/>
      <c r="T28" s="231"/>
      <c r="U28" s="230"/>
      <c r="V28" s="230"/>
      <c r="W28" s="230"/>
      <c r="X28" s="230"/>
      <c r="Y28" s="292" t="s">
        <v>1773</v>
      </c>
      <c r="Z28" t="e">
        <f>VLOOKUP(A28,#REF!,9,FALSE)</f>
        <v>#REF!</v>
      </c>
    </row>
    <row r="29" spans="1:26" s="218" customFormat="1" ht="69.599999999999994" customHeight="1" thickBot="1">
      <c r="A29" s="229" t="s">
        <v>1746</v>
      </c>
      <c r="B29" s="236" t="e">
        <v>#N/A</v>
      </c>
      <c r="C29" s="235" t="e">
        <v>#N/A</v>
      </c>
      <c r="D29" s="286"/>
      <c r="E29" s="273" t="s">
        <v>1729</v>
      </c>
      <c r="F29" s="286"/>
      <c r="G29" s="287" t="s">
        <v>1727</v>
      </c>
      <c r="H29" s="234"/>
      <c r="I29" s="234"/>
      <c r="J29" s="234"/>
      <c r="K29" s="233"/>
      <c r="L29" s="233"/>
      <c r="M29" s="233"/>
      <c r="N29" s="288"/>
      <c r="O29" s="289"/>
      <c r="P29" s="278"/>
      <c r="Q29" s="224" t="s">
        <v>64</v>
      </c>
      <c r="R29" s="132" t="s">
        <v>1766</v>
      </c>
      <c r="S29" s="232"/>
      <c r="T29" s="231"/>
      <c r="U29" s="230"/>
      <c r="V29" s="230"/>
      <c r="W29" s="230"/>
      <c r="X29" s="230"/>
      <c r="Y29" s="230" t="s">
        <v>1773</v>
      </c>
      <c r="Z29" t="e">
        <f>VLOOKUP(A29,#REF!,9,FALSE)</f>
        <v>#REF!</v>
      </c>
    </row>
    <row r="30" spans="1:26" ht="15.75" thickBot="1">
      <c r="A30" s="279" t="s">
        <v>642</v>
      </c>
      <c r="B30" s="103" t="s">
        <v>50</v>
      </c>
      <c r="C30" s="219">
        <v>45772</v>
      </c>
      <c r="D30" s="286"/>
      <c r="E30" s="273" t="s">
        <v>1729</v>
      </c>
      <c r="F30" s="286"/>
      <c r="G30" s="287" t="s">
        <v>1748</v>
      </c>
      <c r="H30" s="234"/>
      <c r="I30" s="234"/>
      <c r="J30" s="45"/>
      <c r="K30" s="208"/>
      <c r="L30" s="208"/>
      <c r="M30" s="208"/>
      <c r="N30" s="288"/>
      <c r="O30" s="289"/>
      <c r="P30" s="278"/>
      <c r="Q30" s="279" t="s">
        <v>1748</v>
      </c>
      <c r="R30" s="132" t="s">
        <v>1766</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1729</v>
      </c>
      <c r="F31" s="293"/>
      <c r="G31" s="294" t="s">
        <v>1748</v>
      </c>
      <c r="H31" s="226"/>
      <c r="I31" s="226"/>
      <c r="J31" s="240"/>
      <c r="K31" s="241"/>
      <c r="L31" s="241"/>
      <c r="M31" s="241"/>
      <c r="N31" s="226"/>
      <c r="O31" s="295"/>
      <c r="P31" s="278"/>
      <c r="Q31" s="237" t="s">
        <v>1748</v>
      </c>
      <c r="R31" s="132" t="s">
        <v>1766</v>
      </c>
      <c r="S31" s="242"/>
      <c r="T31" s="243"/>
      <c r="U31" s="244"/>
      <c r="V31" s="244"/>
      <c r="W31" s="244"/>
      <c r="X31" s="244"/>
      <c r="Y31" s="244" t="s">
        <v>1774</v>
      </c>
      <c r="Z31" t="e">
        <f>VLOOKUP(A31,#REF!,9,FALSE)</f>
        <v>#REF!</v>
      </c>
    </row>
    <row r="32" spans="1:26" ht="15.75" thickBot="1">
      <c r="A32" s="279" t="s">
        <v>644</v>
      </c>
      <c r="B32" s="103" t="s">
        <v>50</v>
      </c>
      <c r="C32" s="219">
        <v>45772</v>
      </c>
      <c r="D32" s="286"/>
      <c r="E32" s="273" t="s">
        <v>1729</v>
      </c>
      <c r="F32" s="286"/>
      <c r="G32" s="287" t="s">
        <v>1748</v>
      </c>
      <c r="H32" s="234"/>
      <c r="I32" s="234"/>
      <c r="J32" s="45"/>
      <c r="K32" s="208"/>
      <c r="L32" s="208"/>
      <c r="M32" s="208"/>
      <c r="N32" s="288"/>
      <c r="O32" s="289"/>
      <c r="P32" s="278"/>
      <c r="Q32" s="279" t="s">
        <v>1748</v>
      </c>
      <c r="R32" s="132" t="s">
        <v>1766</v>
      </c>
      <c r="S32" s="132"/>
      <c r="T32" s="280"/>
      <c r="U32" s="281"/>
      <c r="V32" s="281"/>
      <c r="W32" s="281"/>
      <c r="X32" s="281"/>
      <c r="Y32" s="281"/>
      <c r="Z32" t="e">
        <f>VLOOKUP(A32,#REF!,9,FALSE)</f>
        <v>#REF!</v>
      </c>
    </row>
    <row r="33" spans="1:26" ht="15.75" thickBot="1">
      <c r="A33" s="279" t="s">
        <v>634</v>
      </c>
      <c r="B33" s="103" t="s">
        <v>50</v>
      </c>
      <c r="C33" s="219">
        <v>45831</v>
      </c>
      <c r="D33" s="286"/>
      <c r="E33" s="273" t="s">
        <v>1729</v>
      </c>
      <c r="F33" s="286"/>
      <c r="G33" s="287" t="s">
        <v>1727</v>
      </c>
      <c r="H33" s="234"/>
      <c r="I33" s="234"/>
      <c r="J33" s="45"/>
      <c r="K33" s="208"/>
      <c r="L33" s="208"/>
      <c r="M33" s="208"/>
      <c r="N33" s="288"/>
      <c r="O33" s="289"/>
      <c r="P33" s="278"/>
      <c r="Q33" s="229" t="s">
        <v>64</v>
      </c>
      <c r="R33" s="132" t="s">
        <v>1766</v>
      </c>
      <c r="S33" s="132"/>
      <c r="T33" s="280"/>
      <c r="U33" s="281"/>
      <c r="V33" s="281"/>
      <c r="W33" s="281"/>
      <c r="X33" s="281"/>
      <c r="Y33" s="281"/>
      <c r="Z33" t="e">
        <f>VLOOKUP(A33,#REF!,9,FALSE)</f>
        <v>#REF!</v>
      </c>
    </row>
    <row r="34" spans="1:26" ht="15.75" thickBot="1">
      <c r="A34" s="279" t="s">
        <v>628</v>
      </c>
      <c r="B34" s="103" t="s">
        <v>50</v>
      </c>
      <c r="C34" s="219">
        <v>45831</v>
      </c>
      <c r="D34" s="286"/>
      <c r="E34" s="273" t="s">
        <v>1729</v>
      </c>
      <c r="F34" s="286"/>
      <c r="G34" s="287" t="s">
        <v>1727</v>
      </c>
      <c r="H34" s="234"/>
      <c r="I34" s="234"/>
      <c r="J34" s="45"/>
      <c r="K34" s="208"/>
      <c r="L34" s="208"/>
      <c r="M34" s="208"/>
      <c r="N34" s="288"/>
      <c r="O34" s="289"/>
      <c r="P34" s="278"/>
      <c r="Q34" s="279" t="s">
        <v>64</v>
      </c>
      <c r="R34" s="132" t="s">
        <v>1766</v>
      </c>
      <c r="S34" s="132"/>
      <c r="T34" s="280"/>
      <c r="U34" s="281"/>
      <c r="V34" s="281"/>
      <c r="W34" s="281"/>
      <c r="X34" s="281"/>
      <c r="Y34" s="281"/>
      <c r="Z34" t="e">
        <f>VLOOKUP(A34,#REF!,9,FALSE)</f>
        <v>#REF!</v>
      </c>
    </row>
    <row r="35" spans="1:26" ht="15.75" thickBot="1">
      <c r="A35" s="279" t="s">
        <v>630</v>
      </c>
      <c r="B35" s="103" t="s">
        <v>50</v>
      </c>
      <c r="C35" s="219">
        <v>45831</v>
      </c>
      <c r="D35" s="286"/>
      <c r="E35" s="273" t="s">
        <v>1729</v>
      </c>
      <c r="F35" s="286"/>
      <c r="G35" s="287" t="s">
        <v>1727</v>
      </c>
      <c r="H35" s="234"/>
      <c r="I35" s="234"/>
      <c r="J35" s="45"/>
      <c r="K35" s="208"/>
      <c r="L35" s="208"/>
      <c r="M35" s="208"/>
      <c r="N35" s="288"/>
      <c r="O35" s="289"/>
      <c r="P35" s="278"/>
      <c r="Q35" s="279" t="s">
        <v>64</v>
      </c>
      <c r="R35" s="132" t="s">
        <v>1766</v>
      </c>
      <c r="S35" s="132"/>
      <c r="T35" s="280"/>
      <c r="U35" s="281"/>
      <c r="V35" s="281"/>
      <c r="W35" s="281"/>
      <c r="X35" s="281"/>
      <c r="Y35" s="281"/>
      <c r="Z35" t="e">
        <f>VLOOKUP(A35,#REF!,9,FALSE)</f>
        <v>#REF!</v>
      </c>
    </row>
    <row r="36" spans="1:26" ht="15.75" thickBot="1">
      <c r="A36" s="279" t="s">
        <v>626</v>
      </c>
      <c r="B36" s="103" t="s">
        <v>50</v>
      </c>
      <c r="C36" s="219">
        <v>45772</v>
      </c>
      <c r="D36" s="286"/>
      <c r="E36" s="273" t="s">
        <v>1729</v>
      </c>
      <c r="F36" s="286"/>
      <c r="G36" s="287" t="s">
        <v>1748</v>
      </c>
      <c r="H36" s="234"/>
      <c r="I36" s="234"/>
      <c r="J36" s="45"/>
      <c r="K36" s="208"/>
      <c r="L36" s="208"/>
      <c r="M36" s="208"/>
      <c r="N36" s="288"/>
      <c r="O36" s="289"/>
      <c r="P36" s="278"/>
      <c r="Q36" s="279" t="s">
        <v>1748</v>
      </c>
      <c r="R36" s="132" t="s">
        <v>1766</v>
      </c>
      <c r="S36" s="132"/>
      <c r="T36" s="280"/>
      <c r="U36" s="281"/>
      <c r="V36" s="281"/>
      <c r="W36" s="281"/>
      <c r="X36" s="281"/>
      <c r="Y36" s="281"/>
      <c r="Z36" t="e">
        <f>VLOOKUP(A36,#REF!,9,FALSE)</f>
        <v>#REF!</v>
      </c>
    </row>
    <row r="37" spans="1:26" ht="15.75" thickBot="1">
      <c r="A37" s="279" t="s">
        <v>636</v>
      </c>
      <c r="B37" s="103" t="s">
        <v>50</v>
      </c>
      <c r="C37" s="219">
        <v>45831</v>
      </c>
      <c r="D37" s="286"/>
      <c r="E37" s="273" t="s">
        <v>1729</v>
      </c>
      <c r="F37" s="286"/>
      <c r="G37" s="287" t="s">
        <v>1727</v>
      </c>
      <c r="H37" s="234"/>
      <c r="I37" s="234"/>
      <c r="J37" s="45"/>
      <c r="K37" s="208"/>
      <c r="L37" s="208"/>
      <c r="M37" s="208"/>
      <c r="N37" s="288"/>
      <c r="O37" s="289"/>
      <c r="P37" s="278"/>
      <c r="Q37" s="279" t="s">
        <v>64</v>
      </c>
      <c r="R37" s="132" t="s">
        <v>1766</v>
      </c>
      <c r="S37" s="132"/>
      <c r="T37" s="280"/>
      <c r="U37" s="281"/>
      <c r="V37" s="281"/>
      <c r="W37" s="281"/>
      <c r="X37" s="281"/>
      <c r="Y37" s="281"/>
      <c r="Z37" t="e">
        <f>VLOOKUP(A37,#REF!,9,FALSE)</f>
        <v>#REF!</v>
      </c>
    </row>
    <row r="38" spans="1:26" ht="15.75" thickBot="1">
      <c r="A38" s="279" t="s">
        <v>640</v>
      </c>
      <c r="B38" s="103" t="s">
        <v>50</v>
      </c>
      <c r="C38" s="219">
        <v>45831</v>
      </c>
      <c r="D38" s="286"/>
      <c r="E38" s="273" t="s">
        <v>1729</v>
      </c>
      <c r="F38" s="286"/>
      <c r="G38" s="287" t="s">
        <v>1727</v>
      </c>
      <c r="H38" s="234"/>
      <c r="I38" s="234"/>
      <c r="J38" s="45"/>
      <c r="K38" s="208"/>
      <c r="L38" s="208"/>
      <c r="M38" s="208"/>
      <c r="N38" s="288"/>
      <c r="O38" s="289"/>
      <c r="P38" s="278"/>
      <c r="Q38" s="279" t="s">
        <v>64</v>
      </c>
      <c r="R38" s="132" t="s">
        <v>1766</v>
      </c>
      <c r="S38" s="132"/>
      <c r="T38" s="280"/>
      <c r="U38" s="281"/>
      <c r="V38" s="281"/>
      <c r="W38" s="281"/>
      <c r="X38" s="281"/>
      <c r="Y38" s="281"/>
      <c r="Z38" t="e">
        <f>VLOOKUP(A38,#REF!,9,FALSE)</f>
        <v>#REF!</v>
      </c>
    </row>
    <row r="39" spans="1:26" s="220" customFormat="1" ht="70.150000000000006" customHeight="1" thickBot="1">
      <c r="A39" s="224" t="s">
        <v>1749</v>
      </c>
      <c r="B39" s="228" t="e">
        <v>#N/A</v>
      </c>
      <c r="C39" s="227" t="e">
        <v>#N/A</v>
      </c>
      <c r="D39" s="293"/>
      <c r="E39" s="273" t="s">
        <v>1729</v>
      </c>
      <c r="F39" s="293"/>
      <c r="G39" s="294" t="s">
        <v>1748</v>
      </c>
      <c r="H39" s="226"/>
      <c r="I39" s="226"/>
      <c r="J39" s="226"/>
      <c r="K39" s="225"/>
      <c r="L39" s="225"/>
      <c r="M39" s="225"/>
      <c r="N39" s="226"/>
      <c r="O39" s="295"/>
      <c r="P39" s="278"/>
      <c r="Q39" s="224" t="s">
        <v>1748</v>
      </c>
      <c r="R39" s="132" t="s">
        <v>1766</v>
      </c>
      <c r="S39" s="223"/>
      <c r="T39" s="222"/>
      <c r="U39" s="221"/>
      <c r="V39" s="221"/>
      <c r="W39" s="221"/>
      <c r="X39" s="221"/>
      <c r="Y39" s="221" t="s">
        <v>1773</v>
      </c>
      <c r="Z39" t="e">
        <f>VLOOKUP(A39,#REF!,9,FALSE)</f>
        <v>#REF!</v>
      </c>
    </row>
    <row r="40" spans="1:26" ht="15.75" thickBot="1">
      <c r="A40" s="279" t="s">
        <v>701</v>
      </c>
      <c r="B40" s="103" t="s">
        <v>50</v>
      </c>
      <c r="C40" s="219">
        <v>45831</v>
      </c>
      <c r="D40" s="286"/>
      <c r="E40" s="273" t="s">
        <v>1729</v>
      </c>
      <c r="F40" s="286"/>
      <c r="G40" s="287" t="s">
        <v>1727</v>
      </c>
      <c r="H40" s="234"/>
      <c r="I40" s="234"/>
      <c r="J40" s="45"/>
      <c r="K40" s="208"/>
      <c r="L40" s="208"/>
      <c r="M40" s="208"/>
      <c r="N40" s="288"/>
      <c r="O40" s="289"/>
      <c r="P40" s="278"/>
      <c r="Q40" s="279" t="s">
        <v>64</v>
      </c>
      <c r="R40" s="132" t="s">
        <v>1766</v>
      </c>
      <c r="S40" s="132"/>
      <c r="T40" s="280"/>
      <c r="U40" s="281"/>
      <c r="V40" s="281"/>
      <c r="W40" s="281"/>
      <c r="X40" s="281"/>
      <c r="Y40" s="281"/>
      <c r="Z40" t="e">
        <f>VLOOKUP(A40,#REF!,9,FALSE)</f>
        <v>#REF!</v>
      </c>
    </row>
    <row r="41" spans="1:26" ht="15.75" thickBot="1">
      <c r="A41" s="279" t="s">
        <v>91</v>
      </c>
      <c r="B41" s="103" t="s">
        <v>50</v>
      </c>
      <c r="C41" s="219">
        <v>45807</v>
      </c>
      <c r="D41" s="286"/>
      <c r="E41" s="273" t="s">
        <v>1764</v>
      </c>
      <c r="F41" s="286"/>
      <c r="G41" s="287" t="s">
        <v>1727</v>
      </c>
      <c r="H41" s="234"/>
      <c r="I41" s="234"/>
      <c r="J41" s="45"/>
      <c r="K41" s="208"/>
      <c r="L41" s="208"/>
      <c r="M41" s="208"/>
      <c r="N41" s="288"/>
      <c r="O41" s="289"/>
      <c r="P41" s="278" t="s">
        <v>1765</v>
      </c>
      <c r="Q41" s="279" t="s">
        <v>58</v>
      </c>
      <c r="R41" s="132" t="s">
        <v>1766</v>
      </c>
      <c r="S41" s="132"/>
      <c r="T41" s="280"/>
      <c r="U41" s="281"/>
      <c r="V41" s="281"/>
      <c r="W41" s="281"/>
      <c r="X41" s="281"/>
      <c r="Y41" s="281"/>
      <c r="Z41" t="e">
        <f>VLOOKUP(A41,#REF!,9,FALSE)</f>
        <v>#REF!</v>
      </c>
    </row>
    <row r="42" spans="1:26" ht="15.75" thickBot="1">
      <c r="A42" s="279" t="s">
        <v>89</v>
      </c>
      <c r="B42" s="103" t="s">
        <v>50</v>
      </c>
      <c r="C42" s="219">
        <v>45807</v>
      </c>
      <c r="D42" s="286"/>
      <c r="E42" s="273" t="s">
        <v>1764</v>
      </c>
      <c r="F42" s="286"/>
      <c r="G42" s="287" t="s">
        <v>1727</v>
      </c>
      <c r="H42" s="234"/>
      <c r="I42" s="234"/>
      <c r="J42" s="45"/>
      <c r="K42" s="208"/>
      <c r="L42" s="208"/>
      <c r="M42" s="208"/>
      <c r="N42" s="288"/>
      <c r="O42" s="289"/>
      <c r="P42" s="278" t="s">
        <v>1765</v>
      </c>
      <c r="Q42" s="279" t="s">
        <v>64</v>
      </c>
      <c r="R42" s="132" t="s">
        <v>1766</v>
      </c>
      <c r="S42" s="132"/>
      <c r="T42" s="280"/>
      <c r="U42" s="281"/>
      <c r="V42" s="281"/>
      <c r="W42" s="281"/>
      <c r="X42" s="281"/>
      <c r="Y42" s="281"/>
      <c r="Z42" t="e">
        <f>VLOOKUP(A42,#REF!,9,FALSE)</f>
        <v>#REF!</v>
      </c>
    </row>
    <row r="43" spans="1:26" ht="15.75" thickBot="1">
      <c r="A43" s="279" t="s">
        <v>413</v>
      </c>
      <c r="B43" s="103" t="s">
        <v>50</v>
      </c>
      <c r="C43" s="219">
        <v>45807</v>
      </c>
      <c r="D43" s="286"/>
      <c r="E43" s="273" t="s">
        <v>1764</v>
      </c>
      <c r="F43" s="286"/>
      <c r="G43" s="287" t="s">
        <v>1727</v>
      </c>
      <c r="H43" s="234"/>
      <c r="I43" s="234"/>
      <c r="J43" s="45"/>
      <c r="K43" s="208"/>
      <c r="L43" s="208"/>
      <c r="M43" s="208"/>
      <c r="N43" s="288"/>
      <c r="O43" s="289"/>
      <c r="P43" s="278" t="s">
        <v>1765</v>
      </c>
      <c r="Q43" s="279" t="s">
        <v>58</v>
      </c>
      <c r="R43" s="132" t="s">
        <v>1766</v>
      </c>
      <c r="S43" s="132"/>
      <c r="T43" s="280"/>
      <c r="U43" s="281"/>
      <c r="V43" s="281"/>
      <c r="W43" s="281"/>
      <c r="X43" s="281"/>
      <c r="Y43" s="281"/>
      <c r="Z43" t="e">
        <f>VLOOKUP(A43,#REF!,9,FALSE)</f>
        <v>#REF!</v>
      </c>
    </row>
    <row r="44" spans="1:26" ht="15.75" thickBot="1">
      <c r="A44" s="279" t="s">
        <v>86</v>
      </c>
      <c r="B44" s="103" t="s">
        <v>50</v>
      </c>
      <c r="C44" s="219">
        <v>45807</v>
      </c>
      <c r="D44" s="286"/>
      <c r="E44" s="273" t="s">
        <v>1764</v>
      </c>
      <c r="F44" s="286"/>
      <c r="G44" s="287" t="s">
        <v>1727</v>
      </c>
      <c r="H44" s="234"/>
      <c r="I44" s="234"/>
      <c r="J44" s="45"/>
      <c r="K44" s="208"/>
      <c r="L44" s="208"/>
      <c r="M44" s="208"/>
      <c r="N44" s="288"/>
      <c r="O44" s="289"/>
      <c r="P44" s="278" t="s">
        <v>1735</v>
      </c>
      <c r="Q44" s="279" t="s">
        <v>64</v>
      </c>
      <c r="R44" s="132" t="s">
        <v>1766</v>
      </c>
      <c r="S44" s="132"/>
      <c r="T44" s="280"/>
      <c r="U44" s="281"/>
      <c r="V44" s="281"/>
      <c r="W44" s="281"/>
      <c r="X44" s="281"/>
      <c r="Y44" s="281"/>
      <c r="Z44" t="e">
        <f>VLOOKUP(A44,#REF!,9,FALSE)</f>
        <v>#REF!</v>
      </c>
    </row>
    <row r="45" spans="1:26" ht="15.75" thickBot="1">
      <c r="A45" s="346" t="s">
        <v>509</v>
      </c>
      <c r="B45" s="103" t="s">
        <v>50</v>
      </c>
      <c r="C45" s="219">
        <v>45807</v>
      </c>
      <c r="D45" s="286"/>
      <c r="E45" s="273" t="s">
        <v>1729</v>
      </c>
      <c r="F45" s="286"/>
      <c r="G45" s="287" t="s">
        <v>1727</v>
      </c>
      <c r="H45" s="234"/>
      <c r="I45" s="234"/>
      <c r="J45" s="45"/>
      <c r="K45" s="208"/>
      <c r="L45" s="208"/>
      <c r="M45" s="208"/>
      <c r="N45" s="288"/>
      <c r="O45" s="289"/>
      <c r="P45" s="278"/>
      <c r="Q45" s="279" t="s">
        <v>58</v>
      </c>
      <c r="R45" s="132" t="s">
        <v>1766</v>
      </c>
      <c r="S45" s="132"/>
      <c r="T45" s="280"/>
      <c r="U45" s="281"/>
      <c r="V45" s="281"/>
      <c r="W45" s="281"/>
      <c r="X45" s="281"/>
      <c r="Y45" s="281"/>
      <c r="Z45" t="e">
        <f>VLOOKUP(A45,#REF!,9,FALSE)</f>
        <v>#REF!</v>
      </c>
    </row>
    <row r="46" spans="1:26" ht="15.75" thickBot="1">
      <c r="A46" s="296" t="s">
        <v>511</v>
      </c>
      <c r="B46" s="103" t="s">
        <v>50</v>
      </c>
      <c r="C46" s="219">
        <v>45807</v>
      </c>
      <c r="D46" s="286"/>
      <c r="E46" s="273" t="s">
        <v>1729</v>
      </c>
      <c r="F46" s="286"/>
      <c r="G46" s="294" t="s">
        <v>1727</v>
      </c>
      <c r="H46" s="234"/>
      <c r="I46" s="234"/>
      <c r="J46" s="45"/>
      <c r="K46" s="208"/>
      <c r="L46" s="208"/>
      <c r="M46" s="208"/>
      <c r="N46" s="288"/>
      <c r="O46" s="289"/>
      <c r="P46" s="278"/>
      <c r="Q46" s="279" t="s">
        <v>58</v>
      </c>
      <c r="R46" s="132" t="s">
        <v>1766</v>
      </c>
      <c r="S46" s="132"/>
      <c r="T46" s="280"/>
      <c r="U46" s="281"/>
      <c r="V46" s="281"/>
      <c r="W46" s="281"/>
      <c r="X46" s="281"/>
      <c r="Y46" s="281"/>
      <c r="Z46" t="e">
        <f>VLOOKUP(A46,#REF!,9,FALSE)</f>
        <v>#REF!</v>
      </c>
    </row>
    <row r="47" spans="1:26" ht="15.75" thickBot="1">
      <c r="A47" s="297" t="s">
        <v>181</v>
      </c>
      <c r="B47" s="103" t="s">
        <v>50</v>
      </c>
      <c r="C47" s="219">
        <v>45807</v>
      </c>
      <c r="D47" s="286"/>
      <c r="E47" s="273" t="s">
        <v>1729</v>
      </c>
      <c r="F47" s="286"/>
      <c r="G47" s="287" t="s">
        <v>1727</v>
      </c>
      <c r="H47" s="234"/>
      <c r="I47" s="234"/>
      <c r="J47" s="45"/>
      <c r="K47" s="208"/>
      <c r="L47" s="208"/>
      <c r="M47" s="208"/>
      <c r="N47" s="288"/>
      <c r="O47" s="289"/>
      <c r="P47" s="278" t="s">
        <v>1738</v>
      </c>
      <c r="Q47" s="279" t="s">
        <v>58</v>
      </c>
      <c r="R47" s="132" t="s">
        <v>1769</v>
      </c>
      <c r="S47" s="132"/>
      <c r="T47" s="280"/>
      <c r="U47" s="281"/>
      <c r="V47" s="281"/>
      <c r="W47" s="281"/>
      <c r="X47" s="281"/>
      <c r="Y47" s="281"/>
      <c r="Z47" t="e">
        <f>VLOOKUP(A47,#REF!,9,FALSE)</f>
        <v>#REF!</v>
      </c>
    </row>
    <row r="48" spans="1:26" ht="15.75" thickBot="1">
      <c r="A48" s="296" t="s">
        <v>554</v>
      </c>
      <c r="B48" s="103" t="s">
        <v>50</v>
      </c>
      <c r="C48" s="219">
        <v>45807</v>
      </c>
      <c r="D48" s="286"/>
      <c r="E48" s="273" t="s">
        <v>1729</v>
      </c>
      <c r="F48" s="286"/>
      <c r="G48" s="294" t="s">
        <v>1748</v>
      </c>
      <c r="H48" s="234"/>
      <c r="I48" s="234"/>
      <c r="J48" s="45"/>
      <c r="K48" s="208"/>
      <c r="L48" s="208"/>
      <c r="M48" s="208"/>
      <c r="N48" s="288"/>
      <c r="O48" s="289"/>
      <c r="P48" s="278" t="s">
        <v>1775</v>
      </c>
      <c r="Q48" s="279" t="s">
        <v>1748</v>
      </c>
      <c r="R48" s="132" t="s">
        <v>1766</v>
      </c>
      <c r="S48" s="132"/>
      <c r="T48" s="280"/>
      <c r="U48" s="281"/>
      <c r="V48" s="281"/>
      <c r="W48" s="281"/>
      <c r="X48" s="281"/>
      <c r="Y48" s="281"/>
      <c r="Z48" t="e">
        <f>VLOOKUP(A48,#REF!,9,FALSE)</f>
        <v>#REF!</v>
      </c>
    </row>
    <row r="49" spans="1:26" ht="15.75" thickBot="1">
      <c r="A49" s="296" t="s">
        <v>548</v>
      </c>
      <c r="B49" s="103" t="s">
        <v>114</v>
      </c>
      <c r="C49" s="219">
        <v>45772</v>
      </c>
      <c r="D49" s="286"/>
      <c r="E49" s="273" t="s">
        <v>1729</v>
      </c>
      <c r="F49" s="286"/>
      <c r="G49" s="294" t="s">
        <v>1748</v>
      </c>
      <c r="H49" s="234"/>
      <c r="I49" s="234"/>
      <c r="J49" s="45"/>
      <c r="K49" s="208"/>
      <c r="L49" s="208"/>
      <c r="M49" s="208"/>
      <c r="N49" s="288"/>
      <c r="O49" s="289"/>
      <c r="P49" s="278" t="s">
        <v>1775</v>
      </c>
      <c r="Q49" s="279" t="s">
        <v>1748</v>
      </c>
      <c r="R49" s="132" t="s">
        <v>1766</v>
      </c>
      <c r="S49" s="132"/>
      <c r="T49" s="280"/>
      <c r="U49" s="281"/>
      <c r="V49" s="281"/>
      <c r="W49" s="281"/>
      <c r="X49" s="281"/>
      <c r="Y49" s="281"/>
      <c r="Z49" t="e">
        <f>VLOOKUP(A49,#REF!,9,FALSE)</f>
        <v>#REF!</v>
      </c>
    </row>
    <row r="50" spans="1:26" ht="15.75" thickBot="1">
      <c r="A50" s="296" t="s">
        <v>546</v>
      </c>
      <c r="B50" s="103" t="s">
        <v>114</v>
      </c>
      <c r="C50" s="219">
        <v>45772</v>
      </c>
      <c r="D50" s="286"/>
      <c r="E50" s="273" t="s">
        <v>1729</v>
      </c>
      <c r="F50" s="286"/>
      <c r="G50" s="294" t="s">
        <v>1748</v>
      </c>
      <c r="H50" s="234"/>
      <c r="I50" s="234"/>
      <c r="J50" s="45"/>
      <c r="K50" s="208"/>
      <c r="L50" s="208"/>
      <c r="M50" s="208"/>
      <c r="N50" s="288"/>
      <c r="O50" s="289"/>
      <c r="P50" s="278" t="s">
        <v>1775</v>
      </c>
      <c r="Q50" s="279" t="s">
        <v>1748</v>
      </c>
      <c r="R50" s="132" t="s">
        <v>1766</v>
      </c>
      <c r="S50" s="132"/>
      <c r="T50" s="280"/>
      <c r="U50" s="281"/>
      <c r="V50" s="281"/>
      <c r="W50" s="281"/>
      <c r="X50" s="281"/>
      <c r="Y50" s="281"/>
      <c r="Z50" t="e">
        <f>VLOOKUP(A50,#REF!,9,FALSE)</f>
        <v>#REF!</v>
      </c>
    </row>
    <row r="51" spans="1:26" ht="15.75" thickBot="1">
      <c r="A51" s="296" t="s">
        <v>552</v>
      </c>
      <c r="B51" s="103" t="e">
        <v>#N/A</v>
      </c>
      <c r="C51" s="219" t="e">
        <v>#N/A</v>
      </c>
      <c r="D51" s="286"/>
      <c r="E51" s="273" t="s">
        <v>1729</v>
      </c>
      <c r="F51" s="286"/>
      <c r="G51" s="294" t="s">
        <v>1748</v>
      </c>
      <c r="H51" s="234"/>
      <c r="I51" s="234"/>
      <c r="J51" s="45"/>
      <c r="K51" s="208"/>
      <c r="L51" s="208"/>
      <c r="M51" s="208"/>
      <c r="N51" s="288"/>
      <c r="O51" s="289"/>
      <c r="P51" s="278" t="s">
        <v>1775</v>
      </c>
      <c r="Q51" s="279" t="s">
        <v>1748</v>
      </c>
      <c r="R51" s="132" t="s">
        <v>1766</v>
      </c>
      <c r="S51" s="132"/>
      <c r="T51" s="280"/>
      <c r="U51" s="281"/>
      <c r="V51" s="281"/>
      <c r="W51" s="281"/>
      <c r="X51" s="281"/>
      <c r="Y51" s="281"/>
      <c r="Z51" t="e">
        <f>VLOOKUP(A51,#REF!,9,FALSE)</f>
        <v>#REF!</v>
      </c>
    </row>
    <row r="52" spans="1:26" ht="13.9" customHeight="1" thickBot="1">
      <c r="A52" s="296" t="s">
        <v>528</v>
      </c>
      <c r="B52" s="103" t="s">
        <v>114</v>
      </c>
      <c r="C52" s="219">
        <v>45925</v>
      </c>
      <c r="D52" s="286"/>
      <c r="E52" s="273" t="s">
        <v>1764</v>
      </c>
      <c r="F52" s="286"/>
      <c r="G52" s="287" t="s">
        <v>1727</v>
      </c>
      <c r="H52" s="234"/>
      <c r="I52" s="234"/>
      <c r="J52" s="45"/>
      <c r="K52" s="208"/>
      <c r="L52" s="208"/>
      <c r="M52" s="208"/>
      <c r="N52" s="288"/>
      <c r="O52" s="289"/>
      <c r="P52" s="278" t="s">
        <v>1765</v>
      </c>
      <c r="Q52" s="279" t="s">
        <v>64</v>
      </c>
      <c r="R52" s="132" t="s">
        <v>1766</v>
      </c>
      <c r="S52" s="132"/>
      <c r="T52" s="280"/>
      <c r="U52" s="281"/>
      <c r="V52" s="281"/>
      <c r="W52" s="281"/>
      <c r="X52" s="281"/>
      <c r="Y52" s="281"/>
      <c r="Z52" t="e">
        <f>VLOOKUP(A52,#REF!,9,FALSE)</f>
        <v>#REF!</v>
      </c>
    </row>
    <row r="53" spans="1:26" ht="15.75" thickBot="1">
      <c r="A53" s="296" t="s">
        <v>530</v>
      </c>
      <c r="B53" s="103" t="s">
        <v>114</v>
      </c>
      <c r="C53" s="219">
        <v>45925</v>
      </c>
      <c r="D53" s="286"/>
      <c r="E53" s="273" t="s">
        <v>1764</v>
      </c>
      <c r="F53" s="286"/>
      <c r="G53" s="287" t="s">
        <v>1727</v>
      </c>
      <c r="H53" s="234"/>
      <c r="I53" s="234"/>
      <c r="J53" s="45"/>
      <c r="K53" s="208"/>
      <c r="L53" s="208"/>
      <c r="M53" s="208"/>
      <c r="N53" s="288"/>
      <c r="O53" s="289"/>
      <c r="P53" s="278" t="s">
        <v>1765</v>
      </c>
      <c r="Q53" s="279" t="s">
        <v>64</v>
      </c>
      <c r="R53" s="132" t="s">
        <v>1766</v>
      </c>
      <c r="S53" s="132"/>
      <c r="T53" s="280"/>
      <c r="U53" s="281"/>
      <c r="V53" s="281"/>
      <c r="W53" s="281"/>
      <c r="X53" s="281"/>
      <c r="Y53" s="281"/>
      <c r="Z53" t="e">
        <f>VLOOKUP(A53,#REF!,9,FALSE)</f>
        <v>#REF!</v>
      </c>
    </row>
    <row r="54" spans="1:26" ht="15.75" thickBot="1">
      <c r="A54" s="296" t="s">
        <v>526</v>
      </c>
      <c r="B54" s="103" t="s">
        <v>114</v>
      </c>
      <c r="C54" s="219">
        <v>45925</v>
      </c>
      <c r="D54" s="286"/>
      <c r="E54" s="273" t="s">
        <v>1764</v>
      </c>
      <c r="F54" s="286"/>
      <c r="G54" s="287" t="s">
        <v>1727</v>
      </c>
      <c r="H54" s="234"/>
      <c r="I54" s="234"/>
      <c r="J54" s="45"/>
      <c r="K54" s="208"/>
      <c r="L54" s="208"/>
      <c r="M54" s="208"/>
      <c r="N54" s="288"/>
      <c r="O54" s="289"/>
      <c r="P54" s="278" t="s">
        <v>1765</v>
      </c>
      <c r="Q54" s="279" t="s">
        <v>64</v>
      </c>
      <c r="R54" s="132" t="s">
        <v>1766</v>
      </c>
      <c r="S54" s="132"/>
      <c r="T54" s="280"/>
      <c r="U54" s="281"/>
      <c r="V54" s="281"/>
      <c r="W54" s="281"/>
      <c r="X54" s="281"/>
      <c r="Y54" s="281"/>
      <c r="Z54" t="e">
        <f>VLOOKUP(A54,#REF!,9,FALSE)</f>
        <v>#REF!</v>
      </c>
    </row>
    <row r="55" spans="1:26" ht="15.75" thickBot="1">
      <c r="A55" s="296" t="s">
        <v>564</v>
      </c>
      <c r="B55" s="103" t="s">
        <v>114</v>
      </c>
      <c r="C55" s="219">
        <v>45862</v>
      </c>
      <c r="D55" s="286"/>
      <c r="E55" s="273" t="s">
        <v>1764</v>
      </c>
      <c r="F55" s="286"/>
      <c r="G55" s="287" t="s">
        <v>1727</v>
      </c>
      <c r="H55" s="234"/>
      <c r="I55" s="234"/>
      <c r="J55" s="45"/>
      <c r="K55" s="208"/>
      <c r="L55" s="208"/>
      <c r="M55" s="208"/>
      <c r="N55" s="288"/>
      <c r="O55" s="289"/>
      <c r="P55" s="278" t="s">
        <v>1738</v>
      </c>
      <c r="Q55" s="279" t="s">
        <v>58</v>
      </c>
      <c r="R55" s="132" t="s">
        <v>1769</v>
      </c>
      <c r="S55" s="132"/>
      <c r="T55" s="280"/>
      <c r="U55" s="281"/>
      <c r="V55" s="281"/>
      <c r="W55" s="281"/>
      <c r="X55" s="281"/>
      <c r="Y55" s="281"/>
      <c r="Z55" t="e">
        <f>VLOOKUP(A55,#REF!,9,FALSE)</f>
        <v>#REF!</v>
      </c>
    </row>
    <row r="56" spans="1:26" ht="15.75" thickBot="1">
      <c r="A56" s="296" t="s">
        <v>124</v>
      </c>
      <c r="B56" s="103"/>
      <c r="C56" s="219" t="e">
        <v>#N/A</v>
      </c>
      <c r="D56" s="286"/>
      <c r="E56" s="273" t="s">
        <v>1764</v>
      </c>
      <c r="F56" s="286"/>
      <c r="G56" s="287" t="s">
        <v>1727</v>
      </c>
      <c r="H56" s="234"/>
      <c r="I56" s="234"/>
      <c r="J56" s="45"/>
      <c r="K56" s="208"/>
      <c r="L56" s="208"/>
      <c r="M56" s="208"/>
      <c r="N56" s="288"/>
      <c r="O56" s="289"/>
      <c r="P56" s="278" t="s">
        <v>1776</v>
      </c>
      <c r="Q56" s="279" t="s">
        <v>58</v>
      </c>
      <c r="R56" s="132" t="s">
        <v>1769</v>
      </c>
      <c r="S56" s="132"/>
      <c r="T56" s="280"/>
      <c r="U56" s="281"/>
      <c r="V56" s="281"/>
      <c r="W56" s="281"/>
      <c r="X56" s="281"/>
      <c r="Y56" s="281"/>
      <c r="Z56" t="e">
        <f>VLOOKUP(A56,#REF!,9,FALSE)</f>
        <v>#REF!</v>
      </c>
    </row>
    <row r="57" spans="1:26" ht="15.75" thickBot="1">
      <c r="A57" s="163" t="s">
        <v>1777</v>
      </c>
      <c r="B57" s="103" t="s">
        <v>114</v>
      </c>
      <c r="C57" s="298">
        <v>45787</v>
      </c>
      <c r="D57" s="286"/>
      <c r="E57" s="273" t="s">
        <v>1764</v>
      </c>
      <c r="F57" s="286"/>
      <c r="G57" s="287" t="s">
        <v>1727</v>
      </c>
      <c r="H57" s="234"/>
      <c r="I57" s="234"/>
      <c r="J57" s="45"/>
      <c r="K57" s="208"/>
      <c r="L57" s="208"/>
      <c r="M57" s="208"/>
      <c r="N57" s="288"/>
      <c r="O57" s="289"/>
      <c r="P57" s="278" t="s">
        <v>1738</v>
      </c>
      <c r="Q57" s="279" t="s">
        <v>1778</v>
      </c>
      <c r="R57" s="132" t="s">
        <v>1769</v>
      </c>
      <c r="S57" s="132"/>
      <c r="T57" s="280"/>
      <c r="U57" s="281"/>
      <c r="V57" s="281"/>
      <c r="W57" s="281"/>
      <c r="X57" s="281"/>
      <c r="Y57" s="281"/>
      <c r="Z57" t="e">
        <f>VLOOKUP(A57,#REF!,9,FALSE)</f>
        <v>#REF!</v>
      </c>
    </row>
    <row r="58" spans="1:26" ht="15.75" thickBot="1">
      <c r="A58" s="640" t="s">
        <v>526</v>
      </c>
      <c r="B58" s="103" t="s">
        <v>50</v>
      </c>
      <c r="C58" s="300">
        <v>45807</v>
      </c>
      <c r="D58" s="286"/>
      <c r="E58" s="273" t="s">
        <v>1729</v>
      </c>
      <c r="F58" s="286"/>
      <c r="G58" s="287" t="s">
        <v>1727</v>
      </c>
      <c r="H58" s="234"/>
      <c r="I58" s="234"/>
      <c r="J58" s="45"/>
      <c r="K58" s="208"/>
      <c r="L58" s="208"/>
      <c r="M58" s="208"/>
      <c r="N58" s="288"/>
      <c r="O58" s="289"/>
      <c r="P58" s="291"/>
      <c r="Q58" s="279" t="s">
        <v>64</v>
      </c>
      <c r="R58" s="132" t="s">
        <v>1766</v>
      </c>
      <c r="S58" s="132"/>
      <c r="T58" s="280"/>
      <c r="U58" s="281"/>
      <c r="V58" s="281"/>
      <c r="W58" s="281"/>
      <c r="X58" s="281"/>
      <c r="Y58" s="281"/>
    </row>
    <row r="59" spans="1:26" ht="15.75" thickBot="1">
      <c r="A59" s="640" t="s">
        <v>528</v>
      </c>
      <c r="B59" s="103" t="s">
        <v>114</v>
      </c>
      <c r="C59" s="300">
        <v>45772</v>
      </c>
      <c r="D59" s="286"/>
      <c r="E59" s="273" t="s">
        <v>1729</v>
      </c>
      <c r="F59" s="286"/>
      <c r="G59" s="287" t="s">
        <v>1727</v>
      </c>
      <c r="H59" s="234"/>
      <c r="I59" s="234"/>
      <c r="J59" s="45"/>
      <c r="K59" s="208"/>
      <c r="L59" s="208"/>
      <c r="M59" s="208"/>
      <c r="N59" s="288"/>
      <c r="O59" s="289"/>
      <c r="P59" s="291"/>
      <c r="Q59" s="279" t="s">
        <v>64</v>
      </c>
      <c r="R59" s="132" t="s">
        <v>1766</v>
      </c>
      <c r="S59" s="132"/>
      <c r="T59" s="280"/>
      <c r="U59" s="281"/>
      <c r="V59" s="281"/>
      <c r="W59" s="281"/>
      <c r="X59" s="281"/>
      <c r="Y59" s="281"/>
    </row>
    <row r="60" spans="1:26" ht="15.75" thickBot="1">
      <c r="A60" s="641" t="s">
        <v>530</v>
      </c>
      <c r="B60" s="103" t="s">
        <v>114</v>
      </c>
      <c r="C60" s="300">
        <v>45772</v>
      </c>
      <c r="D60" s="286"/>
      <c r="E60" s="273" t="s">
        <v>1729</v>
      </c>
      <c r="F60" s="286"/>
      <c r="G60" s="287" t="s">
        <v>1727</v>
      </c>
      <c r="H60" s="234"/>
      <c r="I60" s="234"/>
      <c r="J60" s="45"/>
      <c r="K60" s="208"/>
      <c r="L60" s="208"/>
      <c r="M60" s="208"/>
      <c r="N60" s="288"/>
      <c r="O60" s="289"/>
      <c r="P60" s="291"/>
      <c r="Q60" s="279" t="s">
        <v>64</v>
      </c>
      <c r="R60" s="132" t="s">
        <v>1766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1758</v>
      </c>
      <c r="B70" s="305">
        <f>SUM(K4:K9)</f>
        <v>0</v>
      </c>
      <c r="C70" s="306" t="e">
        <f>B70/B73</f>
        <v>#DIV/0!</v>
      </c>
    </row>
    <row r="71" spans="1:25">
      <c r="A71" s="304" t="s">
        <v>1656</v>
      </c>
      <c r="B71" s="305">
        <f>SUM(L4:L9)</f>
        <v>0</v>
      </c>
      <c r="C71" s="306" t="e">
        <f>B71/B73</f>
        <v>#DIV/0!</v>
      </c>
    </row>
    <row r="72" spans="1:25">
      <c r="A72" s="304" t="s">
        <v>1759</v>
      </c>
      <c r="B72" s="305">
        <f>SUM(M4:M9)</f>
        <v>0</v>
      </c>
      <c r="C72" s="306" t="e">
        <f>B72/B73</f>
        <v>#DIV/0!</v>
      </c>
    </row>
    <row r="73" spans="1:25">
      <c r="A73" s="304" t="s">
        <v>878</v>
      </c>
      <c r="B73" s="305">
        <f>SUM(B70:B72)</f>
        <v>0</v>
      </c>
      <c r="C73" s="283"/>
    </row>
    <row r="80" spans="1:25">
      <c r="A80" t="s">
        <v>1779</v>
      </c>
    </row>
    <row r="81" spans="1:1">
      <c r="A81" t="s">
        <v>1780</v>
      </c>
    </row>
    <row r="82" spans="1:1">
      <c r="A82" t="s">
        <v>1765</v>
      </c>
    </row>
    <row r="83" spans="1:1">
      <c r="A83" t="s">
        <v>1781</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7ADFBD9-6DDA-430B-8767-11D154DC65B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2025-11-17T17:16:16Z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