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55" documentId="8_{E14B221E-02E2-46A3-8CEC-C736815F2DD5}" xr6:coauthVersionLast="47" xr6:coauthVersionMax="47" xr10:uidLastSave="{23FEAD62-3248-4CCE-9ADD-5DF44AB9819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<sst xmlns="http://schemas.openxmlformats.org/spreadsheetml/2006/main" count="16691" uniqueCount="2154">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</sst>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L19" activePane="topRight" state="frozen"/>
      <selection pane="topRight" activeCell="L30" sqref="L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6">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7"/>
      <c r="L80" s="1347"/>
      <c r="M80" s="1225" t="s">
        <v>57</v>
      </c>
      <c r="N80" s="1458">
        <v>118710.8</v>
      </c>
      <c r="O80" s="1225" t="s">
        <v>57</v>
      </c>
      <c r="P80" s="1207" t="s">
        <v>58</v>
      </c>
      <c r="Q80" s="1459"/>
      <c r="R80" s="1459"/>
      <c r="S80" s="1459"/>
      <c r="T80" s="1459"/>
      <c r="U80" s="1459"/>
      <c r="V80" s="1460">
        <v>9628</v>
      </c>
      <c r="W80" s="1461"/>
      <c r="X80" s="1461">
        <f>SUM(V80-W80)</f>
        <v>9628</v>
      </c>
      <c r="Y80" s="662">
        <f>IFERROR($W80/$V80, 0)</f>
        <v>0</v>
      </c>
      <c r="Z80" s="1459"/>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3">
        <v>109</v>
      </c>
      <c r="I87" s="828" t="s">
        <v>55</v>
      </c>
      <c r="J87" s="831" t="s">
        <v>63</v>
      </c>
      <c r="K87" s="1457"/>
      <c r="L87" s="1347"/>
      <c r="M87" s="1463" t="s">
        <v>90</v>
      </c>
      <c r="N87" s="1458"/>
      <c r="O87" s="1463" t="s">
        <v>90</v>
      </c>
      <c r="P87" s="1464" t="s">
        <v>58</v>
      </c>
      <c r="Q87" s="1459"/>
      <c r="R87" s="1459"/>
      <c r="S87" s="1459"/>
      <c r="T87" s="1459"/>
      <c r="U87" s="1459"/>
      <c r="V87" s="1460">
        <v>6825</v>
      </c>
      <c r="W87" s="1461"/>
      <c r="X87" s="1461">
        <f>SUM(V87-W87)</f>
        <v>6825</v>
      </c>
      <c r="Y87" s="662">
        <f>IFERROR($W87/$V87, 0)</f>
        <v>0</v>
      </c>
      <c r="Z87" s="1462"/>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3">
        <v>0</v>
      </c>
      <c r="I94" s="828" t="s">
        <v>55</v>
      </c>
      <c r="J94" s="1205" t="s">
        <v>89</v>
      </c>
      <c r="K94" s="1205" t="s">
        <v>77</v>
      </c>
      <c r="L94" s="1347"/>
      <c r="M94" s="1225" t="s">
        <v>90</v>
      </c>
      <c r="N94" s="1236"/>
      <c r="O94" s="1225" t="s">
        <v>90</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303</v>
      </c>
      <c r="AE94" s="1273"/>
    </row>
    <row r="95" spans="1:31" ht="24.75" customHeight="1">
      <c r="A95" s="1436" t="s">
        <v>304</v>
      </c>
      <c r="B95" s="1016" t="s">
        <v>287</v>
      </c>
      <c r="C95" s="1421">
        <v>46051</v>
      </c>
      <c r="D95" s="1346"/>
      <c r="E95" s="1347"/>
      <c r="F95" s="1346"/>
      <c r="G95" s="1224"/>
      <c r="H95" s="1463">
        <v>0</v>
      </c>
      <c r="I95" s="828" t="s">
        <v>55</v>
      </c>
      <c r="J95" s="1205" t="s">
        <v>89</v>
      </c>
      <c r="K95" s="1205" t="s">
        <v>77</v>
      </c>
      <c r="L95" s="1347"/>
      <c r="M95" s="1225" t="s">
        <v>90</v>
      </c>
      <c r="N95" s="1236"/>
      <c r="O95" s="1225" t="s">
        <v>90</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303</v>
      </c>
      <c r="AE95" s="1273"/>
    </row>
    <row r="96" spans="1:31" ht="24.75" customHeight="1">
      <c r="A96" s="1436" t="s">
        <v>305</v>
      </c>
      <c r="B96" s="1016" t="s">
        <v>287</v>
      </c>
      <c r="C96" s="1421">
        <v>46051</v>
      </c>
      <c r="D96" s="1346"/>
      <c r="E96" s="1347"/>
      <c r="F96" s="1346"/>
      <c r="G96" s="1224"/>
      <c r="H96" s="1463">
        <v>0</v>
      </c>
      <c r="I96" s="828" t="s">
        <v>55</v>
      </c>
      <c r="J96" s="1205" t="s">
        <v>89</v>
      </c>
      <c r="K96" s="1205" t="s">
        <v>77</v>
      </c>
      <c r="L96" s="1347"/>
      <c r="M96" s="1225" t="s">
        <v>90</v>
      </c>
      <c r="N96" s="1236"/>
      <c r="O96" s="1225" t="s">
        <v>90</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303</v>
      </c>
      <c r="AE96" s="1273"/>
    </row>
    <row r="97" spans="1:31" ht="24.75" customHeight="1">
      <c r="A97" s="1436" t="s">
        <v>306</v>
      </c>
      <c r="B97" s="1016" t="s">
        <v>287</v>
      </c>
      <c r="C97" s="1421">
        <v>46051</v>
      </c>
      <c r="D97" s="1346"/>
      <c r="E97" s="1347"/>
      <c r="F97" s="1346"/>
      <c r="G97" s="1224"/>
      <c r="H97" s="1463">
        <v>0</v>
      </c>
      <c r="I97" s="828" t="s">
        <v>55</v>
      </c>
      <c r="J97" s="1205" t="s">
        <v>89</v>
      </c>
      <c r="K97" s="1205" t="s">
        <v>77</v>
      </c>
      <c r="L97" s="1347"/>
      <c r="M97" s="1225" t="s">
        <v>90</v>
      </c>
      <c r="N97" s="1236"/>
      <c r="O97" s="1225" t="s">
        <v>90</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6"/>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6"/>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6"/>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6"/>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6"/>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6"/>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6"/>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6"/>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6"/>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9"/>
      <c r="R132" s="1369"/>
      <c r="S132" s="1369"/>
      <c r="T132" s="1369"/>
      <c r="U132" s="1369"/>
      <c r="V132" s="1371">
        <v>3682</v>
      </c>
      <c r="W132" s="1470"/>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4"/>
  <sheetViews>
    <sheetView workbookViewId="0">
      <pane ySplit="1" topLeftCell="A2416" activePane="bottomLeft" state="frozen"/>
      <selection pane="bottomLeft" activeCell="A2434" sqref="A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t="s">
        <v>1108</v>
      </c>
      <c r="B2434" s="1451" t="s">
        <v>1073</v>
      </c>
      <c r="C2434" s="56">
        <v>46027</v>
      </c>
      <c r="D2434" s="155">
        <v>248</v>
      </c>
      <c r="F2434" s="43" t="s">
        <v>2008</v>
      </c>
      <c r="G2434" t="s">
        <v>2006</v>
      </c>
    </row>
    <row r="2435" spans="1:7">
      <c r="A2435" s="247"/>
      <c r="B2435" s="1451"/>
      <c r="C2435" s="1452">
        <v>46028</v>
      </c>
      <c r="D2435" s="1453"/>
      <c r="E2435" s="1454"/>
      <c r="F2435" s="1453"/>
    </row>
    <row r="2436" spans="1:7">
      <c r="A2436" s="247"/>
      <c r="B2436" s="1451"/>
      <c r="C2436" s="1452">
        <v>46029</v>
      </c>
      <c r="D2436" s="1453"/>
      <c r="E2436" s="1454"/>
      <c r="F2436" s="1453"/>
    </row>
    <row r="2437" spans="1:7">
      <c r="A2437" s="247"/>
      <c r="B2437" s="1451"/>
      <c r="C2437" s="1452">
        <v>46030</v>
      </c>
      <c r="D2437" s="1453"/>
      <c r="E2437" s="1454"/>
      <c r="F2437" s="1453"/>
    </row>
    <row r="2438" spans="1:7">
      <c r="A2438" s="247"/>
      <c r="B2438" s="1451"/>
      <c r="C2438" s="1452">
        <v>46031</v>
      </c>
      <c r="D2438" s="1453"/>
      <c r="E2438" s="1454"/>
      <c r="F2438" s="1453"/>
    </row>
    <row r="2439" spans="1:7">
      <c r="A2439" s="247"/>
      <c r="B2439" s="1451"/>
      <c r="C2439" s="1452">
        <v>46034</v>
      </c>
      <c r="D2439" s="1453"/>
      <c r="E2439" s="1454"/>
      <c r="F2439" s="1453"/>
    </row>
    <row r="2440" spans="1:7">
      <c r="A2440" s="247"/>
      <c r="B2440" s="1451"/>
      <c r="C2440" s="1452">
        <v>46035</v>
      </c>
      <c r="D2440" s="1453"/>
      <c r="E2440" s="1454"/>
      <c r="F2440" s="1453"/>
    </row>
    <row r="2441" spans="1:7">
      <c r="A2441" s="247"/>
      <c r="B2441" s="1451"/>
      <c r="C2441" s="1452">
        <v>46036</v>
      </c>
      <c r="D2441" s="1453"/>
      <c r="E2441" s="1454"/>
      <c r="F2441" s="1453"/>
    </row>
    <row r="2442" spans="1:7">
      <c r="A2442" s="247"/>
      <c r="B2442" s="1451"/>
      <c r="C2442" s="1452">
        <v>46037</v>
      </c>
      <c r="D2442" s="1453"/>
      <c r="E2442" s="1454"/>
      <c r="F2442" s="1453"/>
    </row>
    <row r="2443" spans="1:7">
      <c r="A2443" s="247"/>
      <c r="B2443" s="1451"/>
      <c r="C2443" s="1452">
        <v>46038</v>
      </c>
      <c r="D2443" s="1453"/>
      <c r="E2443" s="1454"/>
      <c r="F2443" s="1453"/>
    </row>
    <row r="2444" spans="1:7">
      <c r="A2444" s="247"/>
      <c r="B2444" s="1451"/>
      <c r="C2444" s="1452"/>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3"/>
      <c r="D2468" s="1453"/>
      <c r="E2468" s="1454"/>
      <c r="F2468" s="1453"/>
    </row>
    <row r="2469" spans="1:6">
      <c r="A2469" s="247"/>
      <c r="B2469" s="1451"/>
      <c r="C2469" s="1452"/>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561" spans="1:6">
      <c r="A2561" s="247"/>
      <c r="B2561" s="1451"/>
      <c r="C2561" s="1453"/>
      <c r="D2561" s="1453"/>
      <c r="E2561" s="1454"/>
      <c r="F2561" s="1453"/>
    </row>
    <row r="2603" spans="3:3">
      <c r="C2603" s="56"/>
    </row>
    <row r="2604" spans="3:3">
      <c r="C260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668</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2083</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2083</v>
      </c>
      <c r="S7" s="43" t="s">
        <v>365</v>
      </c>
      <c r="T7" s="43" t="s">
        <v>365</v>
      </c>
      <c r="U7" s="43" t="s">
        <v>365</v>
      </c>
      <c r="V7" s="69" t="s">
        <v>89</v>
      </c>
      <c r="W7" s="30"/>
      <c r="X7" s="69" t="s">
        <v>89</v>
      </c>
      <c r="Y7" t="e">
        <f>VLOOKUP(A7,#REF!,2,FALSE)</f>
        <v>#REF!</v>
      </c>
    </row>
    <row r="8" spans="1:25">
      <c r="A8" s="175" t="s">
        <v>536</v>
      </c>
      <c r="B8" s="180" t="s">
        <v>201</v>
      </c>
      <c r="C8" s="176">
        <v>45742</v>
      </c>
      <c r="D8" s="185" t="s">
        <v>2084</v>
      </c>
      <c r="E8" s="120"/>
      <c r="F8" s="108"/>
      <c r="G8" s="108"/>
      <c r="H8" s="179">
        <v>84</v>
      </c>
      <c r="I8" s="181"/>
      <c r="J8" s="185" t="s">
        <v>57</v>
      </c>
      <c r="K8" s="185" t="s">
        <v>57</v>
      </c>
      <c r="L8" s="185" t="s">
        <v>63</v>
      </c>
      <c r="M8" s="193">
        <v>45716</v>
      </c>
      <c r="N8" s="30" t="s">
        <v>365</v>
      </c>
      <c r="O8" s="30" t="s">
        <v>365</v>
      </c>
      <c r="P8" s="711" t="s">
        <v>365</v>
      </c>
      <c r="Q8" s="69" t="s">
        <v>365</v>
      </c>
      <c r="R8" s="43" t="s">
        <v>2083</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2083</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2083</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2083</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2083</v>
      </c>
      <c r="S12" s="43" t="s">
        <v>365</v>
      </c>
      <c r="T12" s="43" t="s">
        <v>365</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2086</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2087</v>
      </c>
      <c r="N16" s="30" t="s">
        <v>365</v>
      </c>
      <c r="O16" s="54" t="s">
        <v>2087</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2086</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2086</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2086</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2086</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2086</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2086</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2086</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2083</v>
      </c>
      <c r="S31" s="43" t="s">
        <v>365</v>
      </c>
      <c r="T31" s="139" t="s">
        <v>365</v>
      </c>
      <c r="U31" s="115" t="s">
        <v>365</v>
      </c>
      <c r="V31" s="69" t="s">
        <v>365</v>
      </c>
      <c r="W31" s="54">
        <v>45779</v>
      </c>
      <c r="X31" s="69" t="s">
        <v>2086</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2083</v>
      </c>
      <c r="S32" s="43" t="s">
        <v>365</v>
      </c>
      <c r="T32" s="139" t="s">
        <v>365</v>
      </c>
      <c r="U32" s="43" t="s">
        <v>365</v>
      </c>
      <c r="V32" s="69" t="s">
        <v>365</v>
      </c>
      <c r="W32" s="54">
        <v>45792</v>
      </c>
      <c r="X32" s="69" t="s">
        <v>2086</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2083</v>
      </c>
      <c r="S33" s="43" t="s">
        <v>365</v>
      </c>
      <c r="T33" s="139" t="s">
        <v>365</v>
      </c>
      <c r="U33" s="43" t="s">
        <v>365</v>
      </c>
      <c r="V33" s="334" t="s">
        <v>365</v>
      </c>
      <c r="W33" s="54">
        <v>45812</v>
      </c>
      <c r="X33" s="69" t="s">
        <v>2086</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2083</v>
      </c>
      <c r="S34" s="43" t="s">
        <v>365</v>
      </c>
      <c r="T34" s="139" t="s">
        <v>365</v>
      </c>
      <c r="U34" s="43" t="s">
        <v>365</v>
      </c>
      <c r="V34" s="404" t="s">
        <v>365</v>
      </c>
      <c r="W34" s="166">
        <v>45797</v>
      </c>
      <c r="X34" s="69" t="s">
        <v>2086</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2083</v>
      </c>
      <c r="S35" s="43" t="s">
        <v>365</v>
      </c>
      <c r="T35" s="139" t="s">
        <v>365</v>
      </c>
      <c r="U35" s="169" t="s">
        <v>365</v>
      </c>
      <c r="V35" s="69" t="s">
        <v>365</v>
      </c>
      <c r="W35" s="54">
        <v>45789</v>
      </c>
      <c r="X35" s="334" t="s">
        <v>2086</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2083</v>
      </c>
      <c r="S36" s="43" t="s">
        <v>365</v>
      </c>
      <c r="T36" s="139" t="s">
        <v>365</v>
      </c>
      <c r="U36" s="43" t="s">
        <v>365</v>
      </c>
      <c r="V36" s="69" t="s">
        <v>365</v>
      </c>
      <c r="W36" s="54">
        <v>45824</v>
      </c>
      <c r="X36" s="334" t="s">
        <v>2086</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2083</v>
      </c>
      <c r="S37" s="43" t="s">
        <v>365</v>
      </c>
      <c r="T37" s="43" t="s">
        <v>365</v>
      </c>
      <c r="U37" s="169" t="s">
        <v>365</v>
      </c>
      <c r="V37" s="69" t="s">
        <v>365</v>
      </c>
      <c r="W37" s="156">
        <v>45789</v>
      </c>
      <c r="X37" s="69" t="s">
        <v>2086</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2083</v>
      </c>
      <c r="S38" s="43" t="s">
        <v>365</v>
      </c>
      <c r="T38" s="43" t="s">
        <v>365</v>
      </c>
      <c r="U38" s="169" t="s">
        <v>365</v>
      </c>
      <c r="V38" s="69" t="s">
        <v>365</v>
      </c>
      <c r="W38" s="54">
        <v>45789</v>
      </c>
      <c r="X38" s="69" t="s">
        <v>2086</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2083</v>
      </c>
      <c r="S39" s="43" t="s">
        <v>365</v>
      </c>
      <c r="T39" s="43" t="s">
        <v>365</v>
      </c>
      <c r="U39" s="169" t="s">
        <v>365</v>
      </c>
      <c r="V39" s="69" t="s">
        <v>365</v>
      </c>
      <c r="W39" s="54">
        <v>45789</v>
      </c>
      <c r="X39" s="69" t="s">
        <v>2086</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2086</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2086</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2086</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2086</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2086</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2086</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2086</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2086</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2086</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2086</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2086</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2086</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2083</v>
      </c>
      <c r="S57" s="43" t="s">
        <v>365</v>
      </c>
      <c r="T57" s="43" t="s">
        <v>365</v>
      </c>
      <c r="U57" s="43" t="s">
        <v>365</v>
      </c>
      <c r="V57" s="69" t="s">
        <v>365</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2083</v>
      </c>
      <c r="S58" s="43" t="s">
        <v>365</v>
      </c>
      <c r="T58" s="43" t="s">
        <v>365</v>
      </c>
      <c r="U58" s="43" t="s">
        <v>365</v>
      </c>
      <c r="V58" s="334" t="s">
        <v>365</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2065</v>
      </c>
      <c r="P59" s="328" t="s">
        <v>365</v>
      </c>
      <c r="Q59" s="43" t="s">
        <v>365</v>
      </c>
      <c r="R59" s="43" t="s">
        <v>2083</v>
      </c>
      <c r="S59" s="43" t="s">
        <v>365</v>
      </c>
      <c r="T59" s="43" t="s">
        <v>365</v>
      </c>
      <c r="U59" s="43" t="s">
        <v>365</v>
      </c>
      <c r="V59" s="334" t="s">
        <v>365</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2083</v>
      </c>
      <c r="S60" s="43" t="s">
        <v>365</v>
      </c>
      <c r="T60" s="43" t="s">
        <v>365</v>
      </c>
      <c r="U60" s="43" t="s">
        <v>365</v>
      </c>
      <c r="V60" s="334" t="s">
        <v>365</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2083</v>
      </c>
      <c r="S81" s="43" t="s">
        <v>365</v>
      </c>
      <c r="T81" s="43" t="s">
        <v>365</v>
      </c>
      <c r="U81" s="115" t="s">
        <v>365</v>
      </c>
      <c r="V81" s="69" t="s">
        <v>365</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2083</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2083</v>
      </c>
      <c r="S84" s="169" t="s">
        <v>365</v>
      </c>
      <c r="T84" s="169" t="s">
        <v>365</v>
      </c>
      <c r="U84" s="91" t="s">
        <v>365</v>
      </c>
      <c r="V84" s="69" t="s">
        <v>365</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2083</v>
      </c>
      <c r="S85" s="169" t="s">
        <v>365</v>
      </c>
      <c r="T85" s="169" t="s">
        <v>365</v>
      </c>
      <c r="U85" s="91" t="s">
        <v>365</v>
      </c>
      <c r="V85" s="91" t="s">
        <v>365</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2083</v>
      </c>
      <c r="S86" s="43" t="s">
        <v>365</v>
      </c>
      <c r="T86" s="43" t="s">
        <v>365</v>
      </c>
      <c r="U86" s="69" t="s">
        <v>365</v>
      </c>
      <c r="V86" s="69" t="s">
        <v>365</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2083</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2083</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2083</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2083</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2083</v>
      </c>
      <c r="S91" s="69" t="s">
        <v>365</v>
      </c>
      <c r="T91" s="69" t="s">
        <v>365</v>
      </c>
      <c r="U91" s="69" t="s">
        <v>365</v>
      </c>
      <c r="V91" s="69" t="s">
        <v>365</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2083</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2083</v>
      </c>
      <c r="S93" s="43" t="s">
        <v>365</v>
      </c>
      <c r="T93" s="43" t="s">
        <v>365</v>
      </c>
      <c r="U93" s="334" t="s">
        <v>365</v>
      </c>
      <c r="V93" s="69" t="s">
        <v>365</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2083</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2083</v>
      </c>
      <c r="S95" s="69" t="s">
        <v>365</v>
      </c>
      <c r="T95" s="43" t="s">
        <v>365</v>
      </c>
      <c r="U95" s="69" t="s">
        <v>365</v>
      </c>
      <c r="V95" s="69" t="s">
        <v>365</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2083</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2083</v>
      </c>
      <c r="S97" s="69" t="s">
        <v>365</v>
      </c>
      <c r="T97" s="69" t="s">
        <v>365</v>
      </c>
      <c r="U97" s="69" t="s">
        <v>365</v>
      </c>
      <c r="V97" s="43" t="s">
        <v>365</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2083</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2083</v>
      </c>
      <c r="S99" s="43" t="s">
        <v>365</v>
      </c>
      <c r="T99" s="115" t="s">
        <v>365</v>
      </c>
      <c r="U99" s="148" t="s">
        <v>365</v>
      </c>
      <c r="V99" s="69" t="s">
        <v>365</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2083</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2083</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2083</v>
      </c>
      <c r="S102" s="43" t="s">
        <v>365</v>
      </c>
      <c r="T102" s="43" t="s">
        <v>365</v>
      </c>
      <c r="U102" s="43" t="s">
        <v>365</v>
      </c>
      <c r="V102" s="165" t="s">
        <v>365</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2083</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2083</v>
      </c>
      <c r="S104" s="43" t="s">
        <v>365</v>
      </c>
      <c r="T104" s="43" t="s">
        <v>365</v>
      </c>
      <c r="U104" s="43" t="s">
        <v>365</v>
      </c>
      <c r="V104" s="139" t="s">
        <v>365</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2083</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2083</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2083</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2083</v>
      </c>
      <c r="S108" s="43" t="s">
        <v>365</v>
      </c>
      <c r="T108" s="43" t="s">
        <v>365</v>
      </c>
      <c r="U108" s="88" t="s">
        <v>365</v>
      </c>
      <c r="V108" s="481" t="s">
        <v>365</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2083</v>
      </c>
      <c r="S109" s="43" t="s">
        <v>365</v>
      </c>
      <c r="T109" s="43" t="s">
        <v>365</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2083</v>
      </c>
      <c r="S110" s="43" t="s">
        <v>365</v>
      </c>
      <c r="T110" s="43" t="s">
        <v>365</v>
      </c>
      <c r="U110" s="88" t="s">
        <v>365</v>
      </c>
      <c r="V110" s="481" t="s">
        <v>365</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2083</v>
      </c>
      <c r="S111" s="43" t="s">
        <v>365</v>
      </c>
      <c r="T111" s="43" t="s">
        <v>365</v>
      </c>
      <c r="U111" s="43" t="s">
        <v>365</v>
      </c>
      <c r="V111" s="201" t="s">
        <v>365</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2083</v>
      </c>
      <c r="S112" s="43" t="s">
        <v>365</v>
      </c>
      <c r="T112" s="43" t="s">
        <v>365</v>
      </c>
      <c r="U112" s="43" t="s">
        <v>365</v>
      </c>
      <c r="V112" s="201" t="s">
        <v>365</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2083</v>
      </c>
      <c r="S113" s="115" t="s">
        <v>365</v>
      </c>
      <c r="T113" s="43" t="s">
        <v>365</v>
      </c>
      <c r="U113" s="43" t="s">
        <v>365</v>
      </c>
      <c r="V113" s="201" t="s">
        <v>365</v>
      </c>
      <c r="W113" s="479">
        <v>45791</v>
      </c>
      <c r="X113" s="148" t="s">
        <v>2086</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2083</v>
      </c>
      <c r="S114" s="115" t="s">
        <v>365</v>
      </c>
      <c r="T114" s="43" t="s">
        <v>365</v>
      </c>
      <c r="U114" s="157" t="s">
        <v>365</v>
      </c>
      <c r="V114" s="201" t="s">
        <v>365</v>
      </c>
      <c r="W114" s="54">
        <v>45798</v>
      </c>
      <c r="X114" s="69" t="s">
        <v>2086</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2083</v>
      </c>
      <c r="S115" s="43" t="s">
        <v>365</v>
      </c>
      <c r="T115" s="43" t="s">
        <v>365</v>
      </c>
      <c r="U115" s="43" t="s">
        <v>365</v>
      </c>
      <c r="V115" s="88" t="s">
        <v>365</v>
      </c>
      <c r="W115" s="54">
        <v>45814</v>
      </c>
      <c r="X115" s="69" t="s">
        <v>2086</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2083</v>
      </c>
      <c r="S116" s="43" t="s">
        <v>365</v>
      </c>
      <c r="T116" s="43" t="s">
        <v>365</v>
      </c>
      <c r="U116" s="43" t="s">
        <v>365</v>
      </c>
      <c r="V116" s="481" t="s">
        <v>365</v>
      </c>
      <c r="W116" s="54">
        <v>45807</v>
      </c>
      <c r="X116" s="69" t="s">
        <v>2086</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2083</v>
      </c>
      <c r="S117" s="43" t="s">
        <v>365</v>
      </c>
      <c r="T117" s="43" t="s">
        <v>365</v>
      </c>
      <c r="U117" s="43" t="s">
        <v>365</v>
      </c>
      <c r="V117" s="88" t="s">
        <v>365</v>
      </c>
      <c r="W117" s="54">
        <v>45811</v>
      </c>
      <c r="X117" s="69" t="s">
        <v>2086</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2083</v>
      </c>
      <c r="S118" s="43" t="s">
        <v>365</v>
      </c>
      <c r="T118" s="43" t="s">
        <v>365</v>
      </c>
      <c r="U118" s="157" t="s">
        <v>365</v>
      </c>
      <c r="V118" s="88" t="s">
        <v>365</v>
      </c>
      <c r="W118" s="54">
        <v>45810</v>
      </c>
      <c r="X118" s="69" t="s">
        <v>2086</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2083</v>
      </c>
      <c r="S119" s="43" t="s">
        <v>365</v>
      </c>
      <c r="T119" s="43" t="s">
        <v>365</v>
      </c>
      <c r="U119" s="157" t="s">
        <v>365</v>
      </c>
      <c r="V119" s="88" t="s">
        <v>365</v>
      </c>
      <c r="W119" s="54">
        <v>45813</v>
      </c>
      <c r="X119" s="69" t="s">
        <v>2086</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2083</v>
      </c>
      <c r="S120" s="43" t="s">
        <v>365</v>
      </c>
      <c r="T120" s="43" t="s">
        <v>365</v>
      </c>
      <c r="U120" s="43" t="s">
        <v>365</v>
      </c>
      <c r="V120" s="88" t="s">
        <v>365</v>
      </c>
      <c r="W120" s="54">
        <v>45811</v>
      </c>
      <c r="X120" s="69" t="s">
        <v>2086</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2083</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2083</v>
      </c>
      <c r="S122" s="43" t="s">
        <v>365</v>
      </c>
      <c r="T122" s="43" t="s">
        <v>365</v>
      </c>
      <c r="U122" s="157" t="s">
        <v>365</v>
      </c>
      <c r="V122" s="157" t="s">
        <v>365</v>
      </c>
      <c r="W122" s="54">
        <v>45789</v>
      </c>
      <c r="X122" s="69" t="s">
        <v>2086</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2083</v>
      </c>
      <c r="S123" s="43" t="s">
        <v>365</v>
      </c>
      <c r="T123" s="43" t="s">
        <v>365</v>
      </c>
      <c r="U123" s="43" t="s">
        <v>365</v>
      </c>
      <c r="V123" s="69" t="s">
        <v>365</v>
      </c>
      <c r="W123" s="54">
        <v>45811</v>
      </c>
      <c r="X123" s="69" t="s">
        <v>2086</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2083</v>
      </c>
      <c r="S124" s="43" t="s">
        <v>365</v>
      </c>
      <c r="T124" s="43" t="s">
        <v>365</v>
      </c>
      <c r="U124" s="43" t="s">
        <v>2089</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2083</v>
      </c>
      <c r="S125" s="43" t="s">
        <v>365</v>
      </c>
      <c r="T125" s="43" t="s">
        <v>365</v>
      </c>
      <c r="U125" s="43" t="s">
        <v>365</v>
      </c>
      <c r="V125" s="43" t="s">
        <v>365</v>
      </c>
      <c r="W125" s="54">
        <v>45814</v>
      </c>
      <c r="X125" s="69" t="s">
        <v>2086</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2083</v>
      </c>
      <c r="S126" s="43" t="s">
        <v>365</v>
      </c>
      <c r="T126" s="43" t="s">
        <v>365</v>
      </c>
      <c r="U126" s="43" t="s">
        <v>365</v>
      </c>
      <c r="V126" s="88" t="s">
        <v>365</v>
      </c>
      <c r="W126" s="54">
        <v>45819</v>
      </c>
      <c r="X126" s="69" t="s">
        <v>2086</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2083</v>
      </c>
      <c r="S127" s="43" t="s">
        <v>365</v>
      </c>
      <c r="T127" s="43" t="s">
        <v>365</v>
      </c>
      <c r="U127" s="43" t="s">
        <v>365</v>
      </c>
      <c r="V127" s="88" t="s">
        <v>365</v>
      </c>
      <c r="W127" s="54">
        <v>45812</v>
      </c>
      <c r="X127" s="69" t="s">
        <v>2086</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2083</v>
      </c>
      <c r="S128" s="43" t="s">
        <v>365</v>
      </c>
      <c r="T128" s="43" t="s">
        <v>365</v>
      </c>
      <c r="U128" s="43" t="s">
        <v>365</v>
      </c>
      <c r="V128" s="88" t="s">
        <v>365</v>
      </c>
      <c r="W128" s="166">
        <v>45883</v>
      </c>
      <c r="X128" s="69" t="s">
        <v>2086</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2083</v>
      </c>
      <c r="S129" s="43" t="s">
        <v>365</v>
      </c>
      <c r="T129" s="115" t="s">
        <v>365</v>
      </c>
      <c r="U129" s="115" t="s">
        <v>365</v>
      </c>
      <c r="V129" s="88" t="s">
        <v>365</v>
      </c>
      <c r="W129" s="166">
        <v>45814</v>
      </c>
      <c r="X129" s="69" t="s">
        <v>2086</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2083</v>
      </c>
      <c r="S130" s="43" t="s">
        <v>365</v>
      </c>
      <c r="T130" s="43" t="s">
        <v>365</v>
      </c>
      <c r="U130" s="43" t="s">
        <v>365</v>
      </c>
      <c r="V130" s="88" t="s">
        <v>365</v>
      </c>
      <c r="W130" s="54">
        <v>45798</v>
      </c>
      <c r="X130" s="69" t="s">
        <v>2086</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2083</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2083</v>
      </c>
      <c r="S132" s="43" t="s">
        <v>365</v>
      </c>
      <c r="T132" s="43" t="s">
        <v>365</v>
      </c>
      <c r="U132" s="43" t="s">
        <v>365</v>
      </c>
      <c r="V132" s="43" t="s">
        <v>365</v>
      </c>
      <c r="W132" s="54">
        <v>45820</v>
      </c>
      <c r="X132" s="69" t="s">
        <v>2086</v>
      </c>
      <c r="Y132" t="e">
        <f>VLOOKUP(A132,#REF!,2,FALSE)</f>
        <v>#REF!</v>
      </c>
    </row>
    <row r="133" spans="1:25" ht="15" customHeight="1">
      <c r="A133" s="358" t="s">
        <v>893</v>
      </c>
      <c r="B133" s="406" t="s">
        <v>50</v>
      </c>
      <c r="C133" s="367">
        <v>45742</v>
      </c>
      <c r="D133" s="419" t="s">
        <v>2090</v>
      </c>
      <c r="E133" s="361"/>
      <c r="F133" s="361"/>
      <c r="G133" s="361"/>
      <c r="H133" s="361">
        <v>38</v>
      </c>
      <c r="I133" s="360"/>
      <c r="J133" s="361" t="s">
        <v>57</v>
      </c>
      <c r="K133" s="361" t="s">
        <v>57</v>
      </c>
      <c r="L133" s="361" t="s">
        <v>63</v>
      </c>
      <c r="M133" s="49" t="s">
        <v>365</v>
      </c>
      <c r="N133" s="49" t="s">
        <v>365</v>
      </c>
      <c r="O133" s="54">
        <v>45701</v>
      </c>
      <c r="P133" s="30" t="s">
        <v>365</v>
      </c>
      <c r="Q133" s="69" t="s">
        <v>365</v>
      </c>
      <c r="R133" s="43" t="s">
        <v>2083</v>
      </c>
      <c r="S133" s="43" t="s">
        <v>365</v>
      </c>
      <c r="T133" s="43" t="s">
        <v>365</v>
      </c>
      <c r="U133" s="43" t="s">
        <v>365</v>
      </c>
      <c r="V133" s="69" t="s">
        <v>365</v>
      </c>
      <c r="W133" s="54">
        <v>45821</v>
      </c>
      <c r="X133" s="69" t="s">
        <v>2086</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2083</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2083</v>
      </c>
      <c r="S135" s="43" t="s">
        <v>365</v>
      </c>
      <c r="T135" s="43" t="s">
        <v>365</v>
      </c>
      <c r="U135" s="157" t="s">
        <v>365</v>
      </c>
      <c r="V135" s="43" t="s">
        <v>365</v>
      </c>
      <c r="W135" s="54">
        <v>45819</v>
      </c>
      <c r="X135" s="69" t="s">
        <v>2086</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2083</v>
      </c>
      <c r="S136" s="43" t="s">
        <v>365</v>
      </c>
      <c r="T136" s="43" t="s">
        <v>365</v>
      </c>
      <c r="U136" s="43" t="s">
        <v>365</v>
      </c>
      <c r="V136" s="43" t="s">
        <v>365</v>
      </c>
      <c r="W136" s="54">
        <v>45791</v>
      </c>
      <c r="X136" s="69" t="s">
        <v>2086</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2083</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2083</v>
      </c>
      <c r="S138" s="43" t="s">
        <v>365</v>
      </c>
      <c r="T138" s="43" t="s">
        <v>365</v>
      </c>
      <c r="U138" s="43" t="s">
        <v>365</v>
      </c>
      <c r="V138" s="43" t="s">
        <v>365</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365</v>
      </c>
      <c r="N139" s="30" t="s">
        <v>365</v>
      </c>
      <c r="O139" s="30" t="s">
        <v>365</v>
      </c>
      <c r="P139" s="30" t="s">
        <v>365</v>
      </c>
      <c r="Q139" s="43" t="s">
        <v>365</v>
      </c>
      <c r="R139" s="43" t="s">
        <v>2083</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2083</v>
      </c>
      <c r="S140" s="43" t="s">
        <v>365</v>
      </c>
      <c r="T140" s="43" t="s">
        <v>365</v>
      </c>
      <c r="U140" s="88" t="s">
        <v>365</v>
      </c>
      <c r="V140" s="69" t="s">
        <v>365</v>
      </c>
      <c r="W140" s="54">
        <v>45819</v>
      </c>
      <c r="X140" s="69" t="s">
        <v>2086</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2083</v>
      </c>
      <c r="S141" s="43" t="s">
        <v>365</v>
      </c>
      <c r="T141" s="43" t="s">
        <v>365</v>
      </c>
      <c r="U141" s="88" t="s">
        <v>365</v>
      </c>
      <c r="V141" s="88" t="s">
        <v>365</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365</v>
      </c>
      <c r="N142" s="49" t="s">
        <v>365</v>
      </c>
      <c r="O142" s="195">
        <v>45691</v>
      </c>
      <c r="P142" s="30" t="s">
        <v>365</v>
      </c>
      <c r="Q142" s="69" t="s">
        <v>365</v>
      </c>
      <c r="R142" s="43" t="s">
        <v>2083</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2083</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2086</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2083</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2083</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2083</v>
      </c>
      <c r="S153" s="43" t="s">
        <v>365</v>
      </c>
      <c r="T153" s="157" t="s">
        <v>365</v>
      </c>
      <c r="U153" s="157" t="s">
        <v>365</v>
      </c>
      <c r="V153" s="43" t="s">
        <v>365</v>
      </c>
      <c r="W153" s="54">
        <v>45807</v>
      </c>
      <c r="X153" s="69" t="s">
        <v>2086</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2083</v>
      </c>
      <c r="S154" s="43" t="s">
        <v>365</v>
      </c>
      <c r="T154" s="157" t="s">
        <v>365</v>
      </c>
      <c r="U154" s="157" t="s">
        <v>365</v>
      </c>
      <c r="V154" s="43" t="s">
        <v>365</v>
      </c>
      <c r="W154" s="166">
        <v>45792</v>
      </c>
      <c r="X154" s="148" t="s">
        <v>2086</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2083</v>
      </c>
      <c r="S155" s="43" t="s">
        <v>365</v>
      </c>
      <c r="T155" s="43" t="s">
        <v>365</v>
      </c>
      <c r="U155" s="157" t="s">
        <v>365</v>
      </c>
      <c r="V155" s="43" t="s">
        <v>365</v>
      </c>
      <c r="W155" s="356">
        <v>45821</v>
      </c>
      <c r="X155" s="69" t="s">
        <v>2086</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2083</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2083</v>
      </c>
      <c r="S158" s="43" t="s">
        <v>365</v>
      </c>
      <c r="T158" s="43" t="s">
        <v>365</v>
      </c>
      <c r="U158" s="157" t="s">
        <v>365</v>
      </c>
      <c r="V158" s="157" t="s">
        <v>365</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2086</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2086</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2086</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2086</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2096</v>
      </c>
      <c r="C1" s="1440"/>
      <c r="D1" s="558"/>
      <c r="E1" s="1440" t="s">
        <v>2097</v>
      </c>
      <c r="F1" s="1440"/>
    </row>
    <row r="2" spans="1:25">
      <c r="B2" s="44" t="s">
        <v>2098</v>
      </c>
      <c r="E2" s="44" t="s">
        <v>22</v>
      </c>
      <c r="F2" t="s">
        <v>1061</v>
      </c>
      <c r="P2" s="44" t="s">
        <v>27</v>
      </c>
      <c r="Q2" t="s">
        <v>2099</v>
      </c>
    </row>
    <row r="3" spans="1:25">
      <c r="B3" s="44" t="s">
        <v>22</v>
      </c>
      <c r="C3" t="s">
        <v>1067</v>
      </c>
      <c r="K3" s="44" t="s">
        <v>2100</v>
      </c>
      <c r="L3" t="s">
        <v>2101</v>
      </c>
      <c r="P3" s="44" t="s">
        <v>2100</v>
      </c>
      <c r="Q3" t="s">
        <v>2101</v>
      </c>
    </row>
    <row r="4" spans="1:25">
      <c r="B4" t="s">
        <v>126</v>
      </c>
      <c r="C4" s="1455">
        <v>69424</v>
      </c>
      <c r="E4" s="44" t="s">
        <v>2098</v>
      </c>
      <c r="F4" t="s">
        <v>1067</v>
      </c>
      <c r="W4" t="s">
        <v>2102</v>
      </c>
      <c r="X4">
        <v>22</v>
      </c>
    </row>
    <row r="5" spans="1:25">
      <c r="B5" t="s">
        <v>72</v>
      </c>
      <c r="C5" s="1455">
        <v>28636</v>
      </c>
      <c r="E5" t="s">
        <v>1067</v>
      </c>
      <c r="F5" s="1455">
        <v>160466</v>
      </c>
      <c r="K5" s="44" t="s">
        <v>2103</v>
      </c>
      <c r="P5" s="44" t="s">
        <v>2103</v>
      </c>
      <c r="W5" t="s">
        <v>2104</v>
      </c>
      <c r="X5">
        <v>13</v>
      </c>
    </row>
    <row r="6" spans="1:25">
      <c r="B6" t="s">
        <v>1094</v>
      </c>
      <c r="C6" s="1455">
        <v>208773</v>
      </c>
      <c r="K6" s="44" t="s">
        <v>27</v>
      </c>
      <c r="L6" s="44" t="s">
        <v>2105</v>
      </c>
      <c r="M6" t="s">
        <v>1067</v>
      </c>
      <c r="P6" s="44" t="s">
        <v>2106</v>
      </c>
      <c r="Q6" s="44" t="s">
        <v>2105</v>
      </c>
      <c r="R6" t="s">
        <v>1067</v>
      </c>
    </row>
    <row r="7" spans="1:25">
      <c r="B7" t="s">
        <v>51</v>
      </c>
      <c r="C7" s="1455">
        <v>446</v>
      </c>
      <c r="K7" t="s">
        <v>2099</v>
      </c>
      <c r="L7" t="s">
        <v>677</v>
      </c>
      <c r="M7" s="1455">
        <v>1</v>
      </c>
      <c r="P7" t="s">
        <v>2107</v>
      </c>
      <c r="R7" s="1455">
        <v>1</v>
      </c>
      <c r="X7" t="s">
        <v>2108</v>
      </c>
      <c r="Y7" t="s">
        <v>2109</v>
      </c>
    </row>
    <row r="8" spans="1:25">
      <c r="B8" t="s">
        <v>22</v>
      </c>
      <c r="C8" s="1455">
        <v>0</v>
      </c>
      <c r="L8" t="s">
        <v>679</v>
      </c>
      <c r="M8" s="1455">
        <v>1</v>
      </c>
      <c r="P8" t="s">
        <v>2110</v>
      </c>
      <c r="R8" s="1455">
        <v>1</v>
      </c>
      <c r="V8" t="s">
        <v>2111</v>
      </c>
      <c r="W8" s="257">
        <v>203521</v>
      </c>
      <c r="X8" s="313">
        <f>X5/X4</f>
        <v>0.59090909090909094</v>
      </c>
      <c r="Y8" s="313">
        <f>W9/W8</f>
        <v>0.31446386367991508</v>
      </c>
    </row>
    <row r="9" spans="1:25">
      <c r="B9" t="s">
        <v>215</v>
      </c>
      <c r="C9" s="1455">
        <v>7128</v>
      </c>
      <c r="L9" t="s">
        <v>2112</v>
      </c>
      <c r="M9" s="1455">
        <v>1</v>
      </c>
      <c r="P9" t="s">
        <v>2113</v>
      </c>
      <c r="Q9" t="s">
        <v>2112</v>
      </c>
      <c r="R9" s="1455">
        <v>1</v>
      </c>
      <c r="V9" t="s">
        <v>2114</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2115</v>
      </c>
      <c r="R12" s="1455">
        <v>1</v>
      </c>
    </row>
    <row r="13" spans="1:25">
      <c r="B13" t="s">
        <v>172</v>
      </c>
      <c r="C13" s="1455">
        <v>3</v>
      </c>
      <c r="L13" t="s">
        <v>2116</v>
      </c>
      <c r="M13" s="1455">
        <v>1</v>
      </c>
      <c r="Q13" t="s">
        <v>1018</v>
      </c>
      <c r="R13" s="1455">
        <v>1</v>
      </c>
    </row>
    <row r="14" spans="1:25">
      <c r="B14" t="s">
        <v>67</v>
      </c>
      <c r="C14" s="1455">
        <v>3796</v>
      </c>
      <c r="L14" t="s">
        <v>858</v>
      </c>
      <c r="M14" s="1455">
        <v>1</v>
      </c>
      <c r="P14" t="s">
        <v>2117</v>
      </c>
      <c r="R14" s="1455">
        <v>5</v>
      </c>
    </row>
    <row r="15" spans="1:25">
      <c r="B15" t="s">
        <v>60</v>
      </c>
      <c r="C15" s="1455">
        <v>10847</v>
      </c>
      <c r="L15" t="s">
        <v>2115</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2118</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2119</v>
      </c>
      <c r="M26" s="1455">
        <v>19</v>
      </c>
    </row>
    <row r="27" spans="2:13">
      <c r="K27" t="s">
        <v>2120</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2121</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2122</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2123</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668</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1091</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1108</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1116</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1093</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1088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1114</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1092</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929</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906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909</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852</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854</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837</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841</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844</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1018</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872</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876</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864</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858</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860</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856</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866</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874</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677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679</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728</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722</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720</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726</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702</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704</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700</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752</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700</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702</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704</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1067</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DAFDA1-6320-421E-9A37-E15D7F3FF1F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2026-01-05T21:19:06Z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